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\HC-Dashboard\"/>
    </mc:Choice>
  </mc:AlternateContent>
  <xr:revisionPtr revIDLastSave="0" documentId="13_ncr:1_{7CC5F72A-C542-434C-8BC8-AE96B0343401}" xr6:coauthVersionLast="47" xr6:coauthVersionMax="47" xr10:uidLastSave="{00000000-0000-0000-0000-000000000000}"/>
  <bookViews>
    <workbookView xWindow="-110" yWindow="-110" windowWidth="19420" windowHeight="11020" xr2:uid="{0FC35CE6-2E1F-4CF9-8F94-E26845E509D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074" i="1" l="1"/>
  <c r="L1074" i="1"/>
  <c r="K1074" i="1"/>
  <c r="J1074" i="1"/>
  <c r="G1074" i="1"/>
  <c r="F1074" i="1"/>
  <c r="W1073" i="1"/>
  <c r="L1073" i="1"/>
  <c r="K1073" i="1"/>
  <c r="J1073" i="1"/>
  <c r="G1073" i="1"/>
  <c r="F1073" i="1"/>
  <c r="W1072" i="1"/>
  <c r="L1072" i="1"/>
  <c r="K1072" i="1"/>
  <c r="J1072" i="1"/>
  <c r="G1072" i="1"/>
  <c r="F1072" i="1"/>
  <c r="W1071" i="1"/>
  <c r="L1071" i="1"/>
  <c r="K1071" i="1"/>
  <c r="J1071" i="1"/>
  <c r="G1071" i="1"/>
  <c r="F1071" i="1"/>
  <c r="W1070" i="1"/>
  <c r="L1070" i="1"/>
  <c r="K1070" i="1"/>
  <c r="J1070" i="1"/>
  <c r="G1070" i="1"/>
  <c r="F1070" i="1"/>
  <c r="W1069" i="1"/>
  <c r="L1069" i="1"/>
  <c r="K1069" i="1"/>
  <c r="J1069" i="1"/>
  <c r="G1069" i="1"/>
  <c r="F1069" i="1"/>
  <c r="W1068" i="1"/>
  <c r="L1068" i="1"/>
  <c r="K1068" i="1"/>
  <c r="J1068" i="1"/>
  <c r="G1068" i="1"/>
  <c r="F1068" i="1"/>
  <c r="W1067" i="1"/>
  <c r="L1067" i="1"/>
  <c r="K1067" i="1"/>
  <c r="J1067" i="1"/>
  <c r="G1067" i="1"/>
  <c r="F1067" i="1"/>
  <c r="W1066" i="1"/>
  <c r="L1066" i="1"/>
  <c r="K1066" i="1"/>
  <c r="J1066" i="1"/>
  <c r="G1066" i="1"/>
  <c r="F1066" i="1"/>
  <c r="W1065" i="1"/>
  <c r="L1065" i="1"/>
  <c r="K1065" i="1"/>
  <c r="J1065" i="1"/>
  <c r="G1065" i="1"/>
  <c r="F1065" i="1"/>
  <c r="W1064" i="1"/>
  <c r="L1064" i="1"/>
  <c r="K1064" i="1"/>
  <c r="J1064" i="1"/>
  <c r="G1064" i="1"/>
  <c r="F1064" i="1"/>
  <c r="W1063" i="1"/>
  <c r="L1063" i="1"/>
  <c r="K1063" i="1"/>
  <c r="J1063" i="1"/>
  <c r="G1063" i="1"/>
  <c r="F1063" i="1"/>
  <c r="W1062" i="1"/>
  <c r="L1062" i="1"/>
  <c r="K1062" i="1"/>
  <c r="J1062" i="1"/>
  <c r="G1062" i="1"/>
  <c r="F1062" i="1"/>
  <c r="W1061" i="1"/>
  <c r="L1061" i="1"/>
  <c r="K1061" i="1"/>
  <c r="J1061" i="1"/>
  <c r="G1061" i="1"/>
  <c r="F1061" i="1"/>
  <c r="W1060" i="1"/>
  <c r="L1060" i="1"/>
  <c r="K1060" i="1"/>
  <c r="J1060" i="1"/>
  <c r="G1060" i="1"/>
  <c r="F1060" i="1"/>
  <c r="W1059" i="1"/>
  <c r="L1059" i="1"/>
  <c r="K1059" i="1"/>
  <c r="J1059" i="1"/>
  <c r="G1059" i="1"/>
  <c r="F1059" i="1"/>
  <c r="W1058" i="1"/>
  <c r="L1058" i="1"/>
  <c r="K1058" i="1"/>
  <c r="J1058" i="1"/>
  <c r="G1058" i="1"/>
  <c r="F1058" i="1"/>
  <c r="W1057" i="1"/>
  <c r="L1057" i="1"/>
  <c r="K1057" i="1"/>
  <c r="J1057" i="1"/>
  <c r="G1057" i="1"/>
  <c r="F1057" i="1"/>
  <c r="W1056" i="1"/>
  <c r="L1056" i="1"/>
  <c r="K1056" i="1"/>
  <c r="J1056" i="1"/>
  <c r="G1056" i="1"/>
  <c r="F1056" i="1"/>
  <c r="W1055" i="1"/>
  <c r="L1055" i="1"/>
  <c r="K1055" i="1"/>
  <c r="J1055" i="1"/>
  <c r="G1055" i="1"/>
  <c r="F1055" i="1"/>
  <c r="W1054" i="1"/>
  <c r="L1054" i="1"/>
  <c r="K1054" i="1"/>
  <c r="J1054" i="1"/>
  <c r="G1054" i="1"/>
  <c r="F1054" i="1"/>
  <c r="W1053" i="1"/>
  <c r="L1053" i="1"/>
  <c r="K1053" i="1"/>
  <c r="J1053" i="1"/>
  <c r="G1053" i="1"/>
  <c r="F1053" i="1"/>
  <c r="W1052" i="1"/>
  <c r="L1052" i="1"/>
  <c r="K1052" i="1"/>
  <c r="J1052" i="1"/>
  <c r="G1052" i="1"/>
  <c r="F1052" i="1"/>
  <c r="W1051" i="1"/>
  <c r="L1051" i="1"/>
  <c r="K1051" i="1"/>
  <c r="J1051" i="1"/>
  <c r="G1051" i="1"/>
  <c r="F1051" i="1"/>
  <c r="W1050" i="1"/>
  <c r="L1050" i="1"/>
  <c r="K1050" i="1"/>
  <c r="J1050" i="1"/>
  <c r="G1050" i="1"/>
  <c r="F1050" i="1"/>
  <c r="W1049" i="1"/>
  <c r="L1049" i="1"/>
  <c r="K1049" i="1"/>
  <c r="J1049" i="1"/>
  <c r="G1049" i="1"/>
  <c r="F1049" i="1"/>
  <c r="W1048" i="1"/>
  <c r="L1048" i="1"/>
  <c r="K1048" i="1"/>
  <c r="J1048" i="1"/>
  <c r="G1048" i="1"/>
  <c r="F1048" i="1"/>
  <c r="W1047" i="1"/>
  <c r="L1047" i="1"/>
  <c r="K1047" i="1"/>
  <c r="J1047" i="1"/>
  <c r="G1047" i="1"/>
  <c r="F1047" i="1"/>
  <c r="W1046" i="1"/>
  <c r="L1046" i="1"/>
  <c r="K1046" i="1"/>
  <c r="J1046" i="1"/>
  <c r="G1046" i="1"/>
  <c r="F1046" i="1"/>
  <c r="W1045" i="1"/>
  <c r="L1045" i="1"/>
  <c r="K1045" i="1"/>
  <c r="J1045" i="1"/>
  <c r="G1045" i="1"/>
  <c r="F1045" i="1"/>
  <c r="W1044" i="1"/>
  <c r="L1044" i="1"/>
  <c r="K1044" i="1"/>
  <c r="J1044" i="1"/>
  <c r="G1044" i="1"/>
  <c r="F1044" i="1"/>
  <c r="W1043" i="1"/>
  <c r="L1043" i="1"/>
  <c r="K1043" i="1"/>
  <c r="J1043" i="1"/>
  <c r="G1043" i="1"/>
  <c r="F1043" i="1"/>
  <c r="W1042" i="1"/>
  <c r="L1042" i="1"/>
  <c r="K1042" i="1"/>
  <c r="J1042" i="1"/>
  <c r="G1042" i="1"/>
  <c r="F1042" i="1"/>
  <c r="W1041" i="1"/>
  <c r="L1041" i="1"/>
  <c r="K1041" i="1"/>
  <c r="J1041" i="1"/>
  <c r="G1041" i="1"/>
  <c r="F1041" i="1"/>
  <c r="W1040" i="1"/>
  <c r="L1040" i="1"/>
  <c r="K1040" i="1"/>
  <c r="J1040" i="1"/>
  <c r="G1040" i="1"/>
  <c r="F1040" i="1"/>
  <c r="W1039" i="1"/>
  <c r="L1039" i="1"/>
  <c r="K1039" i="1"/>
  <c r="J1039" i="1"/>
  <c r="G1039" i="1"/>
  <c r="F1039" i="1"/>
  <c r="W1038" i="1"/>
  <c r="L1038" i="1"/>
  <c r="K1038" i="1"/>
  <c r="J1038" i="1"/>
  <c r="G1038" i="1"/>
  <c r="F1038" i="1"/>
  <c r="W1037" i="1"/>
  <c r="L1037" i="1"/>
  <c r="K1037" i="1"/>
  <c r="J1037" i="1"/>
  <c r="G1037" i="1"/>
  <c r="F1037" i="1"/>
  <c r="W1036" i="1"/>
  <c r="L1036" i="1"/>
  <c r="K1036" i="1"/>
  <c r="J1036" i="1"/>
  <c r="G1036" i="1"/>
  <c r="F1036" i="1"/>
  <c r="W1035" i="1"/>
  <c r="L1035" i="1"/>
  <c r="K1035" i="1"/>
  <c r="J1035" i="1"/>
  <c r="G1035" i="1"/>
  <c r="F1035" i="1"/>
  <c r="W1034" i="1"/>
  <c r="L1034" i="1"/>
  <c r="K1034" i="1"/>
  <c r="J1034" i="1"/>
  <c r="G1034" i="1"/>
  <c r="F1034" i="1"/>
  <c r="W1033" i="1"/>
  <c r="L1033" i="1"/>
  <c r="K1033" i="1"/>
  <c r="J1033" i="1"/>
  <c r="G1033" i="1"/>
  <c r="F1033" i="1"/>
  <c r="W1032" i="1"/>
  <c r="L1032" i="1"/>
  <c r="K1032" i="1"/>
  <c r="J1032" i="1"/>
  <c r="G1032" i="1"/>
  <c r="F1032" i="1"/>
  <c r="W1031" i="1"/>
  <c r="L1031" i="1"/>
  <c r="K1031" i="1"/>
  <c r="J1031" i="1"/>
  <c r="G1031" i="1"/>
  <c r="F1031" i="1"/>
  <c r="W1030" i="1"/>
  <c r="L1030" i="1"/>
  <c r="K1030" i="1"/>
  <c r="J1030" i="1"/>
  <c r="G1030" i="1"/>
  <c r="F1030" i="1"/>
  <c r="W1029" i="1"/>
  <c r="L1029" i="1"/>
  <c r="K1029" i="1"/>
  <c r="J1029" i="1"/>
  <c r="G1029" i="1"/>
  <c r="F1029" i="1"/>
  <c r="W1028" i="1"/>
  <c r="L1028" i="1"/>
  <c r="K1028" i="1"/>
  <c r="J1028" i="1"/>
  <c r="G1028" i="1"/>
  <c r="F1028" i="1"/>
  <c r="W1027" i="1"/>
  <c r="L1027" i="1"/>
  <c r="K1027" i="1"/>
  <c r="J1027" i="1"/>
  <c r="G1027" i="1"/>
  <c r="F1027" i="1"/>
  <c r="W1026" i="1"/>
  <c r="L1026" i="1"/>
  <c r="K1026" i="1"/>
  <c r="J1026" i="1"/>
  <c r="G1026" i="1"/>
  <c r="F1026" i="1"/>
  <c r="W1025" i="1"/>
  <c r="L1025" i="1"/>
  <c r="K1025" i="1"/>
  <c r="J1025" i="1"/>
  <c r="G1025" i="1"/>
  <c r="F1025" i="1"/>
  <c r="W1024" i="1"/>
  <c r="L1024" i="1"/>
  <c r="K1024" i="1"/>
  <c r="J1024" i="1"/>
  <c r="G1024" i="1"/>
  <c r="F1024" i="1"/>
  <c r="W1023" i="1"/>
  <c r="L1023" i="1"/>
  <c r="K1023" i="1"/>
  <c r="J1023" i="1"/>
  <c r="G1023" i="1"/>
  <c r="F1023" i="1"/>
  <c r="W1022" i="1"/>
  <c r="L1022" i="1"/>
  <c r="K1022" i="1"/>
  <c r="J1022" i="1"/>
  <c r="G1022" i="1"/>
  <c r="F1022" i="1"/>
  <c r="W1021" i="1"/>
  <c r="L1021" i="1"/>
  <c r="K1021" i="1"/>
  <c r="J1021" i="1"/>
  <c r="G1021" i="1"/>
  <c r="F1021" i="1"/>
  <c r="W1020" i="1"/>
  <c r="L1020" i="1"/>
  <c r="K1020" i="1"/>
  <c r="J1020" i="1"/>
  <c r="G1020" i="1"/>
  <c r="F1020" i="1"/>
  <c r="W1019" i="1"/>
  <c r="L1019" i="1"/>
  <c r="K1019" i="1"/>
  <c r="J1019" i="1"/>
  <c r="G1019" i="1"/>
  <c r="F1019" i="1"/>
  <c r="W1018" i="1"/>
  <c r="L1018" i="1"/>
  <c r="K1018" i="1"/>
  <c r="J1018" i="1"/>
  <c r="G1018" i="1"/>
  <c r="F1018" i="1"/>
  <c r="W1017" i="1"/>
  <c r="L1017" i="1"/>
  <c r="K1017" i="1"/>
  <c r="J1017" i="1"/>
  <c r="G1017" i="1"/>
  <c r="F1017" i="1"/>
  <c r="W1016" i="1"/>
  <c r="L1016" i="1"/>
  <c r="K1016" i="1"/>
  <c r="J1016" i="1"/>
  <c r="G1016" i="1"/>
  <c r="F1016" i="1"/>
  <c r="W1015" i="1"/>
  <c r="L1015" i="1"/>
  <c r="K1015" i="1"/>
  <c r="J1015" i="1"/>
  <c r="G1015" i="1"/>
  <c r="F1015" i="1"/>
  <c r="W1014" i="1"/>
  <c r="L1014" i="1"/>
  <c r="K1014" i="1"/>
  <c r="J1014" i="1"/>
  <c r="G1014" i="1"/>
  <c r="F1014" i="1"/>
  <c r="W1013" i="1"/>
  <c r="L1013" i="1"/>
  <c r="K1013" i="1"/>
  <c r="J1013" i="1"/>
  <c r="G1013" i="1"/>
  <c r="F1013" i="1"/>
  <c r="W1012" i="1"/>
  <c r="L1012" i="1"/>
  <c r="K1012" i="1"/>
  <c r="J1012" i="1"/>
  <c r="G1012" i="1"/>
  <c r="F1012" i="1"/>
  <c r="W1011" i="1"/>
  <c r="L1011" i="1"/>
  <c r="K1011" i="1"/>
  <c r="J1011" i="1"/>
  <c r="G1011" i="1"/>
  <c r="F1011" i="1"/>
  <c r="W1010" i="1"/>
  <c r="L1010" i="1"/>
  <c r="K1010" i="1"/>
  <c r="J1010" i="1"/>
  <c r="G1010" i="1"/>
  <c r="F1010" i="1"/>
  <c r="W1009" i="1"/>
  <c r="L1009" i="1"/>
  <c r="K1009" i="1"/>
  <c r="J1009" i="1"/>
  <c r="G1009" i="1"/>
  <c r="F1009" i="1"/>
  <c r="W1008" i="1"/>
  <c r="L1008" i="1"/>
  <c r="K1008" i="1"/>
  <c r="J1008" i="1"/>
  <c r="G1008" i="1"/>
  <c r="F1008" i="1"/>
  <c r="W1007" i="1"/>
  <c r="L1007" i="1"/>
  <c r="K1007" i="1"/>
  <c r="J1007" i="1"/>
  <c r="G1007" i="1"/>
  <c r="F1007" i="1"/>
  <c r="W1006" i="1"/>
  <c r="L1006" i="1"/>
  <c r="K1006" i="1"/>
  <c r="J1006" i="1"/>
  <c r="G1006" i="1"/>
  <c r="F1006" i="1"/>
  <c r="W1005" i="1"/>
  <c r="L1005" i="1"/>
  <c r="K1005" i="1"/>
  <c r="J1005" i="1"/>
  <c r="G1005" i="1"/>
  <c r="F1005" i="1"/>
  <c r="W1004" i="1"/>
  <c r="L1004" i="1"/>
  <c r="K1004" i="1"/>
  <c r="J1004" i="1"/>
  <c r="G1004" i="1"/>
  <c r="F1004" i="1"/>
  <c r="W1003" i="1"/>
  <c r="L1003" i="1"/>
  <c r="K1003" i="1"/>
  <c r="J1003" i="1"/>
  <c r="G1003" i="1"/>
  <c r="F1003" i="1"/>
  <c r="W1002" i="1"/>
  <c r="L1002" i="1"/>
  <c r="K1002" i="1"/>
  <c r="J1002" i="1"/>
  <c r="G1002" i="1"/>
  <c r="F1002" i="1"/>
  <c r="W1001" i="1"/>
  <c r="L1001" i="1"/>
  <c r="K1001" i="1"/>
  <c r="J1001" i="1"/>
  <c r="G1001" i="1"/>
  <c r="F1001" i="1"/>
  <c r="W1000" i="1"/>
  <c r="L1000" i="1"/>
  <c r="K1000" i="1"/>
  <c r="J1000" i="1"/>
  <c r="G1000" i="1"/>
  <c r="F1000" i="1"/>
  <c r="W999" i="1"/>
  <c r="L999" i="1"/>
  <c r="K999" i="1"/>
  <c r="J999" i="1"/>
  <c r="G999" i="1"/>
  <c r="F999" i="1"/>
  <c r="W998" i="1"/>
  <c r="L998" i="1"/>
  <c r="K998" i="1"/>
  <c r="J998" i="1"/>
  <c r="G998" i="1"/>
  <c r="F998" i="1"/>
  <c r="W997" i="1"/>
  <c r="L997" i="1"/>
  <c r="K997" i="1"/>
  <c r="J997" i="1"/>
  <c r="G997" i="1"/>
  <c r="F997" i="1"/>
  <c r="W996" i="1"/>
  <c r="L996" i="1"/>
  <c r="K996" i="1"/>
  <c r="J996" i="1"/>
  <c r="G996" i="1"/>
  <c r="F996" i="1"/>
  <c r="W995" i="1"/>
  <c r="L995" i="1"/>
  <c r="K995" i="1"/>
  <c r="G995" i="1"/>
  <c r="F995" i="1"/>
  <c r="W994" i="1"/>
  <c r="L994" i="1"/>
  <c r="K994" i="1"/>
  <c r="G994" i="1"/>
  <c r="F994" i="1"/>
  <c r="W993" i="1"/>
  <c r="L993" i="1"/>
  <c r="K993" i="1"/>
  <c r="G993" i="1"/>
  <c r="F993" i="1"/>
  <c r="W992" i="1"/>
  <c r="L992" i="1"/>
  <c r="K992" i="1"/>
  <c r="G992" i="1"/>
  <c r="F992" i="1"/>
  <c r="W991" i="1"/>
  <c r="L991" i="1"/>
  <c r="K991" i="1"/>
  <c r="G991" i="1"/>
  <c r="F991" i="1"/>
  <c r="W990" i="1"/>
  <c r="L990" i="1"/>
  <c r="K990" i="1"/>
  <c r="G990" i="1"/>
  <c r="F990" i="1"/>
  <c r="W989" i="1"/>
  <c r="L989" i="1"/>
  <c r="K989" i="1"/>
  <c r="G989" i="1"/>
  <c r="F989" i="1"/>
  <c r="W988" i="1"/>
  <c r="L988" i="1"/>
  <c r="K988" i="1"/>
  <c r="G988" i="1"/>
  <c r="F988" i="1"/>
  <c r="W987" i="1"/>
  <c r="L987" i="1"/>
  <c r="K987" i="1"/>
  <c r="G987" i="1"/>
  <c r="F987" i="1"/>
  <c r="W986" i="1"/>
  <c r="L986" i="1"/>
  <c r="K986" i="1"/>
  <c r="G986" i="1"/>
  <c r="F986" i="1"/>
  <c r="W985" i="1"/>
  <c r="L985" i="1"/>
  <c r="K985" i="1"/>
  <c r="G985" i="1"/>
  <c r="F985" i="1"/>
  <c r="W984" i="1"/>
  <c r="L984" i="1"/>
  <c r="K984" i="1"/>
  <c r="G984" i="1"/>
  <c r="F984" i="1"/>
  <c r="W983" i="1"/>
  <c r="L983" i="1"/>
  <c r="K983" i="1"/>
  <c r="G983" i="1"/>
  <c r="F983" i="1"/>
  <c r="W982" i="1"/>
  <c r="L982" i="1"/>
  <c r="K982" i="1"/>
  <c r="G982" i="1"/>
  <c r="F982" i="1"/>
  <c r="W981" i="1"/>
  <c r="L981" i="1"/>
  <c r="K981" i="1"/>
  <c r="G981" i="1"/>
  <c r="F981" i="1"/>
  <c r="W980" i="1"/>
  <c r="L980" i="1"/>
  <c r="K980" i="1"/>
  <c r="G980" i="1"/>
  <c r="F980" i="1"/>
  <c r="W979" i="1"/>
  <c r="L979" i="1"/>
  <c r="K979" i="1"/>
  <c r="G979" i="1"/>
  <c r="F979" i="1"/>
  <c r="W978" i="1"/>
  <c r="L978" i="1"/>
  <c r="K978" i="1"/>
  <c r="G978" i="1"/>
  <c r="F978" i="1"/>
  <c r="W977" i="1"/>
  <c r="L977" i="1"/>
  <c r="K977" i="1"/>
  <c r="G977" i="1"/>
  <c r="F977" i="1"/>
  <c r="W976" i="1"/>
  <c r="L976" i="1"/>
  <c r="K976" i="1"/>
  <c r="G976" i="1"/>
  <c r="F976" i="1"/>
  <c r="W975" i="1"/>
  <c r="L975" i="1"/>
  <c r="K975" i="1"/>
  <c r="J975" i="1"/>
  <c r="G975" i="1"/>
  <c r="F975" i="1"/>
  <c r="W974" i="1"/>
  <c r="L974" i="1"/>
  <c r="K974" i="1"/>
  <c r="J974" i="1"/>
  <c r="G974" i="1"/>
  <c r="F974" i="1"/>
  <c r="W973" i="1"/>
  <c r="L973" i="1"/>
  <c r="K973" i="1"/>
  <c r="J973" i="1"/>
  <c r="G973" i="1"/>
  <c r="F973" i="1"/>
  <c r="W972" i="1"/>
  <c r="L972" i="1"/>
  <c r="K972" i="1"/>
  <c r="J972" i="1"/>
  <c r="G972" i="1"/>
  <c r="F972" i="1"/>
  <c r="W971" i="1"/>
  <c r="L971" i="1"/>
  <c r="K971" i="1"/>
  <c r="J971" i="1"/>
  <c r="G971" i="1"/>
  <c r="F971" i="1"/>
  <c r="W970" i="1"/>
  <c r="L970" i="1"/>
  <c r="K970" i="1"/>
  <c r="J970" i="1"/>
  <c r="G970" i="1"/>
  <c r="F970" i="1"/>
  <c r="W969" i="1"/>
  <c r="L969" i="1"/>
  <c r="K969" i="1"/>
  <c r="J969" i="1"/>
  <c r="G969" i="1"/>
  <c r="F969" i="1"/>
  <c r="W968" i="1"/>
  <c r="L968" i="1"/>
  <c r="K968" i="1"/>
  <c r="J968" i="1"/>
  <c r="G968" i="1"/>
  <c r="F968" i="1"/>
  <c r="W967" i="1"/>
  <c r="L967" i="1"/>
  <c r="K967" i="1"/>
  <c r="J967" i="1"/>
  <c r="G967" i="1"/>
  <c r="F967" i="1"/>
  <c r="W966" i="1"/>
  <c r="L966" i="1"/>
  <c r="K966" i="1"/>
  <c r="J966" i="1"/>
  <c r="G966" i="1"/>
  <c r="F966" i="1"/>
  <c r="W965" i="1"/>
  <c r="L965" i="1"/>
  <c r="K965" i="1"/>
  <c r="J965" i="1"/>
  <c r="G965" i="1"/>
  <c r="F965" i="1"/>
  <c r="W964" i="1"/>
  <c r="L964" i="1"/>
  <c r="K964" i="1"/>
  <c r="J964" i="1"/>
  <c r="G964" i="1"/>
  <c r="F964" i="1"/>
  <c r="W963" i="1"/>
  <c r="L963" i="1"/>
  <c r="K963" i="1"/>
  <c r="J963" i="1"/>
  <c r="G963" i="1"/>
  <c r="F963" i="1"/>
  <c r="W962" i="1"/>
  <c r="L962" i="1"/>
  <c r="K962" i="1"/>
  <c r="J962" i="1"/>
  <c r="G962" i="1"/>
  <c r="F962" i="1"/>
  <c r="W961" i="1"/>
  <c r="L961" i="1"/>
  <c r="K961" i="1"/>
  <c r="J961" i="1"/>
  <c r="G961" i="1"/>
  <c r="F961" i="1"/>
  <c r="W960" i="1"/>
  <c r="L960" i="1"/>
  <c r="K960" i="1"/>
  <c r="J960" i="1"/>
  <c r="G960" i="1"/>
  <c r="F960" i="1"/>
  <c r="W959" i="1"/>
  <c r="L959" i="1"/>
  <c r="K959" i="1"/>
  <c r="J959" i="1"/>
  <c r="G959" i="1"/>
  <c r="F959" i="1"/>
  <c r="W958" i="1"/>
  <c r="L958" i="1"/>
  <c r="K958" i="1"/>
  <c r="J958" i="1"/>
  <c r="G958" i="1"/>
  <c r="F958" i="1"/>
  <c r="W957" i="1"/>
  <c r="L957" i="1"/>
  <c r="K957" i="1"/>
  <c r="J957" i="1"/>
  <c r="G957" i="1"/>
  <c r="F957" i="1"/>
  <c r="W956" i="1"/>
  <c r="L956" i="1"/>
  <c r="K956" i="1"/>
  <c r="J956" i="1"/>
  <c r="G956" i="1"/>
  <c r="F956" i="1"/>
  <c r="W955" i="1"/>
  <c r="L955" i="1"/>
  <c r="K955" i="1"/>
  <c r="J955" i="1"/>
  <c r="G955" i="1"/>
  <c r="F955" i="1"/>
  <c r="W954" i="1"/>
  <c r="L954" i="1"/>
  <c r="K954" i="1"/>
  <c r="J954" i="1"/>
  <c r="G954" i="1"/>
  <c r="F954" i="1"/>
  <c r="W953" i="1"/>
  <c r="L953" i="1"/>
  <c r="K953" i="1"/>
  <c r="J953" i="1"/>
  <c r="G953" i="1"/>
  <c r="F953" i="1"/>
  <c r="W952" i="1"/>
  <c r="L952" i="1"/>
  <c r="K952" i="1"/>
  <c r="J952" i="1"/>
  <c r="G952" i="1"/>
  <c r="F952" i="1"/>
  <c r="W951" i="1"/>
  <c r="L951" i="1"/>
  <c r="K951" i="1"/>
  <c r="J951" i="1"/>
  <c r="G951" i="1"/>
  <c r="F951" i="1"/>
  <c r="W950" i="1"/>
  <c r="L950" i="1"/>
  <c r="K950" i="1"/>
  <c r="J950" i="1"/>
  <c r="G950" i="1"/>
  <c r="F950" i="1"/>
  <c r="W949" i="1"/>
  <c r="L949" i="1"/>
  <c r="K949" i="1"/>
  <c r="J949" i="1"/>
  <c r="G949" i="1"/>
  <c r="F949" i="1"/>
  <c r="W948" i="1"/>
  <c r="L948" i="1"/>
  <c r="K948" i="1"/>
  <c r="J948" i="1"/>
  <c r="G948" i="1"/>
  <c r="F948" i="1"/>
  <c r="W947" i="1"/>
  <c r="L947" i="1"/>
  <c r="K947" i="1"/>
  <c r="J947" i="1"/>
  <c r="G947" i="1"/>
  <c r="F947" i="1"/>
  <c r="W946" i="1"/>
  <c r="L946" i="1"/>
  <c r="K946" i="1"/>
  <c r="J946" i="1"/>
  <c r="G946" i="1"/>
  <c r="F946" i="1"/>
  <c r="W945" i="1"/>
  <c r="L945" i="1"/>
  <c r="K945" i="1"/>
  <c r="J945" i="1"/>
  <c r="G945" i="1"/>
  <c r="F945" i="1"/>
  <c r="W944" i="1"/>
  <c r="L944" i="1"/>
  <c r="K944" i="1"/>
  <c r="J944" i="1"/>
  <c r="G944" i="1"/>
  <c r="F944" i="1"/>
  <c r="W943" i="1"/>
  <c r="L943" i="1"/>
  <c r="K943" i="1"/>
  <c r="J943" i="1"/>
  <c r="G943" i="1"/>
  <c r="F943" i="1"/>
  <c r="W942" i="1"/>
  <c r="L942" i="1"/>
  <c r="K942" i="1"/>
  <c r="J942" i="1"/>
  <c r="G942" i="1"/>
  <c r="F942" i="1"/>
  <c r="W941" i="1"/>
  <c r="L941" i="1"/>
  <c r="K941" i="1"/>
  <c r="J941" i="1"/>
  <c r="G941" i="1"/>
  <c r="F941" i="1"/>
  <c r="W940" i="1"/>
  <c r="L940" i="1"/>
  <c r="K940" i="1"/>
  <c r="J940" i="1"/>
  <c r="G940" i="1"/>
  <c r="F940" i="1"/>
  <c r="W939" i="1"/>
  <c r="L939" i="1"/>
  <c r="K939" i="1"/>
  <c r="J939" i="1"/>
  <c r="G939" i="1"/>
  <c r="F939" i="1"/>
  <c r="W938" i="1"/>
  <c r="L938" i="1"/>
  <c r="K938" i="1"/>
  <c r="J938" i="1"/>
  <c r="G938" i="1"/>
  <c r="F938" i="1"/>
  <c r="W937" i="1"/>
  <c r="L937" i="1"/>
  <c r="K937" i="1"/>
  <c r="J937" i="1"/>
  <c r="G937" i="1"/>
  <c r="F937" i="1"/>
  <c r="W936" i="1"/>
  <c r="L936" i="1"/>
  <c r="K936" i="1"/>
  <c r="J936" i="1"/>
  <c r="G936" i="1"/>
  <c r="F936" i="1"/>
  <c r="W935" i="1"/>
  <c r="L935" i="1"/>
  <c r="K935" i="1"/>
  <c r="J935" i="1"/>
  <c r="G935" i="1"/>
  <c r="F935" i="1"/>
  <c r="W934" i="1"/>
  <c r="L934" i="1"/>
  <c r="K934" i="1"/>
  <c r="J934" i="1"/>
  <c r="G934" i="1"/>
  <c r="F934" i="1"/>
  <c r="W933" i="1"/>
  <c r="L933" i="1"/>
  <c r="K933" i="1"/>
  <c r="J933" i="1"/>
  <c r="G933" i="1"/>
  <c r="F933" i="1"/>
  <c r="W932" i="1"/>
  <c r="L932" i="1"/>
  <c r="K932" i="1"/>
  <c r="J932" i="1"/>
  <c r="G932" i="1"/>
  <c r="F932" i="1"/>
  <c r="W931" i="1"/>
  <c r="L931" i="1"/>
  <c r="K931" i="1"/>
  <c r="J931" i="1"/>
  <c r="G931" i="1"/>
  <c r="F931" i="1"/>
  <c r="W930" i="1"/>
  <c r="L930" i="1"/>
  <c r="K930" i="1"/>
  <c r="J930" i="1"/>
  <c r="G930" i="1"/>
  <c r="F930" i="1"/>
  <c r="W929" i="1"/>
  <c r="L929" i="1"/>
  <c r="K929" i="1"/>
  <c r="J929" i="1"/>
  <c r="G929" i="1"/>
  <c r="F929" i="1"/>
  <c r="W928" i="1"/>
  <c r="L928" i="1"/>
  <c r="K928" i="1"/>
  <c r="J928" i="1"/>
  <c r="G928" i="1"/>
  <c r="F928" i="1"/>
  <c r="W927" i="1"/>
  <c r="L927" i="1"/>
  <c r="K927" i="1"/>
  <c r="J927" i="1"/>
  <c r="G927" i="1"/>
  <c r="F927" i="1"/>
  <c r="W926" i="1"/>
  <c r="L926" i="1"/>
  <c r="K926" i="1"/>
  <c r="J926" i="1"/>
  <c r="G926" i="1"/>
  <c r="F926" i="1"/>
  <c r="W925" i="1"/>
  <c r="L925" i="1"/>
  <c r="K925" i="1"/>
  <c r="J925" i="1"/>
  <c r="G925" i="1"/>
  <c r="F925" i="1"/>
  <c r="W924" i="1"/>
  <c r="L924" i="1"/>
  <c r="K924" i="1"/>
  <c r="J924" i="1"/>
  <c r="G924" i="1"/>
  <c r="F924" i="1"/>
  <c r="W923" i="1"/>
  <c r="L923" i="1"/>
  <c r="K923" i="1"/>
  <c r="J923" i="1"/>
  <c r="G923" i="1"/>
  <c r="F923" i="1"/>
  <c r="W922" i="1"/>
  <c r="L922" i="1"/>
  <c r="K922" i="1"/>
  <c r="J922" i="1"/>
  <c r="G922" i="1"/>
  <c r="F922" i="1"/>
  <c r="W921" i="1"/>
  <c r="L921" i="1"/>
  <c r="K921" i="1"/>
  <c r="J921" i="1"/>
  <c r="G921" i="1"/>
  <c r="F921" i="1"/>
  <c r="W920" i="1"/>
  <c r="L920" i="1"/>
  <c r="K920" i="1"/>
  <c r="J920" i="1"/>
  <c r="G920" i="1"/>
  <c r="F920" i="1"/>
  <c r="W919" i="1"/>
  <c r="L919" i="1"/>
  <c r="K919" i="1"/>
  <c r="J919" i="1"/>
  <c r="G919" i="1"/>
  <c r="F919" i="1"/>
  <c r="W918" i="1"/>
  <c r="L918" i="1"/>
  <c r="K918" i="1"/>
  <c r="J918" i="1"/>
  <c r="G918" i="1"/>
  <c r="F918" i="1"/>
  <c r="W917" i="1"/>
  <c r="L917" i="1"/>
  <c r="K917" i="1"/>
  <c r="J917" i="1"/>
  <c r="G917" i="1"/>
  <c r="F917" i="1"/>
  <c r="W916" i="1"/>
  <c r="L916" i="1"/>
  <c r="K916" i="1"/>
  <c r="J916" i="1"/>
  <c r="G916" i="1"/>
  <c r="F916" i="1"/>
  <c r="W915" i="1"/>
  <c r="L915" i="1"/>
  <c r="K915" i="1"/>
  <c r="J915" i="1"/>
  <c r="G915" i="1"/>
  <c r="F915" i="1"/>
  <c r="W914" i="1"/>
  <c r="L914" i="1"/>
  <c r="K914" i="1"/>
  <c r="J914" i="1"/>
  <c r="G914" i="1"/>
  <c r="F914" i="1"/>
  <c r="W913" i="1"/>
  <c r="L913" i="1"/>
  <c r="K913" i="1"/>
  <c r="J913" i="1"/>
  <c r="G913" i="1"/>
  <c r="F913" i="1"/>
  <c r="W912" i="1"/>
  <c r="L912" i="1"/>
  <c r="K912" i="1"/>
  <c r="J912" i="1"/>
  <c r="G912" i="1"/>
  <c r="F912" i="1"/>
  <c r="W911" i="1"/>
  <c r="L911" i="1"/>
  <c r="K911" i="1"/>
  <c r="J911" i="1"/>
  <c r="G911" i="1"/>
  <c r="F911" i="1"/>
  <c r="W910" i="1"/>
  <c r="L910" i="1"/>
  <c r="K910" i="1"/>
  <c r="J910" i="1"/>
  <c r="G910" i="1"/>
  <c r="F910" i="1"/>
  <c r="W909" i="1"/>
  <c r="L909" i="1"/>
  <c r="K909" i="1"/>
  <c r="J909" i="1"/>
  <c r="G909" i="1"/>
  <c r="F909" i="1"/>
  <c r="W908" i="1"/>
  <c r="L908" i="1"/>
  <c r="K908" i="1"/>
  <c r="J908" i="1"/>
  <c r="G908" i="1"/>
  <c r="F908" i="1"/>
  <c r="W907" i="1"/>
  <c r="L907" i="1"/>
  <c r="K907" i="1"/>
  <c r="J907" i="1"/>
  <c r="G907" i="1"/>
  <c r="F907" i="1"/>
  <c r="W906" i="1"/>
  <c r="L906" i="1"/>
  <c r="K906" i="1"/>
  <c r="J906" i="1"/>
  <c r="G906" i="1"/>
  <c r="F906" i="1"/>
  <c r="W905" i="1"/>
  <c r="L905" i="1"/>
  <c r="K905" i="1"/>
  <c r="J905" i="1"/>
  <c r="G905" i="1"/>
  <c r="F905" i="1"/>
  <c r="W904" i="1"/>
  <c r="L904" i="1"/>
  <c r="K904" i="1"/>
  <c r="J904" i="1"/>
  <c r="G904" i="1"/>
  <c r="F904" i="1"/>
  <c r="W903" i="1"/>
  <c r="L903" i="1"/>
  <c r="K903" i="1"/>
  <c r="J903" i="1"/>
  <c r="G903" i="1"/>
  <c r="F903" i="1"/>
  <c r="W902" i="1"/>
  <c r="L902" i="1"/>
  <c r="K902" i="1"/>
  <c r="J902" i="1"/>
  <c r="G902" i="1"/>
  <c r="F902" i="1"/>
  <c r="W901" i="1"/>
  <c r="L901" i="1"/>
  <c r="K901" i="1"/>
  <c r="J901" i="1"/>
  <c r="G901" i="1"/>
  <c r="F901" i="1"/>
  <c r="W900" i="1"/>
  <c r="L900" i="1"/>
  <c r="K900" i="1"/>
  <c r="J900" i="1"/>
  <c r="G900" i="1"/>
  <c r="F900" i="1"/>
  <c r="W899" i="1"/>
  <c r="L899" i="1"/>
  <c r="K899" i="1"/>
  <c r="J899" i="1"/>
  <c r="G899" i="1"/>
  <c r="F899" i="1"/>
  <c r="W898" i="1"/>
  <c r="L898" i="1"/>
  <c r="K898" i="1"/>
  <c r="J898" i="1"/>
  <c r="G898" i="1"/>
  <c r="F898" i="1"/>
  <c r="W897" i="1"/>
  <c r="L897" i="1"/>
  <c r="K897" i="1"/>
  <c r="J897" i="1"/>
  <c r="G897" i="1"/>
  <c r="F897" i="1"/>
  <c r="W896" i="1"/>
  <c r="L896" i="1"/>
  <c r="K896" i="1"/>
  <c r="J896" i="1"/>
  <c r="G896" i="1"/>
  <c r="F896" i="1"/>
  <c r="W895" i="1"/>
  <c r="L895" i="1"/>
  <c r="K895" i="1"/>
  <c r="J895" i="1"/>
  <c r="G895" i="1"/>
  <c r="F895" i="1"/>
  <c r="W894" i="1"/>
  <c r="L894" i="1"/>
  <c r="K894" i="1"/>
  <c r="J894" i="1"/>
  <c r="G894" i="1"/>
  <c r="F894" i="1"/>
  <c r="W893" i="1"/>
  <c r="L893" i="1"/>
  <c r="K893" i="1"/>
  <c r="J893" i="1"/>
  <c r="G893" i="1"/>
  <c r="F893" i="1"/>
  <c r="W892" i="1"/>
  <c r="L892" i="1"/>
  <c r="K892" i="1"/>
  <c r="J892" i="1"/>
  <c r="G892" i="1"/>
  <c r="F892" i="1"/>
  <c r="W891" i="1"/>
  <c r="L891" i="1"/>
  <c r="K891" i="1"/>
  <c r="J891" i="1"/>
  <c r="G891" i="1"/>
  <c r="F891" i="1"/>
  <c r="W890" i="1"/>
  <c r="L890" i="1"/>
  <c r="K890" i="1"/>
  <c r="J890" i="1"/>
  <c r="G890" i="1"/>
  <c r="F890" i="1"/>
  <c r="W889" i="1"/>
  <c r="L889" i="1"/>
  <c r="K889" i="1"/>
  <c r="J889" i="1"/>
  <c r="G889" i="1"/>
  <c r="F889" i="1"/>
  <c r="W888" i="1"/>
  <c r="L888" i="1"/>
  <c r="K888" i="1"/>
  <c r="J888" i="1"/>
  <c r="G888" i="1"/>
  <c r="F888" i="1"/>
  <c r="W887" i="1"/>
  <c r="L887" i="1"/>
  <c r="K887" i="1"/>
  <c r="J887" i="1"/>
  <c r="G887" i="1"/>
  <c r="F887" i="1"/>
  <c r="W886" i="1"/>
  <c r="L886" i="1"/>
  <c r="K886" i="1"/>
  <c r="J886" i="1"/>
  <c r="G886" i="1"/>
  <c r="F886" i="1"/>
  <c r="W885" i="1"/>
  <c r="L885" i="1"/>
  <c r="K885" i="1"/>
  <c r="J885" i="1"/>
  <c r="G885" i="1"/>
  <c r="F885" i="1"/>
  <c r="W884" i="1"/>
  <c r="L884" i="1"/>
  <c r="K884" i="1"/>
  <c r="J884" i="1"/>
  <c r="G884" i="1"/>
  <c r="F884" i="1"/>
  <c r="W883" i="1"/>
  <c r="L883" i="1"/>
  <c r="K883" i="1"/>
  <c r="J883" i="1"/>
  <c r="G883" i="1"/>
  <c r="F883" i="1"/>
  <c r="W882" i="1"/>
  <c r="L882" i="1"/>
  <c r="K882" i="1"/>
  <c r="J882" i="1"/>
  <c r="G882" i="1"/>
  <c r="F882" i="1"/>
  <c r="W881" i="1"/>
  <c r="L881" i="1"/>
  <c r="K881" i="1"/>
  <c r="J881" i="1"/>
  <c r="G881" i="1"/>
  <c r="F881" i="1"/>
  <c r="W880" i="1"/>
  <c r="L880" i="1"/>
  <c r="K880" i="1"/>
  <c r="J880" i="1"/>
  <c r="G880" i="1"/>
  <c r="F880" i="1"/>
  <c r="W879" i="1"/>
  <c r="L879" i="1"/>
  <c r="K879" i="1"/>
  <c r="J879" i="1"/>
  <c r="G879" i="1"/>
  <c r="F879" i="1"/>
  <c r="W878" i="1"/>
  <c r="L878" i="1"/>
  <c r="K878" i="1"/>
  <c r="J878" i="1"/>
  <c r="G878" i="1"/>
  <c r="F878" i="1"/>
  <c r="W877" i="1"/>
  <c r="L877" i="1"/>
  <c r="K877" i="1"/>
  <c r="J877" i="1"/>
  <c r="G877" i="1"/>
  <c r="F877" i="1"/>
  <c r="W876" i="1"/>
  <c r="L876" i="1"/>
  <c r="K876" i="1"/>
  <c r="J876" i="1"/>
  <c r="G876" i="1"/>
  <c r="F876" i="1"/>
  <c r="W875" i="1"/>
  <c r="L875" i="1"/>
  <c r="K875" i="1"/>
  <c r="J875" i="1"/>
  <c r="G875" i="1"/>
  <c r="F875" i="1"/>
  <c r="W874" i="1"/>
  <c r="L874" i="1"/>
  <c r="K874" i="1"/>
  <c r="J874" i="1"/>
  <c r="G874" i="1"/>
  <c r="F874" i="1"/>
  <c r="W873" i="1"/>
  <c r="L873" i="1"/>
  <c r="K873" i="1"/>
  <c r="J873" i="1"/>
  <c r="G873" i="1"/>
  <c r="F873" i="1"/>
  <c r="W872" i="1"/>
  <c r="L872" i="1"/>
  <c r="K872" i="1"/>
  <c r="J872" i="1"/>
  <c r="G872" i="1"/>
  <c r="F872" i="1"/>
  <c r="W871" i="1"/>
  <c r="L871" i="1"/>
  <c r="K871" i="1"/>
  <c r="J871" i="1"/>
  <c r="G871" i="1"/>
  <c r="F871" i="1"/>
  <c r="W870" i="1"/>
  <c r="L870" i="1"/>
  <c r="K870" i="1"/>
  <c r="J870" i="1"/>
  <c r="G870" i="1"/>
  <c r="F870" i="1"/>
  <c r="W869" i="1"/>
  <c r="L869" i="1"/>
  <c r="K869" i="1"/>
  <c r="J869" i="1"/>
  <c r="G869" i="1"/>
  <c r="F869" i="1"/>
  <c r="W868" i="1"/>
  <c r="L868" i="1"/>
  <c r="K868" i="1"/>
  <c r="J868" i="1"/>
  <c r="G868" i="1"/>
  <c r="F868" i="1"/>
  <c r="W867" i="1"/>
  <c r="L867" i="1"/>
  <c r="K867" i="1"/>
  <c r="J867" i="1"/>
  <c r="G867" i="1"/>
  <c r="F867" i="1"/>
  <c r="W866" i="1"/>
  <c r="L866" i="1"/>
  <c r="K866" i="1"/>
  <c r="J866" i="1"/>
  <c r="G866" i="1"/>
  <c r="F866" i="1"/>
  <c r="W865" i="1"/>
  <c r="L865" i="1"/>
  <c r="K865" i="1"/>
  <c r="J865" i="1"/>
  <c r="G865" i="1"/>
  <c r="F865" i="1"/>
  <c r="W864" i="1"/>
  <c r="L864" i="1"/>
  <c r="K864" i="1"/>
  <c r="J864" i="1"/>
  <c r="G864" i="1"/>
  <c r="F864" i="1"/>
  <c r="W863" i="1"/>
  <c r="L863" i="1"/>
  <c r="K863" i="1"/>
  <c r="J863" i="1"/>
  <c r="G863" i="1"/>
  <c r="F863" i="1"/>
  <c r="W862" i="1"/>
  <c r="L862" i="1"/>
  <c r="K862" i="1"/>
  <c r="J862" i="1"/>
  <c r="G862" i="1"/>
  <c r="F862" i="1"/>
  <c r="W861" i="1"/>
  <c r="L861" i="1"/>
  <c r="K861" i="1"/>
  <c r="J861" i="1"/>
  <c r="G861" i="1"/>
  <c r="F861" i="1"/>
  <c r="W860" i="1"/>
  <c r="L860" i="1"/>
  <c r="K860" i="1"/>
  <c r="J860" i="1"/>
  <c r="G860" i="1"/>
  <c r="F860" i="1"/>
  <c r="W859" i="1"/>
  <c r="L859" i="1"/>
  <c r="K859" i="1"/>
  <c r="J859" i="1"/>
  <c r="G859" i="1"/>
  <c r="F859" i="1"/>
  <c r="W858" i="1"/>
  <c r="L858" i="1"/>
  <c r="K858" i="1"/>
  <c r="J858" i="1"/>
  <c r="G858" i="1"/>
  <c r="F858" i="1"/>
  <c r="W857" i="1"/>
  <c r="L857" i="1"/>
  <c r="K857" i="1"/>
  <c r="J857" i="1"/>
  <c r="G857" i="1"/>
  <c r="F857" i="1"/>
  <c r="W856" i="1"/>
  <c r="L856" i="1"/>
  <c r="K856" i="1"/>
  <c r="J856" i="1"/>
  <c r="G856" i="1"/>
  <c r="F856" i="1"/>
  <c r="W855" i="1"/>
  <c r="L855" i="1"/>
  <c r="K855" i="1"/>
  <c r="J855" i="1"/>
  <c r="G855" i="1"/>
  <c r="F855" i="1"/>
  <c r="W854" i="1"/>
  <c r="L854" i="1"/>
  <c r="K854" i="1"/>
  <c r="J854" i="1"/>
  <c r="G854" i="1"/>
  <c r="F854" i="1"/>
  <c r="W853" i="1"/>
  <c r="L853" i="1"/>
  <c r="K853" i="1"/>
  <c r="J853" i="1"/>
  <c r="G853" i="1"/>
  <c r="F853" i="1"/>
  <c r="W852" i="1"/>
  <c r="L852" i="1"/>
  <c r="K852" i="1"/>
  <c r="J852" i="1"/>
  <c r="G852" i="1"/>
  <c r="F852" i="1"/>
  <c r="W851" i="1"/>
  <c r="L851" i="1"/>
  <c r="K851" i="1"/>
  <c r="J851" i="1"/>
  <c r="G851" i="1"/>
  <c r="F851" i="1"/>
  <c r="W850" i="1"/>
  <c r="L850" i="1"/>
  <c r="K850" i="1"/>
  <c r="J850" i="1"/>
  <c r="G850" i="1"/>
  <c r="F850" i="1"/>
  <c r="W849" i="1"/>
  <c r="L849" i="1"/>
  <c r="K849" i="1"/>
  <c r="J849" i="1"/>
  <c r="G849" i="1"/>
  <c r="F849" i="1"/>
  <c r="W848" i="1"/>
  <c r="L848" i="1"/>
  <c r="K848" i="1"/>
  <c r="J848" i="1"/>
  <c r="G848" i="1"/>
  <c r="F848" i="1"/>
  <c r="W847" i="1"/>
  <c r="L847" i="1"/>
  <c r="K847" i="1"/>
  <c r="J847" i="1"/>
  <c r="G847" i="1"/>
  <c r="F847" i="1"/>
  <c r="W846" i="1"/>
  <c r="L846" i="1"/>
  <c r="K846" i="1"/>
  <c r="J846" i="1"/>
  <c r="G846" i="1"/>
  <c r="F846" i="1"/>
  <c r="W845" i="1"/>
  <c r="L845" i="1"/>
  <c r="K845" i="1"/>
  <c r="J845" i="1"/>
  <c r="G845" i="1"/>
  <c r="F845" i="1"/>
  <c r="W844" i="1"/>
  <c r="L844" i="1"/>
  <c r="K844" i="1"/>
  <c r="J844" i="1"/>
  <c r="G844" i="1"/>
  <c r="F844" i="1"/>
  <c r="W843" i="1"/>
  <c r="L843" i="1"/>
  <c r="K843" i="1"/>
  <c r="J843" i="1"/>
  <c r="G843" i="1"/>
  <c r="F843" i="1"/>
  <c r="W842" i="1"/>
  <c r="L842" i="1"/>
  <c r="K842" i="1"/>
  <c r="J842" i="1"/>
  <c r="G842" i="1"/>
  <c r="F842" i="1"/>
  <c r="W841" i="1"/>
  <c r="L841" i="1"/>
  <c r="K841" i="1"/>
  <c r="J841" i="1"/>
  <c r="G841" i="1"/>
  <c r="F841" i="1"/>
  <c r="W840" i="1"/>
  <c r="L840" i="1"/>
  <c r="K840" i="1"/>
  <c r="J840" i="1"/>
  <c r="G840" i="1"/>
  <c r="F840" i="1"/>
  <c r="W839" i="1"/>
  <c r="L839" i="1"/>
  <c r="K839" i="1"/>
  <c r="J839" i="1"/>
  <c r="G839" i="1"/>
  <c r="F839" i="1"/>
  <c r="W838" i="1"/>
  <c r="L838" i="1"/>
  <c r="K838" i="1"/>
  <c r="J838" i="1"/>
  <c r="G838" i="1"/>
  <c r="F838" i="1"/>
  <c r="W837" i="1"/>
  <c r="L837" i="1"/>
  <c r="K837" i="1"/>
  <c r="J837" i="1"/>
  <c r="G837" i="1"/>
  <c r="F837" i="1"/>
  <c r="W836" i="1"/>
  <c r="L836" i="1"/>
  <c r="K836" i="1"/>
  <c r="J836" i="1"/>
  <c r="G836" i="1"/>
  <c r="F836" i="1"/>
  <c r="W835" i="1"/>
  <c r="L835" i="1"/>
  <c r="K835" i="1"/>
  <c r="J835" i="1"/>
  <c r="G835" i="1"/>
  <c r="F835" i="1"/>
  <c r="W834" i="1"/>
  <c r="L834" i="1"/>
  <c r="K834" i="1"/>
  <c r="J834" i="1"/>
  <c r="G834" i="1"/>
  <c r="F834" i="1"/>
  <c r="W833" i="1"/>
  <c r="L833" i="1"/>
  <c r="K833" i="1"/>
  <c r="J833" i="1"/>
  <c r="G833" i="1"/>
  <c r="F833" i="1"/>
  <c r="W832" i="1"/>
  <c r="L832" i="1"/>
  <c r="K832" i="1"/>
  <c r="J832" i="1"/>
  <c r="G832" i="1"/>
  <c r="F832" i="1"/>
  <c r="W831" i="1"/>
  <c r="L831" i="1"/>
  <c r="K831" i="1"/>
  <c r="J831" i="1"/>
  <c r="G831" i="1"/>
  <c r="F831" i="1"/>
  <c r="W830" i="1"/>
  <c r="L830" i="1"/>
  <c r="K830" i="1"/>
  <c r="J830" i="1"/>
  <c r="G830" i="1"/>
  <c r="F830" i="1"/>
  <c r="W829" i="1"/>
  <c r="L829" i="1"/>
  <c r="K829" i="1"/>
  <c r="J829" i="1"/>
  <c r="G829" i="1"/>
  <c r="F829" i="1"/>
  <c r="W828" i="1"/>
  <c r="L828" i="1"/>
  <c r="K828" i="1"/>
  <c r="J828" i="1"/>
  <c r="G828" i="1"/>
  <c r="F828" i="1"/>
  <c r="W827" i="1"/>
  <c r="L827" i="1"/>
  <c r="K827" i="1"/>
  <c r="J827" i="1"/>
  <c r="G827" i="1"/>
  <c r="F827" i="1"/>
  <c r="W826" i="1"/>
  <c r="L826" i="1"/>
  <c r="K826" i="1"/>
  <c r="J826" i="1"/>
  <c r="G826" i="1"/>
  <c r="F826" i="1"/>
  <c r="W825" i="1"/>
  <c r="L825" i="1"/>
  <c r="K825" i="1"/>
  <c r="J825" i="1"/>
  <c r="G825" i="1"/>
  <c r="F825" i="1"/>
  <c r="W824" i="1"/>
  <c r="L824" i="1"/>
  <c r="K824" i="1"/>
  <c r="J824" i="1"/>
  <c r="G824" i="1"/>
  <c r="F824" i="1"/>
  <c r="W823" i="1"/>
  <c r="L823" i="1"/>
  <c r="K823" i="1"/>
  <c r="J823" i="1"/>
  <c r="G823" i="1"/>
  <c r="F823" i="1"/>
  <c r="W822" i="1"/>
  <c r="L822" i="1"/>
  <c r="K822" i="1"/>
  <c r="J822" i="1"/>
  <c r="G822" i="1"/>
  <c r="F822" i="1"/>
  <c r="W821" i="1"/>
  <c r="L821" i="1"/>
  <c r="K821" i="1"/>
  <c r="J821" i="1"/>
  <c r="G821" i="1"/>
  <c r="F821" i="1"/>
  <c r="W820" i="1"/>
  <c r="L820" i="1"/>
  <c r="K820" i="1"/>
  <c r="J820" i="1"/>
  <c r="G820" i="1"/>
  <c r="F820" i="1"/>
  <c r="W819" i="1"/>
  <c r="L819" i="1"/>
  <c r="K819" i="1"/>
  <c r="J819" i="1"/>
  <c r="G819" i="1"/>
  <c r="F819" i="1"/>
  <c r="W818" i="1"/>
  <c r="L818" i="1"/>
  <c r="K818" i="1"/>
  <c r="J818" i="1"/>
  <c r="G818" i="1"/>
  <c r="F818" i="1"/>
  <c r="W817" i="1"/>
  <c r="L817" i="1"/>
  <c r="K817" i="1"/>
  <c r="J817" i="1"/>
  <c r="G817" i="1"/>
  <c r="F817" i="1"/>
  <c r="W816" i="1"/>
  <c r="L816" i="1"/>
  <c r="K816" i="1"/>
  <c r="J816" i="1"/>
  <c r="G816" i="1"/>
  <c r="F816" i="1"/>
  <c r="W815" i="1"/>
  <c r="L815" i="1"/>
  <c r="K815" i="1"/>
  <c r="J815" i="1"/>
  <c r="G815" i="1"/>
  <c r="F815" i="1"/>
  <c r="W814" i="1"/>
  <c r="L814" i="1"/>
  <c r="K814" i="1"/>
  <c r="J814" i="1"/>
  <c r="G814" i="1"/>
  <c r="F814" i="1"/>
  <c r="W813" i="1"/>
  <c r="L813" i="1"/>
  <c r="K813" i="1"/>
  <c r="J813" i="1"/>
  <c r="G813" i="1"/>
  <c r="F813" i="1"/>
  <c r="W812" i="1"/>
  <c r="L812" i="1"/>
  <c r="K812" i="1"/>
  <c r="J812" i="1"/>
  <c r="G812" i="1"/>
  <c r="F812" i="1"/>
  <c r="W811" i="1"/>
  <c r="L811" i="1"/>
  <c r="K811" i="1"/>
  <c r="J811" i="1"/>
  <c r="G811" i="1"/>
  <c r="F811" i="1"/>
  <c r="W810" i="1"/>
  <c r="L810" i="1"/>
  <c r="K810" i="1"/>
  <c r="J810" i="1"/>
  <c r="G810" i="1"/>
  <c r="F810" i="1"/>
  <c r="W809" i="1"/>
  <c r="L809" i="1"/>
  <c r="K809" i="1"/>
  <c r="J809" i="1"/>
  <c r="G809" i="1"/>
  <c r="F809" i="1"/>
  <c r="W808" i="1"/>
  <c r="L808" i="1"/>
  <c r="K808" i="1"/>
  <c r="J808" i="1"/>
  <c r="G808" i="1"/>
  <c r="F808" i="1"/>
  <c r="W807" i="1"/>
  <c r="L807" i="1"/>
  <c r="K807" i="1"/>
  <c r="J807" i="1"/>
  <c r="G807" i="1"/>
  <c r="F807" i="1"/>
  <c r="W806" i="1"/>
  <c r="L806" i="1"/>
  <c r="K806" i="1"/>
  <c r="J806" i="1"/>
  <c r="G806" i="1"/>
  <c r="F806" i="1"/>
  <c r="W805" i="1"/>
  <c r="L805" i="1"/>
  <c r="K805" i="1"/>
  <c r="J805" i="1"/>
  <c r="G805" i="1"/>
  <c r="F805" i="1"/>
  <c r="W804" i="1"/>
  <c r="L804" i="1"/>
  <c r="K804" i="1"/>
  <c r="J804" i="1"/>
  <c r="G804" i="1"/>
  <c r="F804" i="1"/>
  <c r="W803" i="1"/>
  <c r="L803" i="1"/>
  <c r="K803" i="1"/>
  <c r="J803" i="1"/>
  <c r="G803" i="1"/>
  <c r="F803" i="1"/>
  <c r="W802" i="1"/>
  <c r="L802" i="1"/>
  <c r="K802" i="1"/>
  <c r="J802" i="1"/>
  <c r="G802" i="1"/>
  <c r="F802" i="1"/>
  <c r="W801" i="1"/>
  <c r="L801" i="1"/>
  <c r="K801" i="1"/>
  <c r="J801" i="1"/>
  <c r="G801" i="1"/>
  <c r="F801" i="1"/>
  <c r="W800" i="1"/>
  <c r="L800" i="1"/>
  <c r="K800" i="1"/>
  <c r="J800" i="1"/>
  <c r="G800" i="1"/>
  <c r="F800" i="1"/>
  <c r="W799" i="1"/>
  <c r="L799" i="1"/>
  <c r="K799" i="1"/>
  <c r="J799" i="1"/>
  <c r="G799" i="1"/>
  <c r="F799" i="1"/>
  <c r="W798" i="1"/>
  <c r="L798" i="1"/>
  <c r="K798" i="1"/>
  <c r="J798" i="1"/>
  <c r="G798" i="1"/>
  <c r="F798" i="1"/>
  <c r="W797" i="1"/>
  <c r="L797" i="1"/>
  <c r="K797" i="1"/>
  <c r="J797" i="1"/>
  <c r="G797" i="1"/>
  <c r="F797" i="1"/>
  <c r="W796" i="1"/>
  <c r="L796" i="1"/>
  <c r="K796" i="1"/>
  <c r="J796" i="1"/>
  <c r="G796" i="1"/>
  <c r="F796" i="1"/>
  <c r="W795" i="1"/>
  <c r="L795" i="1"/>
  <c r="K795" i="1"/>
  <c r="J795" i="1"/>
  <c r="G795" i="1"/>
  <c r="F795" i="1"/>
  <c r="W794" i="1"/>
  <c r="L794" i="1"/>
  <c r="K794" i="1"/>
  <c r="J794" i="1"/>
  <c r="G794" i="1"/>
  <c r="F794" i="1"/>
  <c r="W793" i="1"/>
  <c r="L793" i="1"/>
  <c r="K793" i="1"/>
  <c r="J793" i="1"/>
  <c r="G793" i="1"/>
  <c r="F793" i="1"/>
  <c r="W792" i="1"/>
  <c r="L792" i="1"/>
  <c r="K792" i="1"/>
  <c r="J792" i="1"/>
  <c r="G792" i="1"/>
  <c r="F792" i="1"/>
  <c r="W791" i="1"/>
  <c r="L791" i="1"/>
  <c r="K791" i="1"/>
  <c r="J791" i="1"/>
  <c r="G791" i="1"/>
  <c r="F791" i="1"/>
  <c r="W790" i="1"/>
  <c r="L790" i="1"/>
  <c r="K790" i="1"/>
  <c r="J790" i="1"/>
  <c r="G790" i="1"/>
  <c r="F790" i="1"/>
  <c r="W789" i="1"/>
  <c r="L789" i="1"/>
  <c r="K789" i="1"/>
  <c r="J789" i="1"/>
  <c r="G789" i="1"/>
  <c r="F789" i="1"/>
  <c r="W788" i="1"/>
  <c r="L788" i="1"/>
  <c r="K788" i="1"/>
  <c r="J788" i="1"/>
  <c r="G788" i="1"/>
  <c r="F788" i="1"/>
  <c r="W787" i="1"/>
  <c r="L787" i="1"/>
  <c r="K787" i="1"/>
  <c r="J787" i="1"/>
  <c r="G787" i="1"/>
  <c r="F787" i="1"/>
  <c r="W786" i="1"/>
  <c r="L786" i="1"/>
  <c r="K786" i="1"/>
  <c r="J786" i="1"/>
  <c r="G786" i="1"/>
  <c r="F786" i="1"/>
  <c r="W785" i="1"/>
  <c r="L785" i="1"/>
  <c r="K785" i="1"/>
  <c r="J785" i="1"/>
  <c r="G785" i="1"/>
  <c r="F785" i="1"/>
  <c r="W784" i="1"/>
  <c r="L784" i="1"/>
  <c r="K784" i="1"/>
  <c r="J784" i="1"/>
  <c r="G784" i="1"/>
  <c r="F784" i="1"/>
  <c r="W783" i="1"/>
  <c r="L783" i="1"/>
  <c r="K783" i="1"/>
  <c r="J783" i="1"/>
  <c r="G783" i="1"/>
  <c r="F783" i="1"/>
  <c r="W782" i="1"/>
  <c r="L782" i="1"/>
  <c r="K782" i="1"/>
  <c r="J782" i="1"/>
  <c r="G782" i="1"/>
  <c r="F782" i="1"/>
  <c r="W781" i="1"/>
  <c r="L781" i="1"/>
  <c r="K781" i="1"/>
  <c r="J781" i="1"/>
  <c r="G781" i="1"/>
  <c r="F781" i="1"/>
  <c r="W780" i="1"/>
  <c r="L780" i="1"/>
  <c r="K780" i="1"/>
  <c r="J780" i="1"/>
  <c r="G780" i="1"/>
  <c r="F780" i="1"/>
  <c r="W779" i="1"/>
  <c r="L779" i="1"/>
  <c r="K779" i="1"/>
  <c r="J779" i="1"/>
  <c r="G779" i="1"/>
  <c r="F779" i="1"/>
  <c r="W778" i="1"/>
  <c r="L778" i="1"/>
  <c r="K778" i="1"/>
  <c r="J778" i="1"/>
  <c r="G778" i="1"/>
  <c r="F778" i="1"/>
  <c r="W777" i="1"/>
  <c r="L777" i="1"/>
  <c r="K777" i="1"/>
  <c r="J777" i="1"/>
  <c r="G777" i="1"/>
  <c r="F777" i="1"/>
  <c r="W776" i="1"/>
  <c r="L776" i="1"/>
  <c r="K776" i="1"/>
  <c r="J776" i="1"/>
  <c r="G776" i="1"/>
  <c r="F776" i="1"/>
  <c r="W775" i="1"/>
  <c r="L775" i="1"/>
  <c r="K775" i="1"/>
  <c r="J775" i="1"/>
  <c r="G775" i="1"/>
  <c r="F775" i="1"/>
  <c r="W774" i="1"/>
  <c r="L774" i="1"/>
  <c r="K774" i="1"/>
  <c r="J774" i="1"/>
  <c r="G774" i="1"/>
  <c r="F774" i="1"/>
  <c r="W773" i="1"/>
  <c r="L773" i="1"/>
  <c r="K773" i="1"/>
  <c r="J773" i="1"/>
  <c r="G773" i="1"/>
  <c r="F773" i="1"/>
  <c r="W772" i="1"/>
  <c r="L772" i="1"/>
  <c r="K772" i="1"/>
  <c r="J772" i="1"/>
  <c r="G772" i="1"/>
  <c r="F772" i="1"/>
  <c r="W771" i="1"/>
  <c r="L771" i="1"/>
  <c r="K771" i="1"/>
  <c r="J771" i="1"/>
  <c r="G771" i="1"/>
  <c r="F771" i="1"/>
  <c r="W770" i="1"/>
  <c r="L770" i="1"/>
  <c r="K770" i="1"/>
  <c r="J770" i="1"/>
  <c r="G770" i="1"/>
  <c r="F770" i="1"/>
  <c r="W769" i="1"/>
  <c r="L769" i="1"/>
  <c r="K769" i="1"/>
  <c r="J769" i="1"/>
  <c r="G769" i="1"/>
  <c r="F769" i="1"/>
  <c r="W768" i="1"/>
  <c r="L768" i="1"/>
  <c r="K768" i="1"/>
  <c r="J768" i="1"/>
  <c r="G768" i="1"/>
  <c r="F768" i="1"/>
  <c r="W767" i="1"/>
  <c r="L767" i="1"/>
  <c r="K767" i="1"/>
  <c r="J767" i="1"/>
  <c r="G767" i="1"/>
  <c r="F767" i="1"/>
  <c r="W766" i="1"/>
  <c r="L766" i="1"/>
  <c r="K766" i="1"/>
  <c r="J766" i="1"/>
  <c r="G766" i="1"/>
  <c r="F766" i="1"/>
  <c r="W765" i="1"/>
  <c r="L765" i="1"/>
  <c r="K765" i="1"/>
  <c r="J765" i="1"/>
  <c r="G765" i="1"/>
  <c r="F765" i="1"/>
  <c r="W764" i="1"/>
  <c r="L764" i="1"/>
  <c r="K764" i="1"/>
  <c r="J764" i="1"/>
  <c r="G764" i="1"/>
  <c r="F764" i="1"/>
  <c r="W763" i="1"/>
  <c r="L763" i="1"/>
  <c r="K763" i="1"/>
  <c r="J763" i="1"/>
  <c r="G763" i="1"/>
  <c r="F763" i="1"/>
  <c r="W762" i="1"/>
  <c r="L762" i="1"/>
  <c r="K762" i="1"/>
  <c r="J762" i="1"/>
  <c r="G762" i="1"/>
  <c r="F762" i="1"/>
  <c r="W761" i="1"/>
  <c r="L761" i="1"/>
  <c r="K761" i="1"/>
  <c r="J761" i="1"/>
  <c r="G761" i="1"/>
  <c r="F761" i="1"/>
  <c r="W760" i="1"/>
  <c r="L760" i="1"/>
  <c r="K760" i="1"/>
  <c r="J760" i="1"/>
  <c r="G760" i="1"/>
  <c r="F760" i="1"/>
  <c r="W759" i="1"/>
  <c r="L759" i="1"/>
  <c r="K759" i="1"/>
  <c r="J759" i="1"/>
  <c r="G759" i="1"/>
  <c r="F759" i="1"/>
  <c r="W758" i="1"/>
  <c r="L758" i="1"/>
  <c r="K758" i="1"/>
  <c r="J758" i="1"/>
  <c r="G758" i="1"/>
  <c r="F758" i="1"/>
  <c r="W757" i="1"/>
  <c r="L757" i="1"/>
  <c r="K757" i="1"/>
  <c r="J757" i="1"/>
  <c r="G757" i="1"/>
  <c r="F757" i="1"/>
  <c r="W756" i="1"/>
  <c r="L756" i="1"/>
  <c r="K756" i="1"/>
  <c r="J756" i="1"/>
  <c r="G756" i="1"/>
  <c r="F756" i="1"/>
  <c r="W755" i="1"/>
  <c r="L755" i="1"/>
  <c r="K755" i="1"/>
  <c r="J755" i="1"/>
  <c r="G755" i="1"/>
  <c r="F755" i="1"/>
  <c r="W754" i="1"/>
  <c r="L754" i="1"/>
  <c r="K754" i="1"/>
  <c r="J754" i="1"/>
  <c r="G754" i="1"/>
  <c r="F754" i="1"/>
  <c r="W753" i="1"/>
  <c r="L753" i="1"/>
  <c r="K753" i="1"/>
  <c r="J753" i="1"/>
  <c r="G753" i="1"/>
  <c r="F753" i="1"/>
  <c r="W752" i="1"/>
  <c r="L752" i="1"/>
  <c r="K752" i="1"/>
  <c r="J752" i="1"/>
  <c r="G752" i="1"/>
  <c r="F752" i="1"/>
  <c r="W751" i="1"/>
  <c r="L751" i="1"/>
  <c r="K751" i="1"/>
  <c r="J751" i="1"/>
  <c r="G751" i="1"/>
  <c r="F751" i="1"/>
  <c r="W750" i="1"/>
  <c r="L750" i="1"/>
  <c r="K750" i="1"/>
  <c r="J750" i="1"/>
  <c r="G750" i="1"/>
  <c r="F750" i="1"/>
  <c r="W749" i="1"/>
  <c r="L749" i="1"/>
  <c r="K749" i="1"/>
  <c r="J749" i="1"/>
  <c r="G749" i="1"/>
  <c r="F749" i="1"/>
  <c r="W748" i="1"/>
  <c r="L748" i="1"/>
  <c r="K748" i="1"/>
  <c r="J748" i="1"/>
  <c r="G748" i="1"/>
  <c r="F748" i="1"/>
  <c r="W747" i="1"/>
  <c r="L747" i="1"/>
  <c r="K747" i="1"/>
  <c r="J747" i="1"/>
  <c r="G747" i="1"/>
  <c r="F747" i="1"/>
  <c r="W746" i="1"/>
  <c r="L746" i="1"/>
  <c r="K746" i="1"/>
  <c r="J746" i="1"/>
  <c r="G746" i="1"/>
  <c r="F746" i="1"/>
  <c r="W745" i="1"/>
  <c r="L745" i="1"/>
  <c r="K745" i="1"/>
  <c r="J745" i="1"/>
  <c r="G745" i="1"/>
  <c r="F745" i="1"/>
  <c r="W744" i="1"/>
  <c r="L744" i="1"/>
  <c r="K744" i="1"/>
  <c r="J744" i="1"/>
  <c r="G744" i="1"/>
  <c r="F744" i="1"/>
  <c r="W743" i="1"/>
  <c r="L743" i="1"/>
  <c r="K743" i="1"/>
  <c r="J743" i="1"/>
  <c r="G743" i="1"/>
  <c r="F743" i="1"/>
  <c r="W742" i="1"/>
  <c r="L742" i="1"/>
  <c r="K742" i="1"/>
  <c r="J742" i="1"/>
  <c r="G742" i="1"/>
  <c r="F742" i="1"/>
  <c r="W741" i="1"/>
  <c r="L741" i="1"/>
  <c r="K741" i="1"/>
  <c r="J741" i="1"/>
  <c r="G741" i="1"/>
  <c r="F741" i="1"/>
  <c r="W740" i="1"/>
  <c r="L740" i="1"/>
  <c r="K740" i="1"/>
  <c r="J740" i="1"/>
  <c r="G740" i="1"/>
  <c r="F740" i="1"/>
  <c r="W739" i="1"/>
  <c r="L739" i="1"/>
  <c r="K739" i="1"/>
  <c r="J739" i="1"/>
  <c r="G739" i="1"/>
  <c r="F739" i="1"/>
  <c r="W738" i="1"/>
  <c r="L738" i="1"/>
  <c r="K738" i="1"/>
  <c r="J738" i="1"/>
  <c r="G738" i="1"/>
  <c r="F738" i="1"/>
  <c r="W737" i="1"/>
  <c r="L737" i="1"/>
  <c r="K737" i="1"/>
  <c r="J737" i="1"/>
  <c r="G737" i="1"/>
  <c r="F737" i="1"/>
  <c r="W736" i="1"/>
  <c r="L736" i="1"/>
  <c r="K736" i="1"/>
  <c r="J736" i="1"/>
  <c r="G736" i="1"/>
  <c r="F736" i="1"/>
  <c r="W735" i="1"/>
  <c r="L735" i="1"/>
  <c r="K735" i="1"/>
  <c r="J735" i="1"/>
  <c r="G735" i="1"/>
  <c r="F735" i="1"/>
  <c r="W734" i="1"/>
  <c r="L734" i="1"/>
  <c r="K734" i="1"/>
  <c r="J734" i="1"/>
  <c r="G734" i="1"/>
  <c r="F734" i="1"/>
  <c r="W733" i="1"/>
  <c r="L733" i="1"/>
  <c r="K733" i="1"/>
  <c r="J733" i="1"/>
  <c r="G733" i="1"/>
  <c r="F733" i="1"/>
  <c r="W732" i="1"/>
  <c r="L732" i="1"/>
  <c r="K732" i="1"/>
  <c r="J732" i="1"/>
  <c r="G732" i="1"/>
  <c r="F732" i="1"/>
  <c r="W731" i="1"/>
  <c r="L731" i="1"/>
  <c r="K731" i="1"/>
  <c r="J731" i="1"/>
  <c r="G731" i="1"/>
  <c r="F731" i="1"/>
  <c r="W730" i="1"/>
  <c r="L730" i="1"/>
  <c r="K730" i="1"/>
  <c r="J730" i="1"/>
  <c r="G730" i="1"/>
  <c r="F730" i="1"/>
  <c r="W729" i="1"/>
  <c r="L729" i="1"/>
  <c r="K729" i="1"/>
  <c r="J729" i="1"/>
  <c r="G729" i="1"/>
  <c r="F729" i="1"/>
  <c r="W728" i="1"/>
  <c r="L728" i="1"/>
  <c r="K728" i="1"/>
  <c r="J728" i="1"/>
  <c r="G728" i="1"/>
  <c r="F728" i="1"/>
  <c r="W727" i="1"/>
  <c r="L727" i="1"/>
  <c r="K727" i="1"/>
  <c r="J727" i="1"/>
  <c r="G727" i="1"/>
  <c r="F727" i="1"/>
  <c r="W726" i="1"/>
  <c r="L726" i="1"/>
  <c r="K726" i="1"/>
  <c r="J726" i="1"/>
  <c r="G726" i="1"/>
  <c r="F726" i="1"/>
  <c r="W725" i="1"/>
  <c r="L725" i="1"/>
  <c r="K725" i="1"/>
  <c r="J725" i="1"/>
  <c r="G725" i="1"/>
  <c r="F725" i="1"/>
  <c r="W724" i="1"/>
  <c r="L724" i="1"/>
  <c r="K724" i="1"/>
  <c r="J724" i="1"/>
  <c r="G724" i="1"/>
  <c r="F724" i="1"/>
  <c r="W723" i="1"/>
  <c r="L723" i="1"/>
  <c r="K723" i="1"/>
  <c r="J723" i="1"/>
  <c r="G723" i="1"/>
  <c r="F723" i="1"/>
  <c r="W722" i="1"/>
  <c r="L722" i="1"/>
  <c r="K722" i="1"/>
  <c r="J722" i="1"/>
  <c r="G722" i="1"/>
  <c r="F722" i="1"/>
  <c r="W721" i="1"/>
  <c r="L721" i="1"/>
  <c r="K721" i="1"/>
  <c r="J721" i="1"/>
  <c r="G721" i="1"/>
  <c r="F721" i="1"/>
  <c r="W720" i="1"/>
  <c r="L720" i="1"/>
  <c r="K720" i="1"/>
  <c r="J720" i="1"/>
  <c r="G720" i="1"/>
  <c r="F720" i="1"/>
  <c r="W719" i="1"/>
  <c r="L719" i="1"/>
  <c r="K719" i="1"/>
  <c r="J719" i="1"/>
  <c r="G719" i="1"/>
  <c r="F719" i="1"/>
  <c r="W718" i="1"/>
  <c r="L718" i="1"/>
  <c r="K718" i="1"/>
  <c r="J718" i="1"/>
  <c r="G718" i="1"/>
  <c r="F718" i="1"/>
  <c r="W717" i="1"/>
  <c r="L717" i="1"/>
  <c r="K717" i="1"/>
  <c r="J717" i="1"/>
  <c r="G717" i="1"/>
  <c r="F717" i="1"/>
  <c r="W716" i="1"/>
  <c r="L716" i="1"/>
  <c r="K716" i="1"/>
  <c r="J716" i="1"/>
  <c r="G716" i="1"/>
  <c r="F716" i="1"/>
  <c r="W715" i="1"/>
  <c r="L715" i="1"/>
  <c r="K715" i="1"/>
  <c r="J715" i="1"/>
  <c r="G715" i="1"/>
  <c r="F715" i="1"/>
  <c r="W714" i="1"/>
  <c r="L714" i="1"/>
  <c r="K714" i="1"/>
  <c r="J714" i="1"/>
  <c r="G714" i="1"/>
  <c r="F714" i="1"/>
  <c r="W713" i="1"/>
  <c r="L713" i="1"/>
  <c r="K713" i="1"/>
  <c r="J713" i="1"/>
  <c r="G713" i="1"/>
  <c r="F713" i="1"/>
  <c r="W712" i="1"/>
  <c r="L712" i="1"/>
  <c r="K712" i="1"/>
  <c r="J712" i="1"/>
  <c r="G712" i="1"/>
  <c r="F712" i="1"/>
  <c r="W711" i="1"/>
  <c r="L711" i="1"/>
  <c r="K711" i="1"/>
  <c r="J711" i="1"/>
  <c r="G711" i="1"/>
  <c r="F711" i="1"/>
  <c r="W710" i="1"/>
  <c r="L710" i="1"/>
  <c r="K710" i="1"/>
  <c r="J710" i="1"/>
  <c r="G710" i="1"/>
  <c r="F710" i="1"/>
  <c r="W709" i="1"/>
  <c r="L709" i="1"/>
  <c r="K709" i="1"/>
  <c r="J709" i="1"/>
  <c r="G709" i="1"/>
  <c r="F709" i="1"/>
  <c r="W708" i="1"/>
  <c r="L708" i="1"/>
  <c r="K708" i="1"/>
  <c r="J708" i="1"/>
  <c r="G708" i="1"/>
  <c r="F708" i="1"/>
  <c r="W707" i="1"/>
  <c r="L707" i="1"/>
  <c r="K707" i="1"/>
  <c r="J707" i="1"/>
  <c r="G707" i="1"/>
  <c r="F707" i="1"/>
  <c r="W706" i="1"/>
  <c r="L706" i="1"/>
  <c r="K706" i="1"/>
  <c r="J706" i="1"/>
  <c r="G706" i="1"/>
  <c r="F706" i="1"/>
  <c r="W705" i="1"/>
  <c r="L705" i="1"/>
  <c r="K705" i="1"/>
  <c r="J705" i="1"/>
  <c r="G705" i="1"/>
  <c r="F705" i="1"/>
  <c r="W704" i="1"/>
  <c r="L704" i="1"/>
  <c r="K704" i="1"/>
  <c r="J704" i="1"/>
  <c r="G704" i="1"/>
  <c r="F704" i="1"/>
  <c r="W703" i="1"/>
  <c r="L703" i="1"/>
  <c r="K703" i="1"/>
  <c r="J703" i="1"/>
  <c r="G703" i="1"/>
  <c r="F703" i="1"/>
  <c r="W702" i="1"/>
  <c r="L702" i="1"/>
  <c r="K702" i="1"/>
  <c r="J702" i="1"/>
  <c r="G702" i="1"/>
  <c r="F702" i="1"/>
  <c r="W701" i="1"/>
  <c r="L701" i="1"/>
  <c r="K701" i="1"/>
  <c r="J701" i="1"/>
  <c r="G701" i="1"/>
  <c r="F701" i="1"/>
  <c r="W700" i="1"/>
  <c r="L700" i="1"/>
  <c r="K700" i="1"/>
  <c r="J700" i="1"/>
  <c r="G700" i="1"/>
  <c r="F700" i="1"/>
  <c r="W699" i="1"/>
  <c r="L699" i="1"/>
  <c r="K699" i="1"/>
  <c r="J699" i="1"/>
  <c r="G699" i="1"/>
  <c r="F699" i="1"/>
  <c r="W698" i="1"/>
  <c r="L698" i="1"/>
  <c r="K698" i="1"/>
  <c r="J698" i="1"/>
  <c r="G698" i="1"/>
  <c r="F698" i="1"/>
  <c r="W697" i="1"/>
  <c r="L697" i="1"/>
  <c r="K697" i="1"/>
  <c r="J697" i="1"/>
  <c r="G697" i="1"/>
  <c r="F697" i="1"/>
  <c r="W696" i="1"/>
  <c r="L696" i="1"/>
  <c r="K696" i="1"/>
  <c r="J696" i="1"/>
  <c r="G696" i="1"/>
  <c r="F696" i="1"/>
  <c r="W695" i="1"/>
  <c r="L695" i="1"/>
  <c r="K695" i="1"/>
  <c r="J695" i="1"/>
  <c r="G695" i="1"/>
  <c r="F695" i="1"/>
  <c r="W694" i="1"/>
  <c r="L694" i="1"/>
  <c r="K694" i="1"/>
  <c r="J694" i="1"/>
  <c r="G694" i="1"/>
  <c r="F694" i="1"/>
  <c r="W693" i="1"/>
  <c r="L693" i="1"/>
  <c r="K693" i="1"/>
  <c r="J693" i="1"/>
  <c r="G693" i="1"/>
  <c r="F693" i="1"/>
  <c r="W692" i="1"/>
  <c r="L692" i="1"/>
  <c r="K692" i="1"/>
  <c r="J692" i="1"/>
  <c r="G692" i="1"/>
  <c r="F692" i="1"/>
  <c r="W691" i="1"/>
  <c r="L691" i="1"/>
  <c r="K691" i="1"/>
  <c r="J691" i="1"/>
  <c r="G691" i="1"/>
  <c r="F691" i="1"/>
  <c r="W690" i="1"/>
  <c r="L690" i="1"/>
  <c r="K690" i="1"/>
  <c r="J690" i="1"/>
  <c r="G690" i="1"/>
  <c r="F690" i="1"/>
  <c r="W689" i="1"/>
  <c r="L689" i="1"/>
  <c r="K689" i="1"/>
  <c r="J689" i="1"/>
  <c r="G689" i="1"/>
  <c r="F689" i="1"/>
  <c r="W688" i="1"/>
  <c r="L688" i="1"/>
  <c r="K688" i="1"/>
  <c r="J688" i="1"/>
  <c r="G688" i="1"/>
  <c r="F688" i="1"/>
  <c r="W687" i="1"/>
  <c r="L687" i="1"/>
  <c r="K687" i="1"/>
  <c r="J687" i="1"/>
  <c r="G687" i="1"/>
  <c r="F687" i="1"/>
  <c r="W686" i="1"/>
  <c r="L686" i="1"/>
  <c r="K686" i="1"/>
  <c r="J686" i="1"/>
  <c r="G686" i="1"/>
  <c r="F686" i="1"/>
  <c r="W685" i="1"/>
  <c r="L685" i="1"/>
  <c r="K685" i="1"/>
  <c r="J685" i="1"/>
  <c r="G685" i="1"/>
  <c r="F685" i="1"/>
  <c r="W684" i="1"/>
  <c r="L684" i="1"/>
  <c r="K684" i="1"/>
  <c r="J684" i="1"/>
  <c r="G684" i="1"/>
  <c r="F684" i="1"/>
  <c r="W683" i="1"/>
  <c r="L683" i="1"/>
  <c r="K683" i="1"/>
  <c r="J683" i="1"/>
  <c r="G683" i="1"/>
  <c r="F683" i="1"/>
  <c r="W682" i="1"/>
  <c r="L682" i="1"/>
  <c r="K682" i="1"/>
  <c r="J682" i="1"/>
  <c r="G682" i="1"/>
  <c r="F682" i="1"/>
  <c r="W681" i="1"/>
  <c r="L681" i="1"/>
  <c r="K681" i="1"/>
  <c r="J681" i="1"/>
  <c r="G681" i="1"/>
  <c r="F681" i="1"/>
  <c r="W680" i="1"/>
  <c r="L680" i="1"/>
  <c r="K680" i="1"/>
  <c r="J680" i="1"/>
  <c r="G680" i="1"/>
  <c r="F680" i="1"/>
  <c r="W679" i="1"/>
  <c r="L679" i="1"/>
  <c r="K679" i="1"/>
  <c r="J679" i="1"/>
  <c r="G679" i="1"/>
  <c r="F679" i="1"/>
  <c r="W678" i="1"/>
  <c r="L678" i="1"/>
  <c r="K678" i="1"/>
  <c r="J678" i="1"/>
  <c r="G678" i="1"/>
  <c r="F678" i="1"/>
  <c r="W677" i="1"/>
  <c r="L677" i="1"/>
  <c r="K677" i="1"/>
  <c r="J677" i="1"/>
  <c r="G677" i="1"/>
  <c r="F677" i="1"/>
  <c r="W676" i="1"/>
  <c r="L676" i="1"/>
  <c r="K676" i="1"/>
  <c r="J676" i="1"/>
  <c r="G676" i="1"/>
  <c r="F676" i="1"/>
  <c r="W675" i="1"/>
  <c r="L675" i="1"/>
  <c r="K675" i="1"/>
  <c r="J675" i="1"/>
  <c r="G675" i="1"/>
  <c r="F675" i="1"/>
  <c r="W674" i="1"/>
  <c r="L674" i="1"/>
  <c r="K674" i="1"/>
  <c r="J674" i="1"/>
  <c r="G674" i="1"/>
  <c r="F674" i="1"/>
  <c r="W673" i="1"/>
  <c r="L673" i="1"/>
  <c r="K673" i="1"/>
  <c r="J673" i="1"/>
  <c r="G673" i="1"/>
  <c r="F673" i="1"/>
  <c r="W672" i="1"/>
  <c r="L672" i="1"/>
  <c r="K672" i="1"/>
  <c r="J672" i="1"/>
  <c r="G672" i="1"/>
  <c r="F672" i="1"/>
  <c r="W671" i="1"/>
  <c r="L671" i="1"/>
  <c r="K671" i="1"/>
  <c r="J671" i="1"/>
  <c r="G671" i="1"/>
  <c r="F671" i="1"/>
  <c r="W670" i="1"/>
  <c r="L670" i="1"/>
  <c r="K670" i="1"/>
  <c r="J670" i="1"/>
  <c r="G670" i="1"/>
  <c r="F670" i="1"/>
  <c r="W669" i="1"/>
  <c r="L669" i="1"/>
  <c r="K669" i="1"/>
  <c r="J669" i="1"/>
  <c r="G669" i="1"/>
  <c r="F669" i="1"/>
  <c r="W668" i="1"/>
  <c r="L668" i="1"/>
  <c r="K668" i="1"/>
  <c r="J668" i="1"/>
  <c r="G668" i="1"/>
  <c r="F668" i="1"/>
  <c r="W667" i="1"/>
  <c r="L667" i="1"/>
  <c r="K667" i="1"/>
  <c r="J667" i="1"/>
  <c r="G667" i="1"/>
  <c r="F667" i="1"/>
  <c r="W666" i="1"/>
  <c r="L666" i="1"/>
  <c r="K666" i="1"/>
  <c r="J666" i="1"/>
  <c r="G666" i="1"/>
  <c r="F666" i="1"/>
  <c r="W665" i="1"/>
  <c r="L665" i="1"/>
  <c r="K665" i="1"/>
  <c r="J665" i="1"/>
  <c r="G665" i="1"/>
  <c r="F665" i="1"/>
  <c r="W664" i="1"/>
  <c r="L664" i="1"/>
  <c r="K664" i="1"/>
  <c r="J664" i="1"/>
  <c r="G664" i="1"/>
  <c r="F664" i="1"/>
  <c r="W663" i="1"/>
  <c r="L663" i="1"/>
  <c r="K663" i="1"/>
  <c r="J663" i="1"/>
  <c r="G663" i="1"/>
  <c r="F663" i="1"/>
  <c r="W662" i="1"/>
  <c r="L662" i="1"/>
  <c r="K662" i="1"/>
  <c r="J662" i="1"/>
  <c r="G662" i="1"/>
  <c r="F662" i="1"/>
  <c r="W661" i="1"/>
  <c r="L661" i="1"/>
  <c r="K661" i="1"/>
  <c r="J661" i="1"/>
  <c r="G661" i="1"/>
  <c r="F661" i="1"/>
  <c r="W660" i="1"/>
  <c r="L660" i="1"/>
  <c r="K660" i="1"/>
  <c r="J660" i="1"/>
  <c r="G660" i="1"/>
  <c r="F660" i="1"/>
  <c r="W659" i="1"/>
  <c r="L659" i="1"/>
  <c r="K659" i="1"/>
  <c r="J659" i="1"/>
  <c r="G659" i="1"/>
  <c r="F659" i="1"/>
  <c r="W658" i="1"/>
  <c r="L658" i="1"/>
  <c r="K658" i="1"/>
  <c r="J658" i="1"/>
  <c r="G658" i="1"/>
  <c r="F658" i="1"/>
  <c r="W657" i="1"/>
  <c r="L657" i="1"/>
  <c r="K657" i="1"/>
  <c r="J657" i="1"/>
  <c r="G657" i="1"/>
  <c r="F657" i="1"/>
  <c r="W656" i="1"/>
  <c r="L656" i="1"/>
  <c r="K656" i="1"/>
  <c r="J656" i="1"/>
  <c r="G656" i="1"/>
  <c r="F656" i="1"/>
  <c r="W655" i="1"/>
  <c r="L655" i="1"/>
  <c r="K655" i="1"/>
  <c r="J655" i="1"/>
  <c r="G655" i="1"/>
  <c r="F655" i="1"/>
  <c r="W654" i="1"/>
  <c r="L654" i="1"/>
  <c r="K654" i="1"/>
  <c r="J654" i="1"/>
  <c r="G654" i="1"/>
  <c r="F654" i="1"/>
  <c r="W653" i="1"/>
  <c r="L653" i="1"/>
  <c r="K653" i="1"/>
  <c r="J653" i="1"/>
  <c r="G653" i="1"/>
  <c r="F653" i="1"/>
  <c r="W652" i="1"/>
  <c r="L652" i="1"/>
  <c r="K652" i="1"/>
  <c r="J652" i="1"/>
  <c r="G652" i="1"/>
  <c r="F652" i="1"/>
  <c r="W651" i="1"/>
  <c r="L651" i="1"/>
  <c r="K651" i="1"/>
  <c r="J651" i="1"/>
  <c r="G651" i="1"/>
  <c r="F651" i="1"/>
  <c r="W650" i="1"/>
  <c r="L650" i="1"/>
  <c r="K650" i="1"/>
  <c r="J650" i="1"/>
  <c r="G650" i="1"/>
  <c r="F650" i="1"/>
  <c r="W649" i="1"/>
  <c r="L649" i="1"/>
  <c r="K649" i="1"/>
  <c r="J649" i="1"/>
  <c r="G649" i="1"/>
  <c r="F649" i="1"/>
  <c r="W648" i="1"/>
  <c r="L648" i="1"/>
  <c r="K648" i="1"/>
  <c r="J648" i="1"/>
  <c r="G648" i="1"/>
  <c r="F648" i="1"/>
  <c r="W647" i="1"/>
  <c r="L647" i="1"/>
  <c r="K647" i="1"/>
  <c r="J647" i="1"/>
  <c r="G647" i="1"/>
  <c r="F647" i="1"/>
  <c r="W646" i="1"/>
  <c r="L646" i="1"/>
  <c r="K646" i="1"/>
  <c r="J646" i="1"/>
  <c r="G646" i="1"/>
  <c r="F646" i="1"/>
  <c r="W645" i="1"/>
  <c r="L645" i="1"/>
  <c r="K645" i="1"/>
  <c r="J645" i="1"/>
  <c r="G645" i="1"/>
  <c r="F645" i="1"/>
  <c r="W644" i="1"/>
  <c r="L644" i="1"/>
  <c r="K644" i="1"/>
  <c r="J644" i="1"/>
  <c r="G644" i="1"/>
  <c r="F644" i="1"/>
  <c r="W643" i="1"/>
  <c r="L643" i="1"/>
  <c r="K643" i="1"/>
  <c r="J643" i="1"/>
  <c r="G643" i="1"/>
  <c r="F643" i="1"/>
  <c r="W642" i="1"/>
  <c r="L642" i="1"/>
  <c r="K642" i="1"/>
  <c r="J642" i="1"/>
  <c r="G642" i="1"/>
  <c r="F642" i="1"/>
  <c r="W641" i="1"/>
  <c r="L641" i="1"/>
  <c r="K641" i="1"/>
  <c r="J641" i="1"/>
  <c r="G641" i="1"/>
  <c r="F641" i="1"/>
  <c r="W640" i="1"/>
  <c r="L640" i="1"/>
  <c r="K640" i="1"/>
  <c r="J640" i="1"/>
  <c r="G640" i="1"/>
  <c r="F640" i="1"/>
  <c r="W639" i="1"/>
  <c r="L639" i="1"/>
  <c r="K639" i="1"/>
  <c r="J639" i="1"/>
  <c r="G639" i="1"/>
  <c r="F639" i="1"/>
  <c r="W638" i="1"/>
  <c r="L638" i="1"/>
  <c r="K638" i="1"/>
  <c r="J638" i="1"/>
  <c r="G638" i="1"/>
  <c r="F638" i="1"/>
  <c r="W637" i="1"/>
  <c r="L637" i="1"/>
  <c r="K637" i="1"/>
  <c r="J637" i="1"/>
  <c r="G637" i="1"/>
  <c r="F637" i="1"/>
  <c r="W636" i="1"/>
  <c r="L636" i="1"/>
  <c r="K636" i="1"/>
  <c r="J636" i="1"/>
  <c r="G636" i="1"/>
  <c r="F636" i="1"/>
  <c r="W635" i="1"/>
  <c r="L635" i="1"/>
  <c r="K635" i="1"/>
  <c r="J635" i="1"/>
  <c r="G635" i="1"/>
  <c r="F635" i="1"/>
  <c r="W634" i="1"/>
  <c r="L634" i="1"/>
  <c r="K634" i="1"/>
  <c r="J634" i="1"/>
  <c r="G634" i="1"/>
  <c r="F634" i="1"/>
  <c r="W633" i="1"/>
  <c r="L633" i="1"/>
  <c r="K633" i="1"/>
  <c r="J633" i="1"/>
  <c r="G633" i="1"/>
  <c r="F633" i="1"/>
  <c r="W632" i="1"/>
  <c r="L632" i="1"/>
  <c r="K632" i="1"/>
  <c r="J632" i="1"/>
  <c r="G632" i="1"/>
  <c r="F632" i="1"/>
  <c r="W631" i="1"/>
  <c r="L631" i="1"/>
  <c r="K631" i="1"/>
  <c r="J631" i="1"/>
  <c r="G631" i="1"/>
  <c r="F631" i="1"/>
  <c r="W630" i="1"/>
  <c r="L630" i="1"/>
  <c r="K630" i="1"/>
  <c r="J630" i="1"/>
  <c r="G630" i="1"/>
  <c r="F630" i="1"/>
  <c r="W629" i="1"/>
  <c r="L629" i="1"/>
  <c r="K629" i="1"/>
  <c r="J629" i="1"/>
  <c r="G629" i="1"/>
  <c r="F629" i="1"/>
  <c r="W628" i="1"/>
  <c r="L628" i="1"/>
  <c r="K628" i="1"/>
  <c r="J628" i="1"/>
  <c r="G628" i="1"/>
  <c r="F628" i="1"/>
  <c r="W627" i="1"/>
  <c r="L627" i="1"/>
  <c r="K627" i="1"/>
  <c r="J627" i="1"/>
  <c r="G627" i="1"/>
  <c r="F627" i="1"/>
  <c r="W626" i="1"/>
  <c r="L626" i="1"/>
  <c r="K626" i="1"/>
  <c r="J626" i="1"/>
  <c r="G626" i="1"/>
  <c r="F626" i="1"/>
  <c r="W625" i="1"/>
  <c r="L625" i="1"/>
  <c r="K625" i="1"/>
  <c r="J625" i="1"/>
  <c r="G625" i="1"/>
  <c r="F625" i="1"/>
  <c r="W624" i="1"/>
  <c r="L624" i="1"/>
  <c r="K624" i="1"/>
  <c r="J624" i="1"/>
  <c r="G624" i="1"/>
  <c r="F624" i="1"/>
  <c r="W623" i="1"/>
  <c r="L623" i="1"/>
  <c r="K623" i="1"/>
  <c r="J623" i="1"/>
  <c r="G623" i="1"/>
  <c r="F623" i="1"/>
  <c r="W622" i="1"/>
  <c r="L622" i="1"/>
  <c r="K622" i="1"/>
  <c r="J622" i="1"/>
  <c r="G622" i="1"/>
  <c r="F622" i="1"/>
  <c r="W621" i="1"/>
  <c r="L621" i="1"/>
  <c r="K621" i="1"/>
  <c r="J621" i="1"/>
  <c r="G621" i="1"/>
  <c r="F621" i="1"/>
  <c r="W620" i="1"/>
  <c r="L620" i="1"/>
  <c r="K620" i="1"/>
  <c r="J620" i="1"/>
  <c r="G620" i="1"/>
  <c r="F620" i="1"/>
  <c r="W619" i="1"/>
  <c r="L619" i="1"/>
  <c r="K619" i="1"/>
  <c r="J619" i="1"/>
  <c r="G619" i="1"/>
  <c r="F619" i="1"/>
  <c r="W618" i="1"/>
  <c r="L618" i="1"/>
  <c r="K618" i="1"/>
  <c r="J618" i="1"/>
  <c r="G618" i="1"/>
  <c r="F618" i="1"/>
  <c r="W617" i="1"/>
  <c r="L617" i="1"/>
  <c r="K617" i="1"/>
  <c r="J617" i="1"/>
  <c r="G617" i="1"/>
  <c r="F617" i="1"/>
  <c r="W616" i="1"/>
  <c r="L616" i="1"/>
  <c r="K616" i="1"/>
  <c r="J616" i="1"/>
  <c r="G616" i="1"/>
  <c r="F616" i="1"/>
  <c r="W615" i="1"/>
  <c r="L615" i="1"/>
  <c r="K615" i="1"/>
  <c r="J615" i="1"/>
  <c r="G615" i="1"/>
  <c r="F615" i="1"/>
  <c r="W614" i="1"/>
  <c r="L614" i="1"/>
  <c r="K614" i="1"/>
  <c r="J614" i="1"/>
  <c r="G614" i="1"/>
  <c r="F614" i="1"/>
  <c r="W613" i="1"/>
  <c r="L613" i="1"/>
  <c r="K613" i="1"/>
  <c r="J613" i="1"/>
  <c r="G613" i="1"/>
  <c r="F613" i="1"/>
  <c r="W612" i="1"/>
  <c r="L612" i="1"/>
  <c r="K612" i="1"/>
  <c r="J612" i="1"/>
  <c r="G612" i="1"/>
  <c r="F612" i="1"/>
  <c r="W611" i="1"/>
  <c r="L611" i="1"/>
  <c r="K611" i="1"/>
  <c r="J611" i="1"/>
  <c r="G611" i="1"/>
  <c r="F611" i="1"/>
  <c r="W610" i="1"/>
  <c r="L610" i="1"/>
  <c r="K610" i="1"/>
  <c r="J610" i="1"/>
  <c r="G610" i="1"/>
  <c r="F610" i="1"/>
  <c r="W609" i="1"/>
  <c r="L609" i="1"/>
  <c r="K609" i="1"/>
  <c r="J609" i="1"/>
  <c r="G609" i="1"/>
  <c r="F609" i="1"/>
  <c r="W608" i="1"/>
  <c r="L608" i="1"/>
  <c r="K608" i="1"/>
  <c r="J608" i="1"/>
  <c r="G608" i="1"/>
  <c r="F608" i="1"/>
  <c r="W607" i="1"/>
  <c r="L607" i="1"/>
  <c r="K607" i="1"/>
  <c r="J607" i="1"/>
  <c r="G607" i="1"/>
  <c r="F607" i="1"/>
  <c r="W606" i="1"/>
  <c r="L606" i="1"/>
  <c r="K606" i="1"/>
  <c r="J606" i="1"/>
  <c r="G606" i="1"/>
  <c r="F606" i="1"/>
  <c r="W605" i="1"/>
  <c r="L605" i="1"/>
  <c r="K605" i="1"/>
  <c r="J605" i="1"/>
  <c r="G605" i="1"/>
  <c r="F605" i="1"/>
  <c r="W604" i="1"/>
  <c r="L604" i="1"/>
  <c r="K604" i="1"/>
  <c r="J604" i="1"/>
  <c r="G604" i="1"/>
  <c r="F604" i="1"/>
  <c r="W603" i="1"/>
  <c r="L603" i="1"/>
  <c r="K603" i="1"/>
  <c r="J603" i="1"/>
  <c r="G603" i="1"/>
  <c r="F603" i="1"/>
  <c r="W602" i="1"/>
  <c r="L602" i="1"/>
  <c r="K602" i="1"/>
  <c r="J602" i="1"/>
  <c r="G602" i="1"/>
  <c r="F602" i="1"/>
  <c r="W601" i="1"/>
  <c r="L601" i="1"/>
  <c r="K601" i="1"/>
  <c r="J601" i="1"/>
  <c r="G601" i="1"/>
  <c r="F601" i="1"/>
  <c r="W600" i="1"/>
  <c r="L600" i="1"/>
  <c r="K600" i="1"/>
  <c r="J600" i="1"/>
  <c r="G600" i="1"/>
  <c r="F600" i="1"/>
  <c r="W599" i="1"/>
  <c r="L599" i="1"/>
  <c r="K599" i="1"/>
  <c r="J599" i="1"/>
  <c r="G599" i="1"/>
  <c r="F599" i="1"/>
  <c r="W598" i="1"/>
  <c r="L598" i="1"/>
  <c r="K598" i="1"/>
  <c r="J598" i="1"/>
  <c r="G598" i="1"/>
  <c r="F598" i="1"/>
  <c r="W597" i="1"/>
  <c r="L597" i="1"/>
  <c r="K597" i="1"/>
  <c r="J597" i="1"/>
  <c r="G597" i="1"/>
  <c r="F597" i="1"/>
  <c r="W596" i="1"/>
  <c r="L596" i="1"/>
  <c r="K596" i="1"/>
  <c r="J596" i="1"/>
  <c r="G596" i="1"/>
  <c r="F596" i="1"/>
  <c r="W595" i="1"/>
  <c r="L595" i="1"/>
  <c r="K595" i="1"/>
  <c r="J595" i="1"/>
  <c r="G595" i="1"/>
  <c r="F595" i="1"/>
  <c r="W594" i="1"/>
  <c r="L594" i="1"/>
  <c r="K594" i="1"/>
  <c r="J594" i="1"/>
  <c r="G594" i="1"/>
  <c r="F594" i="1"/>
  <c r="W593" i="1"/>
  <c r="L593" i="1"/>
  <c r="K593" i="1"/>
  <c r="J593" i="1"/>
  <c r="G593" i="1"/>
  <c r="F593" i="1"/>
  <c r="W592" i="1"/>
  <c r="L592" i="1"/>
  <c r="K592" i="1"/>
  <c r="J592" i="1"/>
  <c r="G592" i="1"/>
  <c r="F592" i="1"/>
  <c r="W591" i="1"/>
  <c r="L591" i="1"/>
  <c r="K591" i="1"/>
  <c r="J591" i="1"/>
  <c r="G591" i="1"/>
  <c r="F591" i="1"/>
  <c r="W590" i="1"/>
  <c r="L590" i="1"/>
  <c r="K590" i="1"/>
  <c r="J590" i="1"/>
  <c r="G590" i="1"/>
  <c r="F590" i="1"/>
  <c r="W589" i="1"/>
  <c r="L589" i="1"/>
  <c r="K589" i="1"/>
  <c r="J589" i="1"/>
  <c r="G589" i="1"/>
  <c r="F589" i="1"/>
  <c r="W588" i="1"/>
  <c r="L588" i="1"/>
  <c r="K588" i="1"/>
  <c r="J588" i="1"/>
  <c r="G588" i="1"/>
  <c r="F588" i="1"/>
  <c r="W587" i="1"/>
  <c r="L587" i="1"/>
  <c r="K587" i="1"/>
  <c r="J587" i="1"/>
  <c r="G587" i="1"/>
  <c r="F587" i="1"/>
  <c r="W586" i="1"/>
  <c r="L586" i="1"/>
  <c r="K586" i="1"/>
  <c r="J586" i="1"/>
  <c r="G586" i="1"/>
  <c r="F586" i="1"/>
  <c r="W585" i="1"/>
  <c r="L585" i="1"/>
  <c r="K585" i="1"/>
  <c r="J585" i="1"/>
  <c r="G585" i="1"/>
  <c r="F585" i="1"/>
  <c r="W584" i="1"/>
  <c r="L584" i="1"/>
  <c r="K584" i="1"/>
  <c r="J584" i="1"/>
  <c r="G584" i="1"/>
  <c r="F584" i="1"/>
  <c r="W583" i="1"/>
  <c r="L583" i="1"/>
  <c r="K583" i="1"/>
  <c r="J583" i="1"/>
  <c r="G583" i="1"/>
  <c r="F583" i="1"/>
  <c r="W582" i="1"/>
  <c r="L582" i="1"/>
  <c r="K582" i="1"/>
  <c r="J582" i="1"/>
  <c r="G582" i="1"/>
  <c r="F582" i="1"/>
  <c r="W581" i="1"/>
  <c r="L581" i="1"/>
  <c r="K581" i="1"/>
  <c r="J581" i="1"/>
  <c r="G581" i="1"/>
  <c r="F581" i="1"/>
  <c r="W580" i="1"/>
  <c r="L580" i="1"/>
  <c r="K580" i="1"/>
  <c r="J580" i="1"/>
  <c r="G580" i="1"/>
  <c r="F580" i="1"/>
  <c r="W579" i="1"/>
  <c r="L579" i="1"/>
  <c r="K579" i="1"/>
  <c r="J579" i="1"/>
  <c r="G579" i="1"/>
  <c r="F579" i="1"/>
  <c r="W578" i="1"/>
  <c r="L578" i="1"/>
  <c r="K578" i="1"/>
  <c r="J578" i="1"/>
  <c r="G578" i="1"/>
  <c r="F578" i="1"/>
  <c r="W577" i="1"/>
  <c r="L577" i="1"/>
  <c r="K577" i="1"/>
  <c r="J577" i="1"/>
  <c r="G577" i="1"/>
  <c r="F577" i="1"/>
  <c r="W576" i="1"/>
  <c r="L576" i="1"/>
  <c r="K576" i="1"/>
  <c r="J576" i="1"/>
  <c r="G576" i="1"/>
  <c r="F576" i="1"/>
  <c r="W575" i="1"/>
  <c r="L575" i="1"/>
  <c r="K575" i="1"/>
  <c r="J575" i="1"/>
  <c r="G575" i="1"/>
  <c r="F575" i="1"/>
  <c r="W574" i="1"/>
  <c r="L574" i="1"/>
  <c r="K574" i="1"/>
  <c r="J574" i="1"/>
  <c r="G574" i="1"/>
  <c r="F574" i="1"/>
  <c r="W573" i="1"/>
  <c r="L573" i="1"/>
  <c r="K573" i="1"/>
  <c r="J573" i="1"/>
  <c r="G573" i="1"/>
  <c r="F573" i="1"/>
  <c r="W572" i="1"/>
  <c r="L572" i="1"/>
  <c r="K572" i="1"/>
  <c r="J572" i="1"/>
  <c r="G572" i="1"/>
  <c r="F572" i="1"/>
  <c r="W571" i="1"/>
  <c r="L571" i="1"/>
  <c r="K571" i="1"/>
  <c r="J571" i="1"/>
  <c r="G571" i="1"/>
  <c r="F571" i="1"/>
  <c r="W570" i="1"/>
  <c r="L570" i="1"/>
  <c r="K570" i="1"/>
  <c r="J570" i="1"/>
  <c r="G570" i="1"/>
  <c r="F570" i="1"/>
  <c r="W569" i="1"/>
  <c r="L569" i="1"/>
  <c r="K569" i="1"/>
  <c r="J569" i="1"/>
  <c r="G569" i="1"/>
  <c r="F569" i="1"/>
  <c r="W568" i="1"/>
  <c r="L568" i="1"/>
  <c r="K568" i="1"/>
  <c r="J568" i="1"/>
  <c r="G568" i="1"/>
  <c r="F568" i="1"/>
  <c r="W567" i="1"/>
  <c r="L567" i="1"/>
  <c r="K567" i="1"/>
  <c r="J567" i="1"/>
  <c r="G567" i="1"/>
  <c r="F567" i="1"/>
  <c r="W566" i="1"/>
  <c r="L566" i="1"/>
  <c r="K566" i="1"/>
  <c r="J566" i="1"/>
  <c r="G566" i="1"/>
  <c r="F566" i="1"/>
  <c r="W565" i="1"/>
  <c r="L565" i="1"/>
  <c r="K565" i="1"/>
  <c r="J565" i="1"/>
  <c r="G565" i="1"/>
  <c r="F565" i="1"/>
  <c r="W564" i="1"/>
  <c r="L564" i="1"/>
  <c r="K564" i="1"/>
  <c r="J564" i="1"/>
  <c r="G564" i="1"/>
  <c r="F564" i="1"/>
  <c r="W563" i="1"/>
  <c r="L563" i="1"/>
  <c r="K563" i="1"/>
  <c r="J563" i="1"/>
  <c r="G563" i="1"/>
  <c r="F563" i="1"/>
  <c r="W562" i="1"/>
  <c r="L562" i="1"/>
  <c r="K562" i="1"/>
  <c r="J562" i="1"/>
  <c r="G562" i="1"/>
  <c r="F562" i="1"/>
  <c r="W561" i="1"/>
  <c r="L561" i="1"/>
  <c r="K561" i="1"/>
  <c r="J561" i="1"/>
  <c r="G561" i="1"/>
  <c r="F561" i="1"/>
  <c r="W560" i="1"/>
  <c r="L560" i="1"/>
  <c r="K560" i="1"/>
  <c r="J560" i="1"/>
  <c r="G560" i="1"/>
  <c r="F560" i="1"/>
  <c r="W559" i="1"/>
  <c r="L559" i="1"/>
  <c r="K559" i="1"/>
  <c r="J559" i="1"/>
  <c r="G559" i="1"/>
  <c r="F559" i="1"/>
  <c r="W558" i="1"/>
  <c r="L558" i="1"/>
  <c r="K558" i="1"/>
  <c r="J558" i="1"/>
  <c r="G558" i="1"/>
  <c r="F558" i="1"/>
  <c r="W557" i="1"/>
  <c r="L557" i="1"/>
  <c r="K557" i="1"/>
  <c r="J557" i="1"/>
  <c r="G557" i="1"/>
  <c r="F557" i="1"/>
  <c r="W556" i="1"/>
  <c r="L556" i="1"/>
  <c r="K556" i="1"/>
  <c r="J556" i="1"/>
  <c r="G556" i="1"/>
  <c r="F556" i="1"/>
  <c r="W555" i="1"/>
  <c r="L555" i="1"/>
  <c r="K555" i="1"/>
  <c r="J555" i="1"/>
  <c r="G555" i="1"/>
  <c r="F555" i="1"/>
  <c r="W554" i="1"/>
  <c r="L554" i="1"/>
  <c r="K554" i="1"/>
  <c r="J554" i="1"/>
  <c r="G554" i="1"/>
  <c r="F554" i="1"/>
  <c r="W553" i="1"/>
  <c r="L553" i="1"/>
  <c r="K553" i="1"/>
  <c r="J553" i="1"/>
  <c r="G553" i="1"/>
  <c r="F553" i="1"/>
  <c r="W552" i="1"/>
  <c r="L552" i="1"/>
  <c r="K552" i="1"/>
  <c r="J552" i="1"/>
  <c r="G552" i="1"/>
  <c r="F552" i="1"/>
  <c r="W551" i="1"/>
  <c r="L551" i="1"/>
  <c r="K551" i="1"/>
  <c r="J551" i="1"/>
  <c r="G551" i="1"/>
  <c r="F551" i="1"/>
  <c r="W550" i="1"/>
  <c r="L550" i="1"/>
  <c r="K550" i="1"/>
  <c r="J550" i="1"/>
  <c r="G550" i="1"/>
  <c r="F550" i="1"/>
  <c r="W549" i="1"/>
  <c r="L549" i="1"/>
  <c r="K549" i="1"/>
  <c r="J549" i="1"/>
  <c r="G549" i="1"/>
  <c r="F549" i="1"/>
  <c r="W548" i="1"/>
  <c r="L548" i="1"/>
  <c r="K548" i="1"/>
  <c r="J548" i="1"/>
  <c r="G548" i="1"/>
  <c r="F548" i="1"/>
  <c r="W547" i="1"/>
  <c r="L547" i="1"/>
  <c r="K547" i="1"/>
  <c r="J547" i="1"/>
  <c r="G547" i="1"/>
  <c r="F547" i="1"/>
  <c r="W546" i="1"/>
  <c r="L546" i="1"/>
  <c r="K546" i="1"/>
  <c r="J546" i="1"/>
  <c r="G546" i="1"/>
  <c r="F546" i="1"/>
  <c r="W545" i="1"/>
  <c r="L545" i="1"/>
  <c r="K545" i="1"/>
  <c r="J545" i="1"/>
  <c r="G545" i="1"/>
  <c r="F545" i="1"/>
  <c r="W544" i="1"/>
  <c r="L544" i="1"/>
  <c r="K544" i="1"/>
  <c r="J544" i="1"/>
  <c r="G544" i="1"/>
  <c r="F544" i="1"/>
  <c r="W543" i="1"/>
  <c r="L543" i="1"/>
  <c r="K543" i="1"/>
  <c r="J543" i="1"/>
  <c r="G543" i="1"/>
  <c r="F543" i="1"/>
  <c r="W542" i="1"/>
  <c r="L542" i="1"/>
  <c r="K542" i="1"/>
  <c r="J542" i="1"/>
  <c r="G542" i="1"/>
  <c r="F542" i="1"/>
  <c r="W541" i="1"/>
  <c r="L541" i="1"/>
  <c r="K541" i="1"/>
  <c r="J541" i="1"/>
  <c r="G541" i="1"/>
  <c r="F541" i="1"/>
  <c r="W540" i="1"/>
  <c r="L540" i="1"/>
  <c r="K540" i="1"/>
  <c r="J540" i="1"/>
  <c r="G540" i="1"/>
  <c r="F540" i="1"/>
  <c r="W539" i="1"/>
  <c r="L539" i="1"/>
  <c r="K539" i="1"/>
  <c r="J539" i="1"/>
  <c r="G539" i="1"/>
  <c r="F539" i="1"/>
  <c r="W538" i="1"/>
  <c r="L538" i="1"/>
  <c r="K538" i="1"/>
  <c r="J538" i="1"/>
  <c r="G538" i="1"/>
  <c r="F538" i="1"/>
  <c r="W537" i="1"/>
  <c r="L537" i="1"/>
  <c r="K537" i="1"/>
  <c r="J537" i="1"/>
  <c r="G537" i="1"/>
  <c r="F537" i="1"/>
  <c r="W536" i="1"/>
  <c r="L536" i="1"/>
  <c r="K536" i="1"/>
  <c r="J536" i="1"/>
  <c r="G536" i="1"/>
  <c r="F536" i="1"/>
  <c r="W535" i="1"/>
  <c r="L535" i="1"/>
  <c r="K535" i="1"/>
  <c r="J535" i="1"/>
  <c r="G535" i="1"/>
  <c r="F535" i="1"/>
  <c r="W534" i="1"/>
  <c r="L534" i="1"/>
  <c r="K534" i="1"/>
  <c r="J534" i="1"/>
  <c r="G534" i="1"/>
  <c r="F534" i="1"/>
  <c r="W533" i="1"/>
  <c r="L533" i="1"/>
  <c r="K533" i="1"/>
  <c r="J533" i="1"/>
  <c r="G533" i="1"/>
  <c r="F533" i="1"/>
  <c r="W532" i="1"/>
  <c r="L532" i="1"/>
  <c r="K532" i="1"/>
  <c r="J532" i="1"/>
  <c r="G532" i="1"/>
  <c r="F532" i="1"/>
  <c r="W531" i="1"/>
  <c r="L531" i="1"/>
  <c r="K531" i="1"/>
  <c r="J531" i="1"/>
  <c r="G531" i="1"/>
  <c r="F531" i="1"/>
  <c r="W530" i="1"/>
  <c r="L530" i="1"/>
  <c r="K530" i="1"/>
  <c r="J530" i="1"/>
  <c r="G530" i="1"/>
  <c r="F530" i="1"/>
  <c r="W529" i="1"/>
  <c r="L529" i="1"/>
  <c r="K529" i="1"/>
  <c r="J529" i="1"/>
  <c r="G529" i="1"/>
  <c r="F529" i="1"/>
  <c r="W528" i="1"/>
  <c r="L528" i="1"/>
  <c r="K528" i="1"/>
  <c r="J528" i="1"/>
  <c r="G528" i="1"/>
  <c r="F528" i="1"/>
  <c r="W527" i="1"/>
  <c r="L527" i="1"/>
  <c r="K527" i="1"/>
  <c r="J527" i="1"/>
  <c r="G527" i="1"/>
  <c r="F527" i="1"/>
  <c r="W526" i="1"/>
  <c r="L526" i="1"/>
  <c r="K526" i="1"/>
  <c r="J526" i="1"/>
  <c r="G526" i="1"/>
  <c r="F526" i="1"/>
  <c r="W525" i="1"/>
  <c r="L525" i="1"/>
  <c r="K525" i="1"/>
  <c r="J525" i="1"/>
  <c r="G525" i="1"/>
  <c r="F525" i="1"/>
  <c r="W524" i="1"/>
  <c r="L524" i="1"/>
  <c r="K524" i="1"/>
  <c r="J524" i="1"/>
  <c r="G524" i="1"/>
  <c r="F524" i="1"/>
  <c r="W523" i="1"/>
  <c r="L523" i="1"/>
  <c r="K523" i="1"/>
  <c r="J523" i="1"/>
  <c r="G523" i="1"/>
  <c r="F523" i="1"/>
  <c r="W522" i="1"/>
  <c r="L522" i="1"/>
  <c r="K522" i="1"/>
  <c r="J522" i="1"/>
  <c r="G522" i="1"/>
  <c r="F522" i="1"/>
  <c r="W521" i="1"/>
  <c r="L521" i="1"/>
  <c r="K521" i="1"/>
  <c r="J521" i="1"/>
  <c r="G521" i="1"/>
  <c r="F521" i="1"/>
  <c r="W520" i="1"/>
  <c r="L520" i="1"/>
  <c r="K520" i="1"/>
  <c r="J520" i="1"/>
  <c r="G520" i="1"/>
  <c r="F520" i="1"/>
  <c r="W519" i="1"/>
  <c r="L519" i="1"/>
  <c r="K519" i="1"/>
  <c r="J519" i="1"/>
  <c r="G519" i="1"/>
  <c r="F519" i="1"/>
  <c r="W518" i="1"/>
  <c r="L518" i="1"/>
  <c r="K518" i="1"/>
  <c r="J518" i="1"/>
  <c r="G518" i="1"/>
  <c r="F518" i="1"/>
  <c r="W517" i="1"/>
  <c r="L517" i="1"/>
  <c r="K517" i="1"/>
  <c r="J517" i="1"/>
  <c r="G517" i="1"/>
  <c r="F517" i="1"/>
  <c r="W516" i="1"/>
  <c r="L516" i="1"/>
  <c r="K516" i="1"/>
  <c r="J516" i="1"/>
  <c r="G516" i="1"/>
  <c r="F516" i="1"/>
  <c r="W515" i="1"/>
  <c r="L515" i="1"/>
  <c r="K515" i="1"/>
  <c r="J515" i="1"/>
  <c r="G515" i="1"/>
  <c r="F515" i="1"/>
  <c r="W514" i="1"/>
  <c r="L514" i="1"/>
  <c r="K514" i="1"/>
  <c r="J514" i="1"/>
  <c r="G514" i="1"/>
  <c r="F514" i="1"/>
  <c r="W513" i="1"/>
  <c r="L513" i="1"/>
  <c r="K513" i="1"/>
  <c r="J513" i="1"/>
  <c r="G513" i="1"/>
  <c r="F513" i="1"/>
  <c r="W512" i="1"/>
  <c r="L512" i="1"/>
  <c r="K512" i="1"/>
  <c r="J512" i="1"/>
  <c r="G512" i="1"/>
  <c r="F512" i="1"/>
  <c r="W511" i="1"/>
  <c r="L511" i="1"/>
  <c r="K511" i="1"/>
  <c r="J511" i="1"/>
  <c r="G511" i="1"/>
  <c r="F511" i="1"/>
  <c r="W510" i="1"/>
  <c r="L510" i="1"/>
  <c r="K510" i="1"/>
  <c r="J510" i="1"/>
  <c r="G510" i="1"/>
  <c r="F510" i="1"/>
  <c r="W509" i="1"/>
  <c r="L509" i="1"/>
  <c r="K509" i="1"/>
  <c r="J509" i="1"/>
  <c r="G509" i="1"/>
  <c r="F509" i="1"/>
  <c r="W508" i="1"/>
  <c r="L508" i="1"/>
  <c r="K508" i="1"/>
  <c r="J508" i="1"/>
  <c r="G508" i="1"/>
  <c r="F508" i="1"/>
  <c r="W507" i="1"/>
  <c r="L507" i="1"/>
  <c r="K507" i="1"/>
  <c r="J507" i="1"/>
  <c r="G507" i="1"/>
  <c r="F507" i="1"/>
  <c r="W506" i="1"/>
  <c r="L506" i="1"/>
  <c r="K506" i="1"/>
  <c r="J506" i="1"/>
  <c r="G506" i="1"/>
  <c r="F506" i="1"/>
  <c r="W505" i="1"/>
  <c r="L505" i="1"/>
  <c r="K505" i="1"/>
  <c r="J505" i="1"/>
  <c r="G505" i="1"/>
  <c r="F505" i="1"/>
  <c r="W504" i="1"/>
  <c r="L504" i="1"/>
  <c r="K504" i="1"/>
  <c r="J504" i="1"/>
  <c r="G504" i="1"/>
  <c r="F504" i="1"/>
  <c r="W503" i="1"/>
  <c r="L503" i="1"/>
  <c r="K503" i="1"/>
  <c r="J503" i="1"/>
  <c r="G503" i="1"/>
  <c r="F503" i="1"/>
  <c r="W502" i="1"/>
  <c r="L502" i="1"/>
  <c r="K502" i="1"/>
  <c r="J502" i="1"/>
  <c r="G502" i="1"/>
  <c r="F502" i="1"/>
  <c r="W501" i="1"/>
  <c r="L501" i="1"/>
  <c r="K501" i="1"/>
  <c r="J501" i="1"/>
  <c r="G501" i="1"/>
  <c r="F501" i="1"/>
  <c r="W500" i="1"/>
  <c r="L500" i="1"/>
  <c r="K500" i="1"/>
  <c r="J500" i="1"/>
  <c r="G500" i="1"/>
  <c r="F500" i="1"/>
  <c r="W499" i="1"/>
  <c r="L499" i="1"/>
  <c r="K499" i="1"/>
  <c r="J499" i="1"/>
  <c r="G499" i="1"/>
  <c r="F499" i="1"/>
  <c r="W498" i="1"/>
  <c r="L498" i="1"/>
  <c r="K498" i="1"/>
  <c r="J498" i="1"/>
  <c r="G498" i="1"/>
  <c r="F498" i="1"/>
  <c r="W497" i="1"/>
  <c r="L497" i="1"/>
  <c r="K497" i="1"/>
  <c r="J497" i="1"/>
  <c r="G497" i="1"/>
  <c r="F497" i="1"/>
  <c r="W496" i="1"/>
  <c r="L496" i="1"/>
  <c r="K496" i="1"/>
  <c r="J496" i="1"/>
  <c r="G496" i="1"/>
  <c r="F496" i="1"/>
  <c r="W495" i="1"/>
  <c r="L495" i="1"/>
  <c r="K495" i="1"/>
  <c r="J495" i="1"/>
  <c r="G495" i="1"/>
  <c r="F495" i="1"/>
  <c r="W494" i="1"/>
  <c r="L494" i="1"/>
  <c r="K494" i="1"/>
  <c r="J494" i="1"/>
  <c r="G494" i="1"/>
  <c r="F494" i="1"/>
  <c r="W493" i="1"/>
  <c r="L493" i="1"/>
  <c r="K493" i="1"/>
  <c r="J493" i="1"/>
  <c r="G493" i="1"/>
  <c r="F493" i="1"/>
  <c r="W492" i="1"/>
  <c r="L492" i="1"/>
  <c r="K492" i="1"/>
  <c r="J492" i="1"/>
  <c r="G492" i="1"/>
  <c r="F492" i="1"/>
  <c r="W491" i="1"/>
  <c r="L491" i="1"/>
  <c r="K491" i="1"/>
  <c r="J491" i="1"/>
  <c r="G491" i="1"/>
  <c r="F491" i="1"/>
  <c r="W490" i="1"/>
  <c r="L490" i="1"/>
  <c r="K490" i="1"/>
  <c r="J490" i="1"/>
  <c r="G490" i="1"/>
  <c r="F490" i="1"/>
  <c r="W489" i="1"/>
  <c r="L489" i="1"/>
  <c r="K489" i="1"/>
  <c r="J489" i="1"/>
  <c r="G489" i="1"/>
  <c r="F489" i="1"/>
  <c r="W488" i="1"/>
  <c r="L488" i="1"/>
  <c r="K488" i="1"/>
  <c r="J488" i="1"/>
  <c r="G488" i="1"/>
  <c r="F488" i="1"/>
  <c r="W487" i="1"/>
  <c r="L487" i="1"/>
  <c r="K487" i="1"/>
  <c r="J487" i="1"/>
  <c r="G487" i="1"/>
  <c r="F487" i="1"/>
  <c r="W486" i="1"/>
  <c r="L486" i="1"/>
  <c r="K486" i="1"/>
  <c r="J486" i="1"/>
  <c r="G486" i="1"/>
  <c r="F486" i="1"/>
  <c r="W485" i="1"/>
  <c r="L485" i="1"/>
  <c r="K485" i="1"/>
  <c r="J485" i="1"/>
  <c r="G485" i="1"/>
  <c r="F485" i="1"/>
  <c r="W484" i="1"/>
  <c r="L484" i="1"/>
  <c r="K484" i="1"/>
  <c r="J484" i="1"/>
  <c r="G484" i="1"/>
  <c r="F484" i="1"/>
  <c r="W483" i="1"/>
  <c r="L483" i="1"/>
  <c r="K483" i="1"/>
  <c r="J483" i="1"/>
  <c r="G483" i="1"/>
  <c r="F483" i="1"/>
  <c r="W482" i="1"/>
  <c r="L482" i="1"/>
  <c r="K482" i="1"/>
  <c r="J482" i="1"/>
  <c r="G482" i="1"/>
  <c r="F482" i="1"/>
  <c r="W481" i="1"/>
  <c r="L481" i="1"/>
  <c r="K481" i="1"/>
  <c r="J481" i="1"/>
  <c r="G481" i="1"/>
  <c r="F481" i="1"/>
  <c r="W480" i="1"/>
  <c r="L480" i="1"/>
  <c r="K480" i="1"/>
  <c r="J480" i="1"/>
  <c r="G480" i="1"/>
  <c r="F480" i="1"/>
  <c r="W479" i="1"/>
  <c r="L479" i="1"/>
  <c r="K479" i="1"/>
  <c r="J479" i="1"/>
  <c r="G479" i="1"/>
  <c r="F479" i="1"/>
  <c r="W478" i="1"/>
  <c r="L478" i="1"/>
  <c r="K478" i="1"/>
  <c r="J478" i="1"/>
  <c r="G478" i="1"/>
  <c r="F478" i="1"/>
  <c r="W477" i="1"/>
  <c r="L477" i="1"/>
  <c r="K477" i="1"/>
  <c r="J477" i="1"/>
  <c r="G477" i="1"/>
  <c r="F477" i="1"/>
  <c r="W476" i="1"/>
  <c r="L476" i="1"/>
  <c r="K476" i="1"/>
  <c r="J476" i="1"/>
  <c r="G476" i="1"/>
  <c r="F476" i="1"/>
  <c r="W475" i="1"/>
  <c r="L475" i="1"/>
  <c r="K475" i="1"/>
  <c r="J475" i="1"/>
  <c r="G475" i="1"/>
  <c r="F475" i="1"/>
  <c r="W474" i="1"/>
  <c r="L474" i="1"/>
  <c r="K474" i="1"/>
  <c r="J474" i="1"/>
  <c r="G474" i="1"/>
  <c r="F474" i="1"/>
  <c r="W473" i="1"/>
  <c r="L473" i="1"/>
  <c r="K473" i="1"/>
  <c r="J473" i="1"/>
  <c r="G473" i="1"/>
  <c r="F473" i="1"/>
  <c r="W472" i="1"/>
  <c r="L472" i="1"/>
  <c r="K472" i="1"/>
  <c r="J472" i="1"/>
  <c r="G472" i="1"/>
  <c r="F472" i="1"/>
  <c r="W471" i="1"/>
  <c r="L471" i="1"/>
  <c r="K471" i="1"/>
  <c r="J471" i="1"/>
  <c r="G471" i="1"/>
  <c r="F471" i="1"/>
  <c r="W470" i="1"/>
  <c r="L470" i="1"/>
  <c r="K470" i="1"/>
  <c r="J470" i="1"/>
  <c r="G470" i="1"/>
  <c r="F470" i="1"/>
  <c r="W469" i="1"/>
  <c r="L469" i="1"/>
  <c r="K469" i="1"/>
  <c r="J469" i="1"/>
  <c r="G469" i="1"/>
  <c r="F469" i="1"/>
  <c r="W468" i="1"/>
  <c r="L468" i="1"/>
  <c r="K468" i="1"/>
  <c r="J468" i="1"/>
  <c r="G468" i="1"/>
  <c r="F468" i="1"/>
  <c r="W467" i="1"/>
  <c r="L467" i="1"/>
  <c r="K467" i="1"/>
  <c r="J467" i="1"/>
  <c r="G467" i="1"/>
  <c r="F467" i="1"/>
  <c r="W466" i="1"/>
  <c r="L466" i="1"/>
  <c r="K466" i="1"/>
  <c r="J466" i="1"/>
  <c r="G466" i="1"/>
  <c r="F466" i="1"/>
  <c r="W465" i="1"/>
  <c r="L465" i="1"/>
  <c r="K465" i="1"/>
  <c r="J465" i="1"/>
  <c r="G465" i="1"/>
  <c r="F465" i="1"/>
  <c r="W464" i="1"/>
  <c r="L464" i="1"/>
  <c r="K464" i="1"/>
  <c r="J464" i="1"/>
  <c r="G464" i="1"/>
  <c r="F464" i="1"/>
  <c r="W463" i="1"/>
  <c r="L463" i="1"/>
  <c r="K463" i="1"/>
  <c r="J463" i="1"/>
  <c r="G463" i="1"/>
  <c r="F463" i="1"/>
  <c r="W462" i="1"/>
  <c r="L462" i="1"/>
  <c r="K462" i="1"/>
  <c r="J462" i="1"/>
  <c r="G462" i="1"/>
  <c r="F462" i="1"/>
  <c r="W461" i="1"/>
  <c r="L461" i="1"/>
  <c r="K461" i="1"/>
  <c r="J461" i="1"/>
  <c r="G461" i="1"/>
  <c r="F461" i="1"/>
  <c r="W460" i="1"/>
  <c r="L460" i="1"/>
  <c r="K460" i="1"/>
  <c r="J460" i="1"/>
  <c r="G460" i="1"/>
  <c r="F460" i="1"/>
  <c r="W459" i="1"/>
  <c r="L459" i="1"/>
  <c r="K459" i="1"/>
  <c r="J459" i="1"/>
  <c r="G459" i="1"/>
  <c r="F459" i="1"/>
  <c r="W458" i="1"/>
  <c r="L458" i="1"/>
  <c r="K458" i="1"/>
  <c r="J458" i="1"/>
  <c r="G458" i="1"/>
  <c r="F458" i="1"/>
  <c r="W457" i="1"/>
  <c r="L457" i="1"/>
  <c r="K457" i="1"/>
  <c r="J457" i="1"/>
  <c r="G457" i="1"/>
  <c r="F457" i="1"/>
  <c r="W456" i="1"/>
  <c r="L456" i="1"/>
  <c r="K456" i="1"/>
  <c r="J456" i="1"/>
  <c r="G456" i="1"/>
  <c r="F456" i="1"/>
  <c r="W455" i="1"/>
  <c r="L455" i="1"/>
  <c r="K455" i="1"/>
  <c r="J455" i="1"/>
  <c r="G455" i="1"/>
  <c r="F455" i="1"/>
  <c r="W454" i="1"/>
  <c r="L454" i="1"/>
  <c r="K454" i="1"/>
  <c r="J454" i="1"/>
  <c r="G454" i="1"/>
  <c r="F454" i="1"/>
  <c r="W453" i="1"/>
  <c r="L453" i="1"/>
  <c r="K453" i="1"/>
  <c r="J453" i="1"/>
  <c r="G453" i="1"/>
  <c r="F453" i="1"/>
  <c r="W452" i="1"/>
  <c r="L452" i="1"/>
  <c r="K452" i="1"/>
  <c r="J452" i="1"/>
  <c r="G452" i="1"/>
  <c r="F452" i="1"/>
  <c r="W451" i="1"/>
  <c r="L451" i="1"/>
  <c r="K451" i="1"/>
  <c r="J451" i="1"/>
  <c r="G451" i="1"/>
  <c r="F451" i="1"/>
  <c r="W450" i="1"/>
  <c r="L450" i="1"/>
  <c r="K450" i="1"/>
  <c r="J450" i="1"/>
  <c r="G450" i="1"/>
  <c r="F450" i="1"/>
  <c r="W449" i="1"/>
  <c r="L449" i="1"/>
  <c r="K449" i="1"/>
  <c r="J449" i="1"/>
  <c r="G449" i="1"/>
  <c r="F449" i="1"/>
  <c r="W448" i="1"/>
  <c r="L448" i="1"/>
  <c r="K448" i="1"/>
  <c r="J448" i="1"/>
  <c r="G448" i="1"/>
  <c r="F448" i="1"/>
  <c r="W447" i="1"/>
  <c r="L447" i="1"/>
  <c r="K447" i="1"/>
  <c r="J447" i="1"/>
  <c r="G447" i="1"/>
  <c r="F447" i="1"/>
  <c r="W446" i="1"/>
  <c r="L446" i="1"/>
  <c r="K446" i="1"/>
  <c r="J446" i="1"/>
  <c r="G446" i="1"/>
  <c r="F446" i="1"/>
  <c r="W445" i="1"/>
  <c r="L445" i="1"/>
  <c r="K445" i="1"/>
  <c r="J445" i="1"/>
  <c r="G445" i="1"/>
  <c r="F445" i="1"/>
  <c r="W444" i="1"/>
  <c r="L444" i="1"/>
  <c r="K444" i="1"/>
  <c r="J444" i="1"/>
  <c r="G444" i="1"/>
  <c r="F444" i="1"/>
  <c r="W443" i="1"/>
  <c r="L443" i="1"/>
  <c r="K443" i="1"/>
  <c r="J443" i="1"/>
  <c r="G443" i="1"/>
  <c r="F443" i="1"/>
  <c r="W442" i="1"/>
  <c r="L442" i="1"/>
  <c r="K442" i="1"/>
  <c r="J442" i="1"/>
  <c r="G442" i="1"/>
  <c r="F442" i="1"/>
  <c r="W441" i="1"/>
  <c r="L441" i="1"/>
  <c r="K441" i="1"/>
  <c r="J441" i="1"/>
  <c r="G441" i="1"/>
  <c r="F441" i="1"/>
  <c r="W440" i="1"/>
  <c r="L440" i="1"/>
  <c r="K440" i="1"/>
  <c r="J440" i="1"/>
  <c r="G440" i="1"/>
  <c r="F440" i="1"/>
  <c r="W439" i="1"/>
  <c r="L439" i="1"/>
  <c r="K439" i="1"/>
  <c r="J439" i="1"/>
  <c r="G439" i="1"/>
  <c r="F439" i="1"/>
  <c r="W438" i="1"/>
  <c r="L438" i="1"/>
  <c r="K438" i="1"/>
  <c r="J438" i="1"/>
  <c r="G438" i="1"/>
  <c r="F438" i="1"/>
  <c r="W437" i="1"/>
  <c r="L437" i="1"/>
  <c r="K437" i="1"/>
  <c r="J437" i="1"/>
  <c r="G437" i="1"/>
  <c r="F437" i="1"/>
  <c r="W436" i="1"/>
  <c r="L436" i="1"/>
  <c r="K436" i="1"/>
  <c r="J436" i="1"/>
  <c r="G436" i="1"/>
  <c r="F436" i="1"/>
  <c r="W435" i="1"/>
  <c r="L435" i="1"/>
  <c r="K435" i="1"/>
  <c r="J435" i="1"/>
  <c r="G435" i="1"/>
  <c r="F435" i="1"/>
  <c r="W434" i="1"/>
  <c r="L434" i="1"/>
  <c r="K434" i="1"/>
  <c r="J434" i="1"/>
  <c r="G434" i="1"/>
  <c r="F434" i="1"/>
  <c r="W433" i="1"/>
  <c r="L433" i="1"/>
  <c r="K433" i="1"/>
  <c r="J433" i="1"/>
  <c r="G433" i="1"/>
  <c r="F433" i="1"/>
  <c r="W432" i="1"/>
  <c r="L432" i="1"/>
  <c r="K432" i="1"/>
  <c r="J432" i="1"/>
  <c r="G432" i="1"/>
  <c r="F432" i="1"/>
  <c r="W431" i="1"/>
  <c r="L431" i="1"/>
  <c r="K431" i="1"/>
  <c r="J431" i="1"/>
  <c r="G431" i="1"/>
  <c r="F431" i="1"/>
  <c r="W430" i="1"/>
  <c r="L430" i="1"/>
  <c r="K430" i="1"/>
  <c r="J430" i="1"/>
  <c r="G430" i="1"/>
  <c r="F430" i="1"/>
  <c r="W429" i="1"/>
  <c r="L429" i="1"/>
  <c r="K429" i="1"/>
  <c r="J429" i="1"/>
  <c r="G429" i="1"/>
  <c r="F429" i="1"/>
  <c r="W428" i="1"/>
  <c r="L428" i="1"/>
  <c r="K428" i="1"/>
  <c r="J428" i="1"/>
  <c r="G428" i="1"/>
  <c r="F428" i="1"/>
  <c r="W427" i="1"/>
  <c r="L427" i="1"/>
  <c r="K427" i="1"/>
  <c r="J427" i="1"/>
  <c r="G427" i="1"/>
  <c r="F427" i="1"/>
  <c r="W426" i="1"/>
  <c r="L426" i="1"/>
  <c r="K426" i="1"/>
  <c r="J426" i="1"/>
  <c r="G426" i="1"/>
  <c r="F426" i="1"/>
  <c r="W425" i="1"/>
  <c r="L425" i="1"/>
  <c r="K425" i="1"/>
  <c r="J425" i="1"/>
  <c r="G425" i="1"/>
  <c r="F425" i="1"/>
  <c r="W424" i="1"/>
  <c r="L424" i="1"/>
  <c r="K424" i="1"/>
  <c r="J424" i="1"/>
  <c r="G424" i="1"/>
  <c r="F424" i="1"/>
  <c r="W423" i="1"/>
  <c r="L423" i="1"/>
  <c r="K423" i="1"/>
  <c r="J423" i="1"/>
  <c r="G423" i="1"/>
  <c r="F423" i="1"/>
  <c r="W422" i="1"/>
  <c r="L422" i="1"/>
  <c r="K422" i="1"/>
  <c r="J422" i="1"/>
  <c r="G422" i="1"/>
  <c r="F422" i="1"/>
  <c r="W421" i="1"/>
  <c r="L421" i="1"/>
  <c r="K421" i="1"/>
  <c r="J421" i="1"/>
  <c r="G421" i="1"/>
  <c r="F421" i="1"/>
  <c r="W420" i="1"/>
  <c r="L420" i="1"/>
  <c r="K420" i="1"/>
  <c r="J420" i="1"/>
  <c r="G420" i="1"/>
  <c r="F420" i="1"/>
  <c r="W419" i="1"/>
  <c r="L419" i="1"/>
  <c r="K419" i="1"/>
  <c r="J419" i="1"/>
  <c r="G419" i="1"/>
  <c r="F419" i="1"/>
  <c r="W418" i="1"/>
  <c r="L418" i="1"/>
  <c r="K418" i="1"/>
  <c r="J418" i="1"/>
  <c r="G418" i="1"/>
  <c r="F418" i="1"/>
  <c r="W417" i="1"/>
  <c r="L417" i="1"/>
  <c r="K417" i="1"/>
  <c r="J417" i="1"/>
  <c r="G417" i="1"/>
  <c r="F417" i="1"/>
  <c r="W416" i="1"/>
  <c r="L416" i="1"/>
  <c r="K416" i="1"/>
  <c r="J416" i="1"/>
  <c r="G416" i="1"/>
  <c r="F416" i="1"/>
  <c r="W415" i="1"/>
  <c r="L415" i="1"/>
  <c r="K415" i="1"/>
  <c r="J415" i="1"/>
  <c r="G415" i="1"/>
  <c r="F415" i="1"/>
  <c r="W414" i="1"/>
  <c r="L414" i="1"/>
  <c r="K414" i="1"/>
  <c r="J414" i="1"/>
  <c r="G414" i="1"/>
  <c r="F414" i="1"/>
  <c r="W413" i="1"/>
  <c r="L413" i="1"/>
  <c r="K413" i="1"/>
  <c r="J413" i="1"/>
  <c r="G413" i="1"/>
  <c r="F413" i="1"/>
  <c r="W412" i="1"/>
  <c r="L412" i="1"/>
  <c r="K412" i="1"/>
  <c r="J412" i="1"/>
  <c r="G412" i="1"/>
  <c r="F412" i="1"/>
  <c r="W411" i="1"/>
  <c r="L411" i="1"/>
  <c r="K411" i="1"/>
  <c r="J411" i="1"/>
  <c r="G411" i="1"/>
  <c r="F411" i="1"/>
  <c r="W410" i="1"/>
  <c r="L410" i="1"/>
  <c r="K410" i="1"/>
  <c r="J410" i="1"/>
  <c r="G410" i="1"/>
  <c r="F410" i="1"/>
  <c r="W409" i="1"/>
  <c r="L409" i="1"/>
  <c r="K409" i="1"/>
  <c r="J409" i="1"/>
  <c r="G409" i="1"/>
  <c r="F409" i="1"/>
  <c r="W408" i="1"/>
  <c r="L408" i="1"/>
  <c r="K408" i="1"/>
  <c r="J408" i="1"/>
  <c r="G408" i="1"/>
  <c r="F408" i="1"/>
  <c r="W407" i="1"/>
  <c r="L407" i="1"/>
  <c r="K407" i="1"/>
  <c r="J407" i="1"/>
  <c r="G407" i="1"/>
  <c r="F407" i="1"/>
  <c r="W406" i="1"/>
  <c r="L406" i="1"/>
  <c r="K406" i="1"/>
  <c r="J406" i="1"/>
  <c r="G406" i="1"/>
  <c r="F406" i="1"/>
  <c r="W405" i="1"/>
  <c r="L405" i="1"/>
  <c r="K405" i="1"/>
  <c r="J405" i="1"/>
  <c r="G405" i="1"/>
  <c r="F405" i="1"/>
  <c r="W404" i="1"/>
  <c r="L404" i="1"/>
  <c r="K404" i="1"/>
  <c r="J404" i="1"/>
  <c r="G404" i="1"/>
  <c r="F404" i="1"/>
  <c r="W403" i="1"/>
  <c r="L403" i="1"/>
  <c r="K403" i="1"/>
  <c r="J403" i="1"/>
  <c r="G403" i="1"/>
  <c r="F403" i="1"/>
  <c r="W402" i="1"/>
  <c r="L402" i="1"/>
  <c r="K402" i="1"/>
  <c r="J402" i="1"/>
  <c r="G402" i="1"/>
  <c r="F402" i="1"/>
  <c r="W401" i="1"/>
  <c r="L401" i="1"/>
  <c r="K401" i="1"/>
  <c r="J401" i="1"/>
  <c r="G401" i="1"/>
  <c r="F401" i="1"/>
  <c r="W400" i="1"/>
  <c r="L400" i="1"/>
  <c r="K400" i="1"/>
  <c r="J400" i="1"/>
  <c r="G400" i="1"/>
  <c r="F400" i="1"/>
  <c r="W399" i="1"/>
  <c r="L399" i="1"/>
  <c r="K399" i="1"/>
  <c r="J399" i="1"/>
  <c r="G399" i="1"/>
  <c r="F399" i="1"/>
  <c r="W398" i="1"/>
  <c r="L398" i="1"/>
  <c r="K398" i="1"/>
  <c r="J398" i="1"/>
  <c r="G398" i="1"/>
  <c r="F398" i="1"/>
  <c r="W397" i="1"/>
  <c r="L397" i="1"/>
  <c r="K397" i="1"/>
  <c r="J397" i="1"/>
  <c r="G397" i="1"/>
  <c r="F397" i="1"/>
  <c r="W396" i="1"/>
  <c r="L396" i="1"/>
  <c r="K396" i="1"/>
  <c r="J396" i="1"/>
  <c r="G396" i="1"/>
  <c r="F396" i="1"/>
  <c r="W395" i="1"/>
  <c r="L395" i="1"/>
  <c r="K395" i="1"/>
  <c r="J395" i="1"/>
  <c r="G395" i="1"/>
  <c r="F395" i="1"/>
  <c r="W394" i="1"/>
  <c r="L394" i="1"/>
  <c r="K394" i="1"/>
  <c r="J394" i="1"/>
  <c r="G394" i="1"/>
  <c r="F394" i="1"/>
  <c r="W393" i="1"/>
  <c r="L393" i="1"/>
  <c r="K393" i="1"/>
  <c r="J393" i="1"/>
  <c r="G393" i="1"/>
  <c r="F393" i="1"/>
  <c r="W392" i="1"/>
  <c r="L392" i="1"/>
  <c r="K392" i="1"/>
  <c r="J392" i="1"/>
  <c r="G392" i="1"/>
  <c r="F392" i="1"/>
  <c r="W391" i="1"/>
  <c r="L391" i="1"/>
  <c r="K391" i="1"/>
  <c r="J391" i="1"/>
  <c r="G391" i="1"/>
  <c r="F391" i="1"/>
  <c r="W390" i="1"/>
  <c r="L390" i="1"/>
  <c r="K390" i="1"/>
  <c r="J390" i="1"/>
  <c r="G390" i="1"/>
  <c r="F390" i="1"/>
  <c r="W389" i="1"/>
  <c r="L389" i="1"/>
  <c r="K389" i="1"/>
  <c r="J389" i="1"/>
  <c r="G389" i="1"/>
  <c r="F389" i="1"/>
  <c r="W388" i="1"/>
  <c r="L388" i="1"/>
  <c r="K388" i="1"/>
  <c r="J388" i="1"/>
  <c r="G388" i="1"/>
  <c r="F388" i="1"/>
  <c r="W387" i="1"/>
  <c r="L387" i="1"/>
  <c r="K387" i="1"/>
  <c r="J387" i="1"/>
  <c r="G387" i="1"/>
  <c r="F387" i="1"/>
  <c r="W386" i="1"/>
  <c r="L386" i="1"/>
  <c r="K386" i="1"/>
  <c r="J386" i="1"/>
  <c r="G386" i="1"/>
  <c r="F386" i="1"/>
  <c r="W385" i="1"/>
  <c r="L385" i="1"/>
  <c r="K385" i="1"/>
  <c r="J385" i="1"/>
  <c r="G385" i="1"/>
  <c r="F385" i="1"/>
  <c r="W384" i="1"/>
  <c r="L384" i="1"/>
  <c r="K384" i="1"/>
  <c r="J384" i="1"/>
  <c r="G384" i="1"/>
  <c r="F384" i="1"/>
  <c r="W383" i="1"/>
  <c r="L383" i="1"/>
  <c r="K383" i="1"/>
  <c r="J383" i="1"/>
  <c r="G383" i="1"/>
  <c r="F383" i="1"/>
  <c r="W382" i="1"/>
  <c r="L382" i="1"/>
  <c r="K382" i="1"/>
  <c r="J382" i="1"/>
  <c r="G382" i="1"/>
  <c r="F382" i="1"/>
  <c r="W381" i="1"/>
  <c r="L381" i="1"/>
  <c r="K381" i="1"/>
  <c r="J381" i="1"/>
  <c r="G381" i="1"/>
  <c r="F381" i="1"/>
  <c r="W380" i="1"/>
  <c r="L380" i="1"/>
  <c r="K380" i="1"/>
  <c r="J380" i="1"/>
  <c r="G380" i="1"/>
  <c r="F380" i="1"/>
  <c r="W379" i="1"/>
  <c r="L379" i="1"/>
  <c r="K379" i="1"/>
  <c r="J379" i="1"/>
  <c r="G379" i="1"/>
  <c r="F379" i="1"/>
  <c r="W378" i="1"/>
  <c r="L378" i="1"/>
  <c r="K378" i="1"/>
  <c r="J378" i="1"/>
  <c r="G378" i="1"/>
  <c r="F378" i="1"/>
  <c r="W377" i="1"/>
  <c r="L377" i="1"/>
  <c r="K377" i="1"/>
  <c r="J377" i="1"/>
  <c r="G377" i="1"/>
  <c r="F377" i="1"/>
  <c r="W376" i="1"/>
  <c r="L376" i="1"/>
  <c r="K376" i="1"/>
  <c r="J376" i="1"/>
  <c r="G376" i="1"/>
  <c r="F376" i="1"/>
  <c r="W375" i="1"/>
  <c r="L375" i="1"/>
  <c r="K375" i="1"/>
  <c r="J375" i="1"/>
  <c r="G375" i="1"/>
  <c r="F375" i="1"/>
  <c r="W374" i="1"/>
  <c r="L374" i="1"/>
  <c r="K374" i="1"/>
  <c r="J374" i="1"/>
  <c r="G374" i="1"/>
  <c r="F374" i="1"/>
  <c r="W373" i="1"/>
  <c r="L373" i="1"/>
  <c r="K373" i="1"/>
  <c r="J373" i="1"/>
  <c r="G373" i="1"/>
  <c r="F373" i="1"/>
  <c r="W372" i="1"/>
  <c r="L372" i="1"/>
  <c r="K372" i="1"/>
  <c r="J372" i="1"/>
  <c r="G372" i="1"/>
  <c r="F372" i="1"/>
  <c r="W371" i="1"/>
  <c r="L371" i="1"/>
  <c r="K371" i="1"/>
  <c r="J371" i="1"/>
  <c r="G371" i="1"/>
  <c r="F371" i="1"/>
  <c r="W370" i="1"/>
  <c r="L370" i="1"/>
  <c r="K370" i="1"/>
  <c r="J370" i="1"/>
  <c r="G370" i="1"/>
  <c r="F370" i="1"/>
  <c r="W369" i="1"/>
  <c r="L369" i="1"/>
  <c r="K369" i="1"/>
  <c r="J369" i="1"/>
  <c r="G369" i="1"/>
  <c r="F369" i="1"/>
  <c r="W368" i="1"/>
  <c r="L368" i="1"/>
  <c r="K368" i="1"/>
  <c r="J368" i="1"/>
  <c r="G368" i="1"/>
  <c r="F368" i="1"/>
  <c r="W367" i="1"/>
  <c r="L367" i="1"/>
  <c r="K367" i="1"/>
  <c r="J367" i="1"/>
  <c r="G367" i="1"/>
  <c r="F367" i="1"/>
  <c r="W366" i="1"/>
  <c r="L366" i="1"/>
  <c r="K366" i="1"/>
  <c r="J366" i="1"/>
  <c r="G366" i="1"/>
  <c r="F366" i="1"/>
  <c r="W365" i="1"/>
  <c r="L365" i="1"/>
  <c r="K365" i="1"/>
  <c r="J365" i="1"/>
  <c r="G365" i="1"/>
  <c r="F365" i="1"/>
  <c r="W364" i="1"/>
  <c r="L364" i="1"/>
  <c r="K364" i="1"/>
  <c r="J364" i="1"/>
  <c r="G364" i="1"/>
  <c r="F364" i="1"/>
  <c r="W363" i="1"/>
  <c r="L363" i="1"/>
  <c r="K363" i="1"/>
  <c r="J363" i="1"/>
  <c r="G363" i="1"/>
  <c r="F363" i="1"/>
  <c r="W362" i="1"/>
  <c r="L362" i="1"/>
  <c r="K362" i="1"/>
  <c r="J362" i="1"/>
  <c r="G362" i="1"/>
  <c r="F362" i="1"/>
  <c r="W361" i="1"/>
  <c r="L361" i="1"/>
  <c r="K361" i="1"/>
  <c r="J361" i="1"/>
  <c r="G361" i="1"/>
  <c r="F361" i="1"/>
  <c r="W360" i="1"/>
  <c r="L360" i="1"/>
  <c r="K360" i="1"/>
  <c r="J360" i="1"/>
  <c r="G360" i="1"/>
  <c r="F360" i="1"/>
  <c r="W359" i="1"/>
  <c r="L359" i="1"/>
  <c r="K359" i="1"/>
  <c r="J359" i="1"/>
  <c r="G359" i="1"/>
  <c r="F359" i="1"/>
  <c r="W358" i="1"/>
  <c r="L358" i="1"/>
  <c r="K358" i="1"/>
  <c r="J358" i="1"/>
  <c r="G358" i="1"/>
  <c r="F358" i="1"/>
  <c r="W357" i="1"/>
  <c r="L357" i="1"/>
  <c r="K357" i="1"/>
  <c r="J357" i="1"/>
  <c r="G357" i="1"/>
  <c r="F357" i="1"/>
  <c r="W356" i="1"/>
  <c r="L356" i="1"/>
  <c r="K356" i="1"/>
  <c r="J356" i="1"/>
  <c r="G356" i="1"/>
  <c r="F356" i="1"/>
  <c r="W355" i="1"/>
  <c r="L355" i="1"/>
  <c r="K355" i="1"/>
  <c r="J355" i="1"/>
  <c r="G355" i="1"/>
  <c r="F355" i="1"/>
  <c r="W354" i="1"/>
  <c r="L354" i="1"/>
  <c r="K354" i="1"/>
  <c r="J354" i="1"/>
  <c r="G354" i="1"/>
  <c r="F354" i="1"/>
  <c r="W353" i="1"/>
  <c r="L353" i="1"/>
  <c r="K353" i="1"/>
  <c r="J353" i="1"/>
  <c r="G353" i="1"/>
  <c r="F353" i="1"/>
  <c r="W352" i="1"/>
  <c r="L352" i="1"/>
  <c r="K352" i="1"/>
  <c r="J352" i="1"/>
  <c r="G352" i="1"/>
  <c r="F352" i="1"/>
  <c r="W351" i="1"/>
  <c r="L351" i="1"/>
  <c r="K351" i="1"/>
  <c r="J351" i="1"/>
  <c r="G351" i="1"/>
  <c r="F351" i="1"/>
  <c r="W350" i="1"/>
  <c r="L350" i="1"/>
  <c r="K350" i="1"/>
  <c r="J350" i="1"/>
  <c r="G350" i="1"/>
  <c r="F350" i="1"/>
  <c r="W349" i="1"/>
  <c r="L349" i="1"/>
  <c r="K349" i="1"/>
  <c r="J349" i="1"/>
  <c r="G349" i="1"/>
  <c r="F349" i="1"/>
  <c r="W348" i="1"/>
  <c r="L348" i="1"/>
  <c r="K348" i="1"/>
  <c r="J348" i="1"/>
  <c r="G348" i="1"/>
  <c r="F348" i="1"/>
  <c r="W347" i="1"/>
  <c r="L347" i="1"/>
  <c r="K347" i="1"/>
  <c r="J347" i="1"/>
  <c r="G347" i="1"/>
  <c r="F347" i="1"/>
  <c r="W346" i="1"/>
  <c r="L346" i="1"/>
  <c r="K346" i="1"/>
  <c r="J346" i="1"/>
  <c r="G346" i="1"/>
  <c r="F346" i="1"/>
  <c r="W345" i="1"/>
  <c r="L345" i="1"/>
  <c r="K345" i="1"/>
  <c r="J345" i="1"/>
  <c r="G345" i="1"/>
  <c r="F345" i="1"/>
  <c r="W344" i="1"/>
  <c r="L344" i="1"/>
  <c r="K344" i="1"/>
  <c r="J344" i="1"/>
  <c r="G344" i="1"/>
  <c r="F344" i="1"/>
  <c r="W343" i="1"/>
  <c r="L343" i="1"/>
  <c r="K343" i="1"/>
  <c r="J343" i="1"/>
  <c r="G343" i="1"/>
  <c r="F343" i="1"/>
  <c r="W342" i="1"/>
  <c r="L342" i="1"/>
  <c r="K342" i="1"/>
  <c r="J342" i="1"/>
  <c r="G342" i="1"/>
  <c r="F342" i="1"/>
  <c r="W341" i="1"/>
  <c r="L341" i="1"/>
  <c r="K341" i="1"/>
  <c r="J341" i="1"/>
  <c r="G341" i="1"/>
  <c r="F341" i="1"/>
  <c r="W340" i="1"/>
  <c r="L340" i="1"/>
  <c r="K340" i="1"/>
  <c r="J340" i="1"/>
  <c r="G340" i="1"/>
  <c r="F340" i="1"/>
  <c r="W339" i="1"/>
  <c r="L339" i="1"/>
  <c r="K339" i="1"/>
  <c r="J339" i="1"/>
  <c r="G339" i="1"/>
  <c r="F339" i="1"/>
  <c r="W338" i="1"/>
  <c r="L338" i="1"/>
  <c r="K338" i="1"/>
  <c r="J338" i="1"/>
  <c r="G338" i="1"/>
  <c r="F338" i="1"/>
  <c r="W337" i="1"/>
  <c r="L337" i="1"/>
  <c r="K337" i="1"/>
  <c r="J337" i="1"/>
  <c r="G337" i="1"/>
  <c r="F337" i="1"/>
  <c r="W336" i="1"/>
  <c r="L336" i="1"/>
  <c r="K336" i="1"/>
  <c r="J336" i="1"/>
  <c r="G336" i="1"/>
  <c r="F336" i="1"/>
  <c r="W335" i="1"/>
  <c r="L335" i="1"/>
  <c r="K335" i="1"/>
  <c r="J335" i="1"/>
  <c r="G335" i="1"/>
  <c r="F335" i="1"/>
  <c r="W334" i="1"/>
  <c r="L334" i="1"/>
  <c r="K334" i="1"/>
  <c r="J334" i="1"/>
  <c r="G334" i="1"/>
  <c r="F334" i="1"/>
  <c r="W333" i="1"/>
  <c r="L333" i="1"/>
  <c r="K333" i="1"/>
  <c r="J333" i="1"/>
  <c r="G333" i="1"/>
  <c r="F333" i="1"/>
  <c r="W332" i="1"/>
  <c r="L332" i="1"/>
  <c r="K332" i="1"/>
  <c r="J332" i="1"/>
  <c r="G332" i="1"/>
  <c r="F332" i="1"/>
  <c r="W331" i="1"/>
  <c r="L331" i="1"/>
  <c r="K331" i="1"/>
  <c r="J331" i="1"/>
  <c r="G331" i="1"/>
  <c r="F331" i="1"/>
  <c r="W330" i="1"/>
  <c r="L330" i="1"/>
  <c r="K330" i="1"/>
  <c r="J330" i="1"/>
  <c r="G330" i="1"/>
  <c r="F330" i="1"/>
  <c r="W329" i="1"/>
  <c r="L329" i="1"/>
  <c r="K329" i="1"/>
  <c r="J329" i="1"/>
  <c r="G329" i="1"/>
  <c r="F329" i="1"/>
  <c r="W328" i="1"/>
  <c r="L328" i="1"/>
  <c r="K328" i="1"/>
  <c r="J328" i="1"/>
  <c r="G328" i="1"/>
  <c r="F328" i="1"/>
  <c r="W327" i="1"/>
  <c r="L327" i="1"/>
  <c r="K327" i="1"/>
  <c r="J327" i="1"/>
  <c r="G327" i="1"/>
  <c r="F327" i="1"/>
  <c r="W326" i="1"/>
  <c r="L326" i="1"/>
  <c r="K326" i="1"/>
  <c r="J326" i="1"/>
  <c r="G326" i="1"/>
  <c r="F326" i="1"/>
  <c r="W325" i="1"/>
  <c r="L325" i="1"/>
  <c r="K325" i="1"/>
  <c r="J325" i="1"/>
  <c r="G325" i="1"/>
  <c r="F325" i="1"/>
  <c r="W324" i="1"/>
  <c r="L324" i="1"/>
  <c r="K324" i="1"/>
  <c r="J324" i="1"/>
  <c r="G324" i="1"/>
  <c r="F324" i="1"/>
  <c r="W323" i="1"/>
  <c r="L323" i="1"/>
  <c r="K323" i="1"/>
  <c r="J323" i="1"/>
  <c r="G323" i="1"/>
  <c r="F323" i="1"/>
  <c r="W322" i="1"/>
  <c r="L322" i="1"/>
  <c r="K322" i="1"/>
  <c r="J322" i="1"/>
  <c r="G322" i="1"/>
  <c r="F322" i="1"/>
  <c r="W321" i="1"/>
  <c r="L321" i="1"/>
  <c r="K321" i="1"/>
  <c r="J321" i="1"/>
  <c r="G321" i="1"/>
  <c r="F321" i="1"/>
  <c r="W320" i="1"/>
  <c r="L320" i="1"/>
  <c r="K320" i="1"/>
  <c r="J320" i="1"/>
  <c r="G320" i="1"/>
  <c r="F320" i="1"/>
  <c r="W319" i="1"/>
  <c r="L319" i="1"/>
  <c r="K319" i="1"/>
  <c r="J319" i="1"/>
  <c r="G319" i="1"/>
  <c r="F319" i="1"/>
  <c r="W318" i="1"/>
  <c r="L318" i="1"/>
  <c r="K318" i="1"/>
  <c r="J318" i="1"/>
  <c r="G318" i="1"/>
  <c r="F318" i="1"/>
  <c r="W317" i="1"/>
  <c r="L317" i="1"/>
  <c r="K317" i="1"/>
  <c r="J317" i="1"/>
  <c r="G317" i="1"/>
  <c r="F317" i="1"/>
  <c r="W316" i="1"/>
  <c r="L316" i="1"/>
  <c r="K316" i="1"/>
  <c r="J316" i="1"/>
  <c r="G316" i="1"/>
  <c r="F316" i="1"/>
  <c r="W315" i="1"/>
  <c r="L315" i="1"/>
  <c r="K315" i="1"/>
  <c r="J315" i="1"/>
  <c r="G315" i="1"/>
  <c r="F315" i="1"/>
  <c r="W314" i="1"/>
  <c r="L314" i="1"/>
  <c r="K314" i="1"/>
  <c r="J314" i="1"/>
  <c r="G314" i="1"/>
  <c r="F314" i="1"/>
  <c r="W313" i="1"/>
  <c r="L313" i="1"/>
  <c r="K313" i="1"/>
  <c r="J313" i="1"/>
  <c r="G313" i="1"/>
  <c r="F313" i="1"/>
  <c r="W312" i="1"/>
  <c r="L312" i="1"/>
  <c r="K312" i="1"/>
  <c r="J312" i="1"/>
  <c r="G312" i="1"/>
  <c r="F312" i="1"/>
  <c r="W311" i="1"/>
  <c r="L311" i="1"/>
  <c r="K311" i="1"/>
  <c r="J311" i="1"/>
  <c r="G311" i="1"/>
  <c r="F311" i="1"/>
  <c r="W310" i="1"/>
  <c r="L310" i="1"/>
  <c r="K310" i="1"/>
  <c r="J310" i="1"/>
  <c r="G310" i="1"/>
  <c r="F310" i="1"/>
  <c r="W309" i="1"/>
  <c r="L309" i="1"/>
  <c r="K309" i="1"/>
  <c r="J309" i="1"/>
  <c r="G309" i="1"/>
  <c r="F309" i="1"/>
  <c r="W308" i="1"/>
  <c r="L308" i="1"/>
  <c r="K308" i="1"/>
  <c r="J308" i="1"/>
  <c r="G308" i="1"/>
  <c r="F308" i="1"/>
  <c r="W307" i="1"/>
  <c r="L307" i="1"/>
  <c r="K307" i="1"/>
  <c r="J307" i="1"/>
  <c r="G307" i="1"/>
  <c r="F307" i="1"/>
  <c r="W306" i="1"/>
  <c r="L306" i="1"/>
  <c r="K306" i="1"/>
  <c r="J306" i="1"/>
  <c r="G306" i="1"/>
  <c r="F306" i="1"/>
  <c r="W305" i="1"/>
  <c r="L305" i="1"/>
  <c r="K305" i="1"/>
  <c r="J305" i="1"/>
  <c r="G305" i="1"/>
  <c r="F305" i="1"/>
  <c r="W304" i="1"/>
  <c r="L304" i="1"/>
  <c r="K304" i="1"/>
  <c r="J304" i="1"/>
  <c r="G304" i="1"/>
  <c r="F304" i="1"/>
  <c r="W303" i="1"/>
  <c r="L303" i="1"/>
  <c r="K303" i="1"/>
  <c r="J303" i="1"/>
  <c r="G303" i="1"/>
  <c r="F303" i="1"/>
  <c r="W302" i="1"/>
  <c r="L302" i="1"/>
  <c r="K302" i="1"/>
  <c r="J302" i="1"/>
  <c r="G302" i="1"/>
  <c r="F302" i="1"/>
  <c r="W301" i="1"/>
  <c r="L301" i="1"/>
  <c r="K301" i="1"/>
  <c r="J301" i="1"/>
  <c r="G301" i="1"/>
  <c r="F301" i="1"/>
  <c r="W300" i="1"/>
  <c r="L300" i="1"/>
  <c r="K300" i="1"/>
  <c r="J300" i="1"/>
  <c r="G300" i="1"/>
  <c r="F300" i="1"/>
  <c r="W299" i="1"/>
  <c r="L299" i="1"/>
  <c r="K299" i="1"/>
  <c r="J299" i="1"/>
  <c r="G299" i="1"/>
  <c r="F299" i="1"/>
  <c r="W298" i="1"/>
  <c r="L298" i="1"/>
  <c r="K298" i="1"/>
  <c r="J298" i="1"/>
  <c r="G298" i="1"/>
  <c r="F298" i="1"/>
  <c r="W297" i="1"/>
  <c r="L297" i="1"/>
  <c r="K297" i="1"/>
  <c r="J297" i="1"/>
  <c r="G297" i="1"/>
  <c r="F297" i="1"/>
  <c r="W296" i="1"/>
  <c r="L296" i="1"/>
  <c r="K296" i="1"/>
  <c r="J296" i="1"/>
  <c r="G296" i="1"/>
  <c r="F296" i="1"/>
  <c r="W295" i="1"/>
  <c r="L295" i="1"/>
  <c r="K295" i="1"/>
  <c r="J295" i="1"/>
  <c r="G295" i="1"/>
  <c r="F295" i="1"/>
  <c r="W294" i="1"/>
  <c r="L294" i="1"/>
  <c r="K294" i="1"/>
  <c r="J294" i="1"/>
  <c r="G294" i="1"/>
  <c r="F294" i="1"/>
  <c r="W293" i="1"/>
  <c r="L293" i="1"/>
  <c r="K293" i="1"/>
  <c r="J293" i="1"/>
  <c r="G293" i="1"/>
  <c r="F293" i="1"/>
  <c r="W292" i="1"/>
  <c r="L292" i="1"/>
  <c r="K292" i="1"/>
  <c r="J292" i="1"/>
  <c r="G292" i="1"/>
  <c r="F292" i="1"/>
  <c r="W291" i="1"/>
  <c r="L291" i="1"/>
  <c r="K291" i="1"/>
  <c r="J291" i="1"/>
  <c r="G291" i="1"/>
  <c r="F291" i="1"/>
  <c r="W290" i="1"/>
  <c r="L290" i="1"/>
  <c r="K290" i="1"/>
  <c r="J290" i="1"/>
  <c r="G290" i="1"/>
  <c r="F290" i="1"/>
  <c r="W289" i="1"/>
  <c r="L289" i="1"/>
  <c r="K289" i="1"/>
  <c r="J289" i="1"/>
  <c r="G289" i="1"/>
  <c r="F289" i="1"/>
  <c r="W288" i="1"/>
  <c r="L288" i="1"/>
  <c r="K288" i="1"/>
  <c r="J288" i="1"/>
  <c r="G288" i="1"/>
  <c r="F288" i="1"/>
  <c r="W287" i="1"/>
  <c r="L287" i="1"/>
  <c r="K287" i="1"/>
  <c r="J287" i="1"/>
  <c r="G287" i="1"/>
  <c r="F287" i="1"/>
  <c r="W286" i="1"/>
  <c r="L286" i="1"/>
  <c r="K286" i="1"/>
  <c r="J286" i="1"/>
  <c r="G286" i="1"/>
  <c r="F286" i="1"/>
  <c r="W285" i="1"/>
  <c r="L285" i="1"/>
  <c r="K285" i="1"/>
  <c r="J285" i="1"/>
  <c r="G285" i="1"/>
  <c r="F285" i="1"/>
  <c r="W284" i="1"/>
  <c r="L284" i="1"/>
  <c r="K284" i="1"/>
  <c r="J284" i="1"/>
  <c r="G284" i="1"/>
  <c r="F284" i="1"/>
  <c r="W283" i="1"/>
  <c r="L283" i="1"/>
  <c r="K283" i="1"/>
  <c r="J283" i="1"/>
  <c r="G283" i="1"/>
  <c r="F283" i="1"/>
  <c r="W282" i="1"/>
  <c r="L282" i="1"/>
  <c r="K282" i="1"/>
  <c r="J282" i="1"/>
  <c r="G282" i="1"/>
  <c r="F282" i="1"/>
  <c r="W281" i="1"/>
  <c r="L281" i="1"/>
  <c r="K281" i="1"/>
  <c r="J281" i="1"/>
  <c r="G281" i="1"/>
  <c r="F281" i="1"/>
  <c r="W280" i="1"/>
  <c r="L280" i="1"/>
  <c r="K280" i="1"/>
  <c r="J280" i="1"/>
  <c r="G280" i="1"/>
  <c r="F280" i="1"/>
  <c r="W279" i="1"/>
  <c r="L279" i="1"/>
  <c r="K279" i="1"/>
  <c r="J279" i="1"/>
  <c r="G279" i="1"/>
  <c r="F279" i="1"/>
  <c r="W278" i="1"/>
  <c r="L278" i="1"/>
  <c r="K278" i="1"/>
  <c r="J278" i="1"/>
  <c r="G278" i="1"/>
  <c r="F278" i="1"/>
  <c r="W277" i="1"/>
  <c r="L277" i="1"/>
  <c r="K277" i="1"/>
  <c r="J277" i="1"/>
  <c r="G277" i="1"/>
  <c r="F277" i="1"/>
  <c r="W276" i="1"/>
  <c r="L276" i="1"/>
  <c r="K276" i="1"/>
  <c r="J276" i="1"/>
  <c r="G276" i="1"/>
  <c r="F276" i="1"/>
  <c r="W275" i="1"/>
  <c r="L275" i="1"/>
  <c r="K275" i="1"/>
  <c r="J275" i="1"/>
  <c r="G275" i="1"/>
  <c r="F275" i="1"/>
  <c r="W274" i="1"/>
  <c r="L274" i="1"/>
  <c r="K274" i="1"/>
  <c r="J274" i="1"/>
  <c r="G274" i="1"/>
  <c r="F274" i="1"/>
  <c r="W273" i="1"/>
  <c r="L273" i="1"/>
  <c r="K273" i="1"/>
  <c r="J273" i="1"/>
  <c r="G273" i="1"/>
  <c r="F273" i="1"/>
  <c r="W272" i="1"/>
  <c r="L272" i="1"/>
  <c r="K272" i="1"/>
  <c r="J272" i="1"/>
  <c r="G272" i="1"/>
  <c r="F272" i="1"/>
  <c r="W271" i="1"/>
  <c r="L271" i="1"/>
  <c r="K271" i="1"/>
  <c r="J271" i="1"/>
  <c r="G271" i="1"/>
  <c r="F271" i="1"/>
  <c r="W270" i="1"/>
  <c r="L270" i="1"/>
  <c r="K270" i="1"/>
  <c r="J270" i="1"/>
  <c r="G270" i="1"/>
  <c r="F270" i="1"/>
  <c r="W269" i="1"/>
  <c r="L269" i="1"/>
  <c r="K269" i="1"/>
  <c r="J269" i="1"/>
  <c r="G269" i="1"/>
  <c r="F269" i="1"/>
  <c r="W268" i="1"/>
  <c r="L268" i="1"/>
  <c r="K268" i="1"/>
  <c r="J268" i="1"/>
  <c r="G268" i="1"/>
  <c r="F268" i="1"/>
  <c r="W267" i="1"/>
  <c r="L267" i="1"/>
  <c r="K267" i="1"/>
  <c r="J267" i="1"/>
  <c r="G267" i="1"/>
  <c r="F267" i="1"/>
  <c r="W266" i="1"/>
  <c r="L266" i="1"/>
  <c r="K266" i="1"/>
  <c r="J266" i="1"/>
  <c r="G266" i="1"/>
  <c r="F266" i="1"/>
  <c r="W265" i="1"/>
  <c r="L265" i="1"/>
  <c r="K265" i="1"/>
  <c r="J265" i="1"/>
  <c r="G265" i="1"/>
  <c r="F265" i="1"/>
  <c r="W264" i="1"/>
  <c r="L264" i="1"/>
  <c r="K264" i="1"/>
  <c r="J264" i="1"/>
  <c r="G264" i="1"/>
  <c r="F264" i="1"/>
  <c r="W263" i="1"/>
  <c r="L263" i="1"/>
  <c r="K263" i="1"/>
  <c r="J263" i="1"/>
  <c r="G263" i="1"/>
  <c r="F263" i="1"/>
  <c r="W262" i="1"/>
  <c r="L262" i="1"/>
  <c r="K262" i="1"/>
  <c r="J262" i="1"/>
  <c r="G262" i="1"/>
  <c r="F262" i="1"/>
  <c r="W261" i="1"/>
  <c r="L261" i="1"/>
  <c r="K261" i="1"/>
  <c r="J261" i="1"/>
  <c r="G261" i="1"/>
  <c r="F261" i="1"/>
  <c r="W260" i="1"/>
  <c r="L260" i="1"/>
  <c r="K260" i="1"/>
  <c r="J260" i="1"/>
  <c r="G260" i="1"/>
  <c r="F260" i="1"/>
  <c r="W259" i="1"/>
  <c r="L259" i="1"/>
  <c r="K259" i="1"/>
  <c r="J259" i="1"/>
  <c r="G259" i="1"/>
  <c r="F259" i="1"/>
  <c r="W258" i="1"/>
  <c r="L258" i="1"/>
  <c r="K258" i="1"/>
  <c r="J258" i="1"/>
  <c r="G258" i="1"/>
  <c r="F258" i="1"/>
  <c r="W257" i="1"/>
  <c r="L257" i="1"/>
  <c r="K257" i="1"/>
  <c r="J257" i="1"/>
  <c r="G257" i="1"/>
  <c r="F257" i="1"/>
  <c r="W256" i="1"/>
  <c r="L256" i="1"/>
  <c r="K256" i="1"/>
  <c r="J256" i="1"/>
  <c r="G256" i="1"/>
  <c r="F256" i="1"/>
  <c r="W255" i="1"/>
  <c r="L255" i="1"/>
  <c r="K255" i="1"/>
  <c r="J255" i="1"/>
  <c r="G255" i="1"/>
  <c r="F255" i="1"/>
  <c r="W254" i="1"/>
  <c r="L254" i="1"/>
  <c r="K254" i="1"/>
  <c r="J254" i="1"/>
  <c r="G254" i="1"/>
  <c r="F254" i="1"/>
  <c r="W253" i="1"/>
  <c r="L253" i="1"/>
  <c r="K253" i="1"/>
  <c r="J253" i="1"/>
  <c r="G253" i="1"/>
  <c r="F253" i="1"/>
  <c r="W252" i="1"/>
  <c r="L252" i="1"/>
  <c r="K252" i="1"/>
  <c r="J252" i="1"/>
  <c r="G252" i="1"/>
  <c r="F252" i="1"/>
  <c r="W251" i="1"/>
  <c r="L251" i="1"/>
  <c r="K251" i="1"/>
  <c r="J251" i="1"/>
  <c r="G251" i="1"/>
  <c r="F251" i="1"/>
  <c r="W250" i="1"/>
  <c r="L250" i="1"/>
  <c r="K250" i="1"/>
  <c r="J250" i="1"/>
  <c r="G250" i="1"/>
  <c r="F250" i="1"/>
  <c r="W249" i="1"/>
  <c r="L249" i="1"/>
  <c r="K249" i="1"/>
  <c r="J249" i="1"/>
  <c r="G249" i="1"/>
  <c r="F249" i="1"/>
  <c r="W248" i="1"/>
  <c r="L248" i="1"/>
  <c r="K248" i="1"/>
  <c r="J248" i="1"/>
  <c r="G248" i="1"/>
  <c r="F248" i="1"/>
  <c r="W247" i="1"/>
  <c r="L247" i="1"/>
  <c r="K247" i="1"/>
  <c r="J247" i="1"/>
  <c r="G247" i="1"/>
  <c r="F247" i="1"/>
  <c r="W246" i="1"/>
  <c r="L246" i="1"/>
  <c r="K246" i="1"/>
  <c r="J246" i="1"/>
  <c r="G246" i="1"/>
  <c r="F246" i="1"/>
  <c r="W245" i="1"/>
  <c r="L245" i="1"/>
  <c r="K245" i="1"/>
  <c r="J245" i="1"/>
  <c r="G245" i="1"/>
  <c r="F245" i="1"/>
  <c r="W244" i="1"/>
  <c r="L244" i="1"/>
  <c r="K244" i="1"/>
  <c r="J244" i="1"/>
  <c r="G244" i="1"/>
  <c r="F244" i="1"/>
  <c r="W243" i="1"/>
  <c r="L243" i="1"/>
  <c r="K243" i="1"/>
  <c r="J243" i="1"/>
  <c r="G243" i="1"/>
  <c r="F243" i="1"/>
  <c r="W242" i="1"/>
  <c r="L242" i="1"/>
  <c r="K242" i="1"/>
  <c r="J242" i="1"/>
  <c r="G242" i="1"/>
  <c r="F242" i="1"/>
  <c r="W241" i="1"/>
  <c r="L241" i="1"/>
  <c r="K241" i="1"/>
  <c r="J241" i="1"/>
  <c r="G241" i="1"/>
  <c r="F241" i="1"/>
  <c r="W240" i="1"/>
  <c r="L240" i="1"/>
  <c r="K240" i="1"/>
  <c r="J240" i="1"/>
  <c r="G240" i="1"/>
  <c r="F240" i="1"/>
  <c r="W239" i="1"/>
  <c r="L239" i="1"/>
  <c r="K239" i="1"/>
  <c r="J239" i="1"/>
  <c r="G239" i="1"/>
  <c r="F239" i="1"/>
  <c r="W238" i="1"/>
  <c r="L238" i="1"/>
  <c r="K238" i="1"/>
  <c r="J238" i="1"/>
  <c r="G238" i="1"/>
  <c r="F238" i="1"/>
  <c r="W237" i="1"/>
  <c r="L237" i="1"/>
  <c r="K237" i="1"/>
  <c r="J237" i="1"/>
  <c r="G237" i="1"/>
  <c r="F237" i="1"/>
  <c r="W236" i="1"/>
  <c r="L236" i="1"/>
  <c r="K236" i="1"/>
  <c r="J236" i="1"/>
  <c r="G236" i="1"/>
  <c r="F236" i="1"/>
  <c r="W235" i="1"/>
  <c r="L235" i="1"/>
  <c r="K235" i="1"/>
  <c r="J235" i="1"/>
  <c r="G235" i="1"/>
  <c r="F235" i="1"/>
  <c r="W234" i="1"/>
  <c r="L234" i="1"/>
  <c r="K234" i="1"/>
  <c r="J234" i="1"/>
  <c r="G234" i="1"/>
  <c r="F234" i="1"/>
  <c r="W233" i="1"/>
  <c r="L233" i="1"/>
  <c r="K233" i="1"/>
  <c r="J233" i="1"/>
  <c r="G233" i="1"/>
  <c r="F233" i="1"/>
  <c r="W232" i="1"/>
  <c r="L232" i="1"/>
  <c r="K232" i="1"/>
  <c r="J232" i="1"/>
  <c r="G232" i="1"/>
  <c r="F232" i="1"/>
  <c r="W231" i="1"/>
  <c r="L231" i="1"/>
  <c r="K231" i="1"/>
  <c r="J231" i="1"/>
  <c r="G231" i="1"/>
  <c r="F231" i="1"/>
  <c r="W230" i="1"/>
  <c r="L230" i="1"/>
  <c r="K230" i="1"/>
  <c r="J230" i="1"/>
  <c r="G230" i="1"/>
  <c r="F230" i="1"/>
  <c r="W229" i="1"/>
  <c r="L229" i="1"/>
  <c r="K229" i="1"/>
  <c r="J229" i="1"/>
  <c r="G229" i="1"/>
  <c r="F229" i="1"/>
  <c r="W228" i="1"/>
  <c r="L228" i="1"/>
  <c r="K228" i="1"/>
  <c r="J228" i="1"/>
  <c r="G228" i="1"/>
  <c r="F228" i="1"/>
  <c r="W227" i="1"/>
  <c r="L227" i="1"/>
  <c r="K227" i="1"/>
  <c r="J227" i="1"/>
  <c r="G227" i="1"/>
  <c r="F227" i="1"/>
  <c r="W226" i="1"/>
  <c r="L226" i="1"/>
  <c r="K226" i="1"/>
  <c r="J226" i="1"/>
  <c r="G226" i="1"/>
  <c r="F226" i="1"/>
  <c r="W225" i="1"/>
  <c r="L225" i="1"/>
  <c r="K225" i="1"/>
  <c r="J225" i="1"/>
  <c r="G225" i="1"/>
  <c r="F225" i="1"/>
  <c r="W224" i="1"/>
  <c r="L224" i="1"/>
  <c r="K224" i="1"/>
  <c r="J224" i="1"/>
  <c r="G224" i="1"/>
  <c r="F224" i="1"/>
  <c r="W223" i="1"/>
  <c r="L223" i="1"/>
  <c r="K223" i="1"/>
  <c r="J223" i="1"/>
  <c r="G223" i="1"/>
  <c r="F223" i="1"/>
  <c r="W222" i="1"/>
  <c r="L222" i="1"/>
  <c r="K222" i="1"/>
  <c r="J222" i="1"/>
  <c r="G222" i="1"/>
  <c r="F222" i="1"/>
  <c r="W221" i="1"/>
  <c r="L221" i="1"/>
  <c r="K221" i="1"/>
  <c r="J221" i="1"/>
  <c r="G221" i="1"/>
  <c r="F221" i="1"/>
  <c r="W220" i="1"/>
  <c r="L220" i="1"/>
  <c r="K220" i="1"/>
  <c r="J220" i="1"/>
  <c r="G220" i="1"/>
  <c r="F220" i="1"/>
  <c r="W219" i="1"/>
  <c r="L219" i="1"/>
  <c r="K219" i="1"/>
  <c r="J219" i="1"/>
  <c r="G219" i="1"/>
  <c r="F219" i="1"/>
  <c r="W218" i="1"/>
  <c r="L218" i="1"/>
  <c r="K218" i="1"/>
  <c r="J218" i="1"/>
  <c r="G218" i="1"/>
  <c r="F218" i="1"/>
  <c r="W217" i="1"/>
  <c r="L217" i="1"/>
  <c r="K217" i="1"/>
  <c r="J217" i="1"/>
  <c r="G217" i="1"/>
  <c r="F217" i="1"/>
  <c r="W216" i="1"/>
  <c r="L216" i="1"/>
  <c r="K216" i="1"/>
  <c r="J216" i="1"/>
  <c r="G216" i="1"/>
  <c r="F216" i="1"/>
  <c r="W215" i="1"/>
  <c r="L215" i="1"/>
  <c r="K215" i="1"/>
  <c r="G215" i="1"/>
  <c r="F215" i="1"/>
  <c r="W214" i="1"/>
  <c r="L214" i="1"/>
  <c r="K214" i="1"/>
  <c r="G214" i="1"/>
  <c r="F214" i="1"/>
  <c r="W213" i="1"/>
  <c r="L213" i="1"/>
  <c r="K213" i="1"/>
  <c r="G213" i="1"/>
  <c r="F213" i="1"/>
  <c r="W212" i="1"/>
  <c r="L212" i="1"/>
  <c r="K212" i="1"/>
  <c r="G212" i="1"/>
  <c r="F212" i="1"/>
  <c r="W211" i="1"/>
  <c r="L211" i="1"/>
  <c r="K211" i="1"/>
  <c r="G211" i="1"/>
  <c r="F211" i="1"/>
  <c r="W210" i="1"/>
  <c r="L210" i="1"/>
  <c r="K210" i="1"/>
  <c r="G210" i="1"/>
  <c r="F210" i="1"/>
  <c r="W209" i="1"/>
  <c r="L209" i="1"/>
  <c r="K209" i="1"/>
  <c r="G209" i="1"/>
  <c r="F209" i="1"/>
  <c r="W208" i="1"/>
  <c r="L208" i="1"/>
  <c r="K208" i="1"/>
  <c r="G208" i="1"/>
  <c r="F208" i="1"/>
  <c r="W207" i="1"/>
  <c r="L207" i="1"/>
  <c r="K207" i="1"/>
  <c r="G207" i="1"/>
  <c r="F207" i="1"/>
  <c r="W206" i="1"/>
  <c r="L206" i="1"/>
  <c r="K206" i="1"/>
  <c r="G206" i="1"/>
  <c r="F206" i="1"/>
  <c r="W205" i="1"/>
  <c r="L205" i="1"/>
  <c r="K205" i="1"/>
  <c r="G205" i="1"/>
  <c r="F205" i="1"/>
  <c r="W204" i="1"/>
  <c r="L204" i="1"/>
  <c r="K204" i="1"/>
  <c r="G204" i="1"/>
  <c r="F204" i="1"/>
  <c r="W203" i="1"/>
  <c r="L203" i="1"/>
  <c r="K203" i="1"/>
  <c r="G203" i="1"/>
  <c r="F203" i="1"/>
  <c r="W202" i="1"/>
  <c r="L202" i="1"/>
  <c r="K202" i="1"/>
  <c r="G202" i="1"/>
  <c r="F202" i="1"/>
  <c r="W201" i="1"/>
  <c r="L201" i="1"/>
  <c r="K201" i="1"/>
  <c r="G201" i="1"/>
  <c r="F201" i="1"/>
  <c r="W200" i="1"/>
  <c r="L200" i="1"/>
  <c r="K200" i="1"/>
  <c r="G200" i="1"/>
  <c r="F200" i="1"/>
  <c r="W199" i="1"/>
  <c r="L199" i="1"/>
  <c r="K199" i="1"/>
  <c r="G199" i="1"/>
  <c r="F199" i="1"/>
  <c r="W198" i="1"/>
  <c r="L198" i="1"/>
  <c r="K198" i="1"/>
  <c r="G198" i="1"/>
  <c r="F198" i="1"/>
  <c r="W197" i="1"/>
  <c r="L197" i="1"/>
  <c r="K197" i="1"/>
  <c r="G197" i="1"/>
  <c r="F197" i="1"/>
  <c r="W196" i="1"/>
  <c r="L196" i="1"/>
  <c r="K196" i="1"/>
  <c r="G196" i="1"/>
  <c r="F196" i="1"/>
  <c r="W195" i="1"/>
  <c r="L195" i="1"/>
  <c r="K195" i="1"/>
  <c r="G195" i="1"/>
  <c r="F195" i="1"/>
  <c r="W194" i="1"/>
  <c r="L194" i="1"/>
  <c r="K194" i="1"/>
  <c r="G194" i="1"/>
  <c r="F194" i="1"/>
  <c r="W193" i="1"/>
  <c r="L193" i="1"/>
  <c r="K193" i="1"/>
  <c r="G193" i="1"/>
  <c r="F193" i="1"/>
  <c r="W192" i="1"/>
  <c r="L192" i="1"/>
  <c r="K192" i="1"/>
  <c r="G192" i="1"/>
  <c r="F192" i="1"/>
  <c r="W191" i="1"/>
  <c r="L191" i="1"/>
  <c r="K191" i="1"/>
  <c r="G191" i="1"/>
  <c r="F191" i="1"/>
  <c r="W190" i="1"/>
  <c r="L190" i="1"/>
  <c r="K190" i="1"/>
  <c r="G190" i="1"/>
  <c r="F190" i="1"/>
  <c r="W189" i="1"/>
  <c r="L189" i="1"/>
  <c r="K189" i="1"/>
  <c r="G189" i="1"/>
  <c r="F189" i="1"/>
  <c r="W188" i="1"/>
  <c r="L188" i="1"/>
  <c r="K188" i="1"/>
  <c r="G188" i="1"/>
  <c r="F188" i="1"/>
  <c r="W187" i="1"/>
  <c r="L187" i="1"/>
  <c r="K187" i="1"/>
  <c r="G187" i="1"/>
  <c r="F187" i="1"/>
  <c r="W186" i="1"/>
  <c r="L186" i="1"/>
  <c r="K186" i="1"/>
  <c r="G186" i="1"/>
  <c r="F186" i="1"/>
  <c r="W185" i="1"/>
  <c r="L185" i="1"/>
  <c r="K185" i="1"/>
  <c r="G185" i="1"/>
  <c r="F185" i="1"/>
  <c r="W184" i="1"/>
  <c r="L184" i="1"/>
  <c r="K184" i="1"/>
  <c r="G184" i="1"/>
  <c r="F184" i="1"/>
  <c r="W183" i="1"/>
  <c r="L183" i="1"/>
  <c r="K183" i="1"/>
  <c r="G183" i="1"/>
  <c r="F183" i="1"/>
  <c r="W182" i="1"/>
  <c r="L182" i="1"/>
  <c r="K182" i="1"/>
  <c r="G182" i="1"/>
  <c r="F182" i="1"/>
  <c r="W181" i="1"/>
  <c r="L181" i="1"/>
  <c r="K181" i="1"/>
  <c r="G181" i="1"/>
  <c r="F181" i="1"/>
  <c r="W180" i="1"/>
  <c r="L180" i="1"/>
  <c r="K180" i="1"/>
  <c r="G180" i="1"/>
  <c r="F180" i="1"/>
  <c r="W179" i="1"/>
  <c r="L179" i="1"/>
  <c r="K179" i="1"/>
  <c r="G179" i="1"/>
  <c r="F179" i="1"/>
  <c r="W178" i="1"/>
  <c r="L178" i="1"/>
  <c r="K178" i="1"/>
  <c r="G178" i="1"/>
  <c r="F178" i="1"/>
  <c r="W177" i="1"/>
  <c r="L177" i="1"/>
  <c r="K177" i="1"/>
  <c r="G177" i="1"/>
  <c r="F177" i="1"/>
  <c r="W176" i="1"/>
  <c r="L176" i="1"/>
  <c r="K176" i="1"/>
  <c r="G176" i="1"/>
  <c r="F176" i="1"/>
  <c r="W175" i="1"/>
  <c r="L175" i="1"/>
  <c r="K175" i="1"/>
  <c r="G175" i="1"/>
  <c r="F175" i="1"/>
  <c r="W174" i="1"/>
  <c r="L174" i="1"/>
  <c r="K174" i="1"/>
  <c r="G174" i="1"/>
  <c r="F174" i="1"/>
  <c r="W173" i="1"/>
  <c r="L173" i="1"/>
  <c r="K173" i="1"/>
  <c r="G173" i="1"/>
  <c r="F173" i="1"/>
  <c r="W172" i="1"/>
  <c r="L172" i="1"/>
  <c r="K172" i="1"/>
  <c r="G172" i="1"/>
  <c r="F172" i="1"/>
  <c r="W171" i="1"/>
  <c r="L171" i="1"/>
  <c r="K171" i="1"/>
  <c r="G171" i="1"/>
  <c r="F171" i="1"/>
  <c r="W170" i="1"/>
  <c r="L170" i="1"/>
  <c r="K170" i="1"/>
  <c r="G170" i="1"/>
  <c r="F170" i="1"/>
  <c r="W169" i="1"/>
  <c r="L169" i="1"/>
  <c r="K169" i="1"/>
  <c r="J169" i="1"/>
  <c r="G169" i="1"/>
  <c r="F169" i="1"/>
  <c r="W168" i="1"/>
  <c r="L168" i="1"/>
  <c r="K168" i="1"/>
  <c r="J168" i="1"/>
  <c r="G168" i="1"/>
  <c r="F168" i="1"/>
  <c r="W167" i="1"/>
  <c r="L167" i="1"/>
  <c r="K167" i="1"/>
  <c r="J167" i="1"/>
  <c r="G167" i="1"/>
  <c r="F167" i="1"/>
  <c r="W166" i="1"/>
  <c r="L166" i="1"/>
  <c r="K166" i="1"/>
  <c r="J166" i="1"/>
  <c r="G166" i="1"/>
  <c r="F166" i="1"/>
  <c r="W165" i="1"/>
  <c r="L165" i="1"/>
  <c r="K165" i="1"/>
  <c r="J165" i="1"/>
  <c r="G165" i="1"/>
  <c r="F165" i="1"/>
  <c r="W164" i="1"/>
  <c r="L164" i="1"/>
  <c r="K164" i="1"/>
  <c r="J164" i="1"/>
  <c r="G164" i="1"/>
  <c r="F164" i="1"/>
  <c r="W163" i="1"/>
  <c r="L163" i="1"/>
  <c r="K163" i="1"/>
  <c r="J163" i="1"/>
  <c r="G163" i="1"/>
  <c r="F163" i="1"/>
  <c r="W162" i="1"/>
  <c r="L162" i="1"/>
  <c r="K162" i="1"/>
  <c r="J162" i="1"/>
  <c r="G162" i="1"/>
  <c r="F162" i="1"/>
  <c r="W161" i="1"/>
  <c r="L161" i="1"/>
  <c r="K161" i="1"/>
  <c r="J161" i="1"/>
  <c r="G161" i="1"/>
  <c r="F161" i="1"/>
  <c r="W160" i="1"/>
  <c r="L160" i="1"/>
  <c r="K160" i="1"/>
  <c r="J160" i="1"/>
  <c r="G160" i="1"/>
  <c r="F160" i="1"/>
  <c r="W159" i="1"/>
  <c r="L159" i="1"/>
  <c r="K159" i="1"/>
  <c r="J159" i="1"/>
  <c r="G159" i="1"/>
  <c r="F159" i="1"/>
  <c r="W158" i="1"/>
  <c r="L158" i="1"/>
  <c r="K158" i="1"/>
  <c r="J158" i="1"/>
  <c r="G158" i="1"/>
  <c r="F158" i="1"/>
  <c r="W157" i="1"/>
  <c r="L157" i="1"/>
  <c r="K157" i="1"/>
  <c r="J157" i="1"/>
  <c r="G157" i="1"/>
  <c r="F157" i="1"/>
  <c r="W156" i="1"/>
  <c r="L156" i="1"/>
  <c r="K156" i="1"/>
  <c r="J156" i="1"/>
  <c r="G156" i="1"/>
  <c r="F156" i="1"/>
  <c r="W155" i="1"/>
  <c r="L155" i="1"/>
  <c r="K155" i="1"/>
  <c r="J155" i="1"/>
  <c r="G155" i="1"/>
  <c r="F155" i="1"/>
  <c r="W154" i="1"/>
  <c r="L154" i="1"/>
  <c r="K154" i="1"/>
  <c r="J154" i="1"/>
  <c r="G154" i="1"/>
  <c r="F154" i="1"/>
  <c r="W153" i="1"/>
  <c r="L153" i="1"/>
  <c r="K153" i="1"/>
  <c r="J153" i="1"/>
  <c r="G153" i="1"/>
  <c r="F153" i="1"/>
  <c r="W152" i="1"/>
  <c r="L152" i="1"/>
  <c r="K152" i="1"/>
  <c r="J152" i="1"/>
  <c r="G152" i="1"/>
  <c r="F152" i="1"/>
  <c r="W151" i="1"/>
  <c r="L151" i="1"/>
  <c r="K151" i="1"/>
  <c r="J151" i="1"/>
  <c r="G151" i="1"/>
  <c r="F151" i="1"/>
  <c r="W150" i="1"/>
  <c r="L150" i="1"/>
  <c r="K150" i="1"/>
  <c r="J150" i="1"/>
  <c r="G150" i="1"/>
  <c r="F150" i="1"/>
  <c r="W149" i="1"/>
  <c r="L149" i="1"/>
  <c r="K149" i="1"/>
  <c r="J149" i="1"/>
  <c r="G149" i="1"/>
  <c r="F149" i="1"/>
  <c r="W148" i="1"/>
  <c r="L148" i="1"/>
  <c r="K148" i="1"/>
  <c r="J148" i="1"/>
  <c r="G148" i="1"/>
  <c r="F148" i="1"/>
  <c r="W147" i="1"/>
  <c r="L147" i="1"/>
  <c r="K147" i="1"/>
  <c r="J147" i="1"/>
  <c r="G147" i="1"/>
  <c r="F147" i="1"/>
  <c r="W146" i="1"/>
  <c r="L146" i="1"/>
  <c r="K146" i="1"/>
  <c r="J146" i="1"/>
  <c r="G146" i="1"/>
  <c r="F146" i="1"/>
  <c r="W145" i="1"/>
  <c r="L145" i="1"/>
  <c r="K145" i="1"/>
  <c r="J145" i="1"/>
  <c r="G145" i="1"/>
  <c r="F145" i="1"/>
  <c r="W144" i="1"/>
  <c r="L144" i="1"/>
  <c r="K144" i="1"/>
  <c r="J144" i="1"/>
  <c r="G144" i="1"/>
  <c r="F144" i="1"/>
  <c r="W143" i="1"/>
  <c r="L143" i="1"/>
  <c r="K143" i="1"/>
  <c r="J143" i="1"/>
  <c r="G143" i="1"/>
  <c r="F143" i="1"/>
  <c r="W142" i="1"/>
  <c r="L142" i="1"/>
  <c r="K142" i="1"/>
  <c r="J142" i="1"/>
  <c r="G142" i="1"/>
  <c r="F142" i="1"/>
  <c r="W141" i="1"/>
  <c r="L141" i="1"/>
  <c r="K141" i="1"/>
  <c r="J141" i="1"/>
  <c r="G141" i="1"/>
  <c r="F141" i="1"/>
  <c r="W140" i="1"/>
  <c r="L140" i="1"/>
  <c r="K140" i="1"/>
  <c r="J140" i="1"/>
  <c r="G140" i="1"/>
  <c r="F140" i="1"/>
  <c r="W139" i="1"/>
  <c r="L139" i="1"/>
  <c r="K139" i="1"/>
  <c r="J139" i="1"/>
  <c r="G139" i="1"/>
  <c r="F139" i="1"/>
  <c r="W138" i="1"/>
  <c r="L138" i="1"/>
  <c r="K138" i="1"/>
  <c r="J138" i="1"/>
  <c r="G138" i="1"/>
  <c r="F138" i="1"/>
  <c r="W137" i="1"/>
  <c r="L137" i="1"/>
  <c r="K137" i="1"/>
  <c r="J137" i="1"/>
  <c r="G137" i="1"/>
  <c r="F137" i="1"/>
  <c r="W136" i="1"/>
  <c r="L136" i="1"/>
  <c r="K136" i="1"/>
  <c r="J136" i="1"/>
  <c r="G136" i="1"/>
  <c r="F136" i="1"/>
  <c r="W135" i="1"/>
  <c r="L135" i="1"/>
  <c r="K135" i="1"/>
  <c r="J135" i="1"/>
  <c r="G135" i="1"/>
  <c r="F135" i="1"/>
  <c r="W134" i="1"/>
  <c r="L134" i="1"/>
  <c r="K134" i="1"/>
  <c r="J134" i="1"/>
  <c r="G134" i="1"/>
  <c r="F134" i="1"/>
  <c r="W133" i="1"/>
  <c r="L133" i="1"/>
  <c r="K133" i="1"/>
  <c r="J133" i="1"/>
  <c r="G133" i="1"/>
  <c r="F133" i="1"/>
  <c r="W132" i="1"/>
  <c r="L132" i="1"/>
  <c r="K132" i="1"/>
  <c r="J132" i="1"/>
  <c r="G132" i="1"/>
  <c r="F132" i="1"/>
  <c r="W131" i="1"/>
  <c r="L131" i="1"/>
  <c r="K131" i="1"/>
  <c r="J131" i="1"/>
  <c r="G131" i="1"/>
  <c r="F131" i="1"/>
  <c r="W130" i="1"/>
  <c r="L130" i="1"/>
  <c r="K130" i="1"/>
  <c r="J130" i="1"/>
  <c r="G130" i="1"/>
  <c r="F130" i="1"/>
  <c r="W129" i="1"/>
  <c r="L129" i="1"/>
  <c r="K129" i="1"/>
  <c r="J129" i="1"/>
  <c r="G129" i="1"/>
  <c r="F129" i="1"/>
  <c r="W128" i="1"/>
  <c r="L128" i="1"/>
  <c r="K128" i="1"/>
  <c r="J128" i="1"/>
  <c r="G128" i="1"/>
  <c r="F128" i="1"/>
  <c r="W127" i="1"/>
  <c r="L127" i="1"/>
  <c r="K127" i="1"/>
  <c r="J127" i="1"/>
  <c r="G127" i="1"/>
  <c r="F127" i="1"/>
  <c r="W126" i="1"/>
  <c r="L126" i="1"/>
  <c r="K126" i="1"/>
  <c r="J126" i="1"/>
  <c r="G126" i="1"/>
  <c r="F126" i="1"/>
  <c r="W125" i="1"/>
  <c r="L125" i="1"/>
  <c r="K125" i="1"/>
  <c r="J125" i="1"/>
  <c r="G125" i="1"/>
  <c r="F125" i="1"/>
  <c r="W124" i="1"/>
  <c r="L124" i="1"/>
  <c r="K124" i="1"/>
  <c r="J124" i="1"/>
  <c r="G124" i="1"/>
  <c r="F124" i="1"/>
  <c r="W123" i="1"/>
  <c r="L123" i="1"/>
  <c r="K123" i="1"/>
  <c r="J123" i="1"/>
  <c r="G123" i="1"/>
  <c r="F123" i="1"/>
  <c r="W122" i="1"/>
  <c r="L122" i="1"/>
  <c r="K122" i="1"/>
  <c r="J122" i="1"/>
  <c r="G122" i="1"/>
  <c r="F122" i="1"/>
  <c r="W121" i="1"/>
  <c r="L121" i="1"/>
  <c r="K121" i="1"/>
  <c r="J121" i="1"/>
  <c r="G121" i="1"/>
  <c r="F121" i="1"/>
  <c r="W120" i="1"/>
  <c r="L120" i="1"/>
  <c r="K120" i="1"/>
  <c r="J120" i="1"/>
  <c r="G120" i="1"/>
  <c r="F120" i="1"/>
  <c r="W119" i="1"/>
  <c r="L119" i="1"/>
  <c r="K119" i="1"/>
  <c r="J119" i="1"/>
  <c r="G119" i="1"/>
  <c r="F119" i="1"/>
  <c r="W118" i="1"/>
  <c r="L118" i="1"/>
  <c r="K118" i="1"/>
  <c r="J118" i="1"/>
  <c r="G118" i="1"/>
  <c r="F118" i="1"/>
  <c r="W117" i="1"/>
  <c r="L117" i="1"/>
  <c r="K117" i="1"/>
  <c r="J117" i="1"/>
  <c r="G117" i="1"/>
  <c r="F117" i="1"/>
  <c r="W116" i="1"/>
  <c r="L116" i="1"/>
  <c r="K116" i="1"/>
  <c r="J116" i="1"/>
  <c r="G116" i="1"/>
  <c r="F116" i="1"/>
  <c r="W115" i="1"/>
  <c r="L115" i="1"/>
  <c r="K115" i="1"/>
  <c r="J115" i="1"/>
  <c r="G115" i="1"/>
  <c r="F115" i="1"/>
  <c r="W114" i="1"/>
  <c r="L114" i="1"/>
  <c r="K114" i="1"/>
  <c r="J114" i="1"/>
  <c r="G114" i="1"/>
  <c r="F114" i="1"/>
  <c r="W113" i="1"/>
  <c r="L113" i="1"/>
  <c r="K113" i="1"/>
  <c r="J113" i="1"/>
  <c r="G113" i="1"/>
  <c r="F113" i="1"/>
  <c r="W112" i="1"/>
  <c r="L112" i="1"/>
  <c r="K112" i="1"/>
  <c r="J112" i="1"/>
  <c r="G112" i="1"/>
  <c r="F112" i="1"/>
  <c r="W111" i="1"/>
  <c r="L111" i="1"/>
  <c r="K111" i="1"/>
  <c r="J111" i="1"/>
  <c r="G111" i="1"/>
  <c r="F111" i="1"/>
  <c r="W110" i="1"/>
  <c r="L110" i="1"/>
  <c r="K110" i="1"/>
  <c r="J110" i="1"/>
  <c r="G110" i="1"/>
  <c r="F110" i="1"/>
  <c r="W109" i="1"/>
  <c r="L109" i="1"/>
  <c r="K109" i="1"/>
  <c r="J109" i="1"/>
  <c r="G109" i="1"/>
  <c r="F109" i="1"/>
  <c r="W108" i="1"/>
  <c r="L108" i="1"/>
  <c r="K108" i="1"/>
  <c r="J108" i="1"/>
  <c r="G108" i="1"/>
  <c r="F108" i="1"/>
  <c r="W107" i="1"/>
  <c r="L107" i="1"/>
  <c r="K107" i="1"/>
  <c r="J107" i="1"/>
  <c r="G107" i="1"/>
  <c r="F107" i="1"/>
  <c r="W106" i="1"/>
  <c r="L106" i="1"/>
  <c r="K106" i="1"/>
  <c r="J106" i="1"/>
  <c r="G106" i="1"/>
  <c r="F106" i="1"/>
  <c r="W105" i="1"/>
  <c r="L105" i="1"/>
  <c r="K105" i="1"/>
  <c r="J105" i="1"/>
  <c r="G105" i="1"/>
  <c r="F105" i="1"/>
  <c r="W104" i="1"/>
  <c r="L104" i="1"/>
  <c r="K104" i="1"/>
  <c r="J104" i="1"/>
  <c r="G104" i="1"/>
  <c r="F104" i="1"/>
  <c r="W103" i="1"/>
  <c r="L103" i="1"/>
  <c r="K103" i="1"/>
  <c r="J103" i="1"/>
  <c r="G103" i="1"/>
  <c r="F103" i="1"/>
  <c r="W102" i="1"/>
  <c r="L102" i="1"/>
  <c r="K102" i="1"/>
  <c r="J102" i="1"/>
  <c r="G102" i="1"/>
  <c r="F102" i="1"/>
  <c r="W101" i="1"/>
  <c r="L101" i="1"/>
  <c r="K101" i="1"/>
  <c r="J101" i="1"/>
  <c r="G101" i="1"/>
  <c r="F101" i="1"/>
  <c r="W100" i="1"/>
  <c r="L100" i="1"/>
  <c r="K100" i="1"/>
  <c r="J100" i="1"/>
  <c r="G100" i="1"/>
  <c r="F100" i="1"/>
  <c r="W99" i="1"/>
  <c r="L99" i="1"/>
  <c r="K99" i="1"/>
  <c r="J99" i="1"/>
  <c r="G99" i="1"/>
  <c r="F99" i="1"/>
  <c r="W98" i="1"/>
  <c r="L98" i="1"/>
  <c r="K98" i="1"/>
  <c r="J98" i="1"/>
  <c r="G98" i="1"/>
  <c r="F98" i="1"/>
  <c r="W97" i="1"/>
  <c r="L97" i="1"/>
  <c r="K97" i="1"/>
  <c r="J97" i="1"/>
  <c r="G97" i="1"/>
  <c r="F97" i="1"/>
  <c r="W96" i="1"/>
  <c r="L96" i="1"/>
  <c r="K96" i="1"/>
  <c r="J96" i="1"/>
  <c r="G96" i="1"/>
  <c r="F96" i="1"/>
  <c r="W95" i="1"/>
  <c r="L95" i="1"/>
  <c r="K95" i="1"/>
  <c r="J95" i="1"/>
  <c r="G95" i="1"/>
  <c r="F95" i="1"/>
  <c r="W94" i="1"/>
  <c r="L94" i="1"/>
  <c r="K94" i="1"/>
  <c r="J94" i="1"/>
  <c r="G94" i="1"/>
  <c r="F94" i="1"/>
  <c r="W93" i="1"/>
  <c r="L93" i="1"/>
  <c r="K93" i="1"/>
  <c r="J93" i="1"/>
  <c r="G93" i="1"/>
  <c r="F93" i="1"/>
  <c r="W92" i="1"/>
  <c r="L92" i="1"/>
  <c r="K92" i="1"/>
  <c r="J92" i="1"/>
  <c r="G92" i="1"/>
  <c r="F92" i="1"/>
  <c r="W91" i="1"/>
  <c r="L91" i="1"/>
  <c r="K91" i="1"/>
  <c r="J91" i="1"/>
  <c r="G91" i="1"/>
  <c r="F91" i="1"/>
  <c r="W90" i="1"/>
  <c r="L90" i="1"/>
  <c r="K90" i="1"/>
  <c r="J90" i="1"/>
  <c r="G90" i="1"/>
  <c r="F90" i="1"/>
  <c r="W89" i="1"/>
  <c r="L89" i="1"/>
  <c r="K89" i="1"/>
  <c r="J89" i="1"/>
  <c r="G89" i="1"/>
  <c r="F89" i="1"/>
  <c r="W88" i="1"/>
  <c r="L88" i="1"/>
  <c r="K88" i="1"/>
  <c r="J88" i="1"/>
  <c r="G88" i="1"/>
  <c r="F88" i="1"/>
  <c r="W87" i="1"/>
  <c r="L87" i="1"/>
  <c r="K87" i="1"/>
  <c r="J87" i="1"/>
  <c r="G87" i="1"/>
  <c r="F87" i="1"/>
  <c r="W86" i="1"/>
  <c r="L86" i="1"/>
  <c r="K86" i="1"/>
  <c r="J86" i="1"/>
  <c r="G86" i="1"/>
  <c r="F86" i="1"/>
  <c r="W85" i="1"/>
  <c r="L85" i="1"/>
  <c r="K85" i="1"/>
  <c r="J85" i="1"/>
  <c r="G85" i="1"/>
  <c r="F85" i="1"/>
  <c r="W84" i="1"/>
  <c r="L84" i="1"/>
  <c r="K84" i="1"/>
  <c r="J84" i="1"/>
  <c r="G84" i="1"/>
  <c r="F84" i="1"/>
  <c r="W83" i="1"/>
  <c r="L83" i="1"/>
  <c r="K83" i="1"/>
  <c r="J83" i="1"/>
  <c r="G83" i="1"/>
  <c r="F83" i="1"/>
  <c r="W82" i="1"/>
  <c r="L82" i="1"/>
  <c r="K82" i="1"/>
  <c r="J82" i="1"/>
  <c r="G82" i="1"/>
  <c r="F82" i="1"/>
  <c r="W81" i="1"/>
  <c r="L81" i="1"/>
  <c r="K81" i="1"/>
  <c r="J81" i="1"/>
  <c r="G81" i="1"/>
  <c r="F81" i="1"/>
  <c r="W80" i="1"/>
  <c r="L80" i="1"/>
  <c r="K80" i="1"/>
  <c r="J80" i="1"/>
  <c r="G80" i="1"/>
  <c r="F80" i="1"/>
  <c r="W79" i="1"/>
  <c r="L79" i="1"/>
  <c r="K79" i="1"/>
  <c r="J79" i="1"/>
  <c r="G79" i="1"/>
  <c r="F79" i="1"/>
  <c r="W78" i="1"/>
  <c r="L78" i="1"/>
  <c r="K78" i="1"/>
  <c r="J78" i="1"/>
  <c r="G78" i="1"/>
  <c r="F78" i="1"/>
  <c r="W77" i="1"/>
  <c r="L77" i="1"/>
  <c r="K77" i="1"/>
  <c r="J77" i="1"/>
  <c r="G77" i="1"/>
  <c r="F77" i="1"/>
  <c r="W76" i="1"/>
  <c r="L76" i="1"/>
  <c r="K76" i="1"/>
  <c r="J76" i="1"/>
  <c r="G76" i="1"/>
  <c r="F76" i="1"/>
  <c r="W75" i="1"/>
  <c r="L75" i="1"/>
  <c r="K75" i="1"/>
  <c r="J75" i="1"/>
  <c r="G75" i="1"/>
  <c r="F75" i="1"/>
  <c r="W74" i="1"/>
  <c r="L74" i="1"/>
  <c r="K74" i="1"/>
  <c r="J74" i="1"/>
  <c r="G74" i="1"/>
  <c r="F74" i="1"/>
  <c r="W73" i="1"/>
  <c r="L73" i="1"/>
  <c r="K73" i="1"/>
  <c r="J73" i="1"/>
  <c r="G73" i="1"/>
  <c r="F73" i="1"/>
  <c r="W72" i="1"/>
  <c r="L72" i="1"/>
  <c r="K72" i="1"/>
  <c r="J72" i="1"/>
  <c r="G72" i="1"/>
  <c r="F72" i="1"/>
  <c r="W71" i="1"/>
  <c r="L71" i="1"/>
  <c r="K71" i="1"/>
  <c r="J71" i="1"/>
  <c r="G71" i="1"/>
  <c r="F71" i="1"/>
  <c r="W70" i="1"/>
  <c r="L70" i="1"/>
  <c r="K70" i="1"/>
  <c r="J70" i="1"/>
  <c r="G70" i="1"/>
  <c r="F70" i="1"/>
  <c r="W69" i="1"/>
  <c r="L69" i="1"/>
  <c r="K69" i="1"/>
  <c r="J69" i="1"/>
  <c r="G69" i="1"/>
  <c r="F69" i="1"/>
  <c r="W68" i="1"/>
  <c r="L68" i="1"/>
  <c r="K68" i="1"/>
  <c r="J68" i="1"/>
  <c r="G68" i="1"/>
  <c r="F68" i="1"/>
  <c r="W67" i="1"/>
  <c r="L67" i="1"/>
  <c r="K67" i="1"/>
  <c r="J67" i="1"/>
  <c r="G67" i="1"/>
  <c r="F67" i="1"/>
  <c r="W66" i="1"/>
  <c r="L66" i="1"/>
  <c r="K66" i="1"/>
  <c r="J66" i="1"/>
  <c r="G66" i="1"/>
  <c r="F66" i="1"/>
  <c r="W65" i="1"/>
  <c r="L65" i="1"/>
  <c r="K65" i="1"/>
  <c r="J65" i="1"/>
  <c r="G65" i="1"/>
  <c r="F65" i="1"/>
  <c r="W64" i="1"/>
  <c r="L64" i="1"/>
  <c r="K64" i="1"/>
  <c r="J64" i="1"/>
  <c r="G64" i="1"/>
  <c r="F64" i="1"/>
  <c r="W63" i="1"/>
  <c r="L63" i="1"/>
  <c r="K63" i="1"/>
  <c r="J63" i="1"/>
  <c r="G63" i="1"/>
  <c r="F63" i="1"/>
  <c r="W62" i="1"/>
  <c r="L62" i="1"/>
  <c r="K62" i="1"/>
  <c r="J62" i="1"/>
  <c r="G62" i="1"/>
  <c r="F62" i="1"/>
  <c r="W61" i="1"/>
  <c r="L61" i="1"/>
  <c r="K61" i="1"/>
  <c r="J61" i="1"/>
  <c r="G61" i="1"/>
  <c r="F61" i="1"/>
  <c r="W60" i="1"/>
  <c r="L60" i="1"/>
  <c r="K60" i="1"/>
  <c r="J60" i="1"/>
  <c r="G60" i="1"/>
  <c r="F60" i="1"/>
  <c r="W59" i="1"/>
  <c r="L59" i="1"/>
  <c r="K59" i="1"/>
  <c r="J59" i="1"/>
  <c r="G59" i="1"/>
  <c r="F59" i="1"/>
  <c r="W58" i="1"/>
  <c r="L58" i="1"/>
  <c r="K58" i="1"/>
  <c r="J58" i="1"/>
  <c r="G58" i="1"/>
  <c r="F58" i="1"/>
  <c r="W57" i="1"/>
  <c r="L57" i="1"/>
  <c r="K57" i="1"/>
  <c r="J57" i="1"/>
  <c r="G57" i="1"/>
  <c r="F57" i="1"/>
  <c r="W56" i="1"/>
  <c r="L56" i="1"/>
  <c r="K56" i="1"/>
  <c r="J56" i="1"/>
  <c r="G56" i="1"/>
  <c r="F56" i="1"/>
  <c r="W55" i="1"/>
  <c r="L55" i="1"/>
  <c r="K55" i="1"/>
  <c r="J55" i="1"/>
  <c r="G55" i="1"/>
  <c r="F55" i="1"/>
  <c r="W54" i="1"/>
  <c r="G54" i="1"/>
  <c r="W53" i="1"/>
  <c r="L53" i="1"/>
  <c r="K53" i="1"/>
  <c r="J53" i="1"/>
  <c r="G53" i="1"/>
  <c r="F53" i="1"/>
  <c r="W52" i="1"/>
  <c r="L52" i="1"/>
  <c r="K52" i="1"/>
  <c r="J52" i="1"/>
  <c r="G52" i="1"/>
  <c r="F52" i="1"/>
  <c r="W51" i="1"/>
  <c r="L51" i="1"/>
  <c r="K51" i="1"/>
  <c r="J51" i="1"/>
  <c r="G51" i="1"/>
  <c r="F51" i="1"/>
  <c r="W50" i="1"/>
  <c r="L50" i="1"/>
  <c r="K50" i="1"/>
  <c r="J50" i="1"/>
  <c r="G50" i="1"/>
  <c r="F50" i="1"/>
  <c r="W49" i="1"/>
  <c r="L49" i="1"/>
  <c r="K49" i="1"/>
  <c r="J49" i="1"/>
  <c r="G49" i="1"/>
  <c r="F49" i="1"/>
  <c r="W48" i="1"/>
  <c r="L48" i="1"/>
  <c r="K48" i="1"/>
  <c r="J48" i="1"/>
  <c r="G48" i="1"/>
  <c r="F48" i="1"/>
  <c r="W47" i="1"/>
  <c r="L47" i="1"/>
  <c r="K47" i="1"/>
  <c r="J47" i="1"/>
  <c r="G47" i="1"/>
  <c r="F47" i="1"/>
  <c r="W46" i="1"/>
  <c r="L46" i="1"/>
  <c r="K46" i="1"/>
  <c r="J46" i="1"/>
  <c r="G46" i="1"/>
  <c r="F46" i="1"/>
  <c r="W45" i="1"/>
  <c r="L45" i="1"/>
  <c r="K45" i="1"/>
  <c r="J45" i="1"/>
  <c r="G45" i="1"/>
  <c r="F45" i="1"/>
  <c r="W44" i="1"/>
  <c r="L44" i="1"/>
  <c r="K44" i="1"/>
  <c r="J44" i="1"/>
  <c r="G44" i="1"/>
  <c r="F44" i="1"/>
  <c r="W43" i="1"/>
  <c r="L43" i="1"/>
  <c r="K43" i="1"/>
  <c r="J43" i="1"/>
  <c r="G43" i="1"/>
  <c r="F43" i="1"/>
  <c r="W42" i="1"/>
  <c r="L42" i="1"/>
  <c r="K42" i="1"/>
  <c r="J42" i="1"/>
  <c r="G42" i="1"/>
  <c r="F42" i="1"/>
  <c r="W41" i="1"/>
  <c r="L41" i="1"/>
  <c r="K41" i="1"/>
  <c r="J41" i="1"/>
  <c r="G41" i="1"/>
  <c r="F41" i="1"/>
  <c r="W40" i="1"/>
  <c r="L40" i="1"/>
  <c r="K40" i="1"/>
  <c r="J40" i="1"/>
  <c r="G40" i="1"/>
  <c r="F40" i="1"/>
  <c r="W39" i="1"/>
  <c r="L39" i="1"/>
  <c r="K39" i="1"/>
  <c r="J39" i="1"/>
  <c r="G39" i="1"/>
  <c r="F39" i="1"/>
  <c r="W38" i="1"/>
  <c r="L38" i="1"/>
  <c r="K38" i="1"/>
  <c r="J38" i="1"/>
  <c r="G38" i="1"/>
  <c r="F38" i="1"/>
  <c r="W37" i="1"/>
  <c r="L37" i="1"/>
  <c r="K37" i="1"/>
  <c r="J37" i="1"/>
  <c r="G37" i="1"/>
  <c r="F37" i="1"/>
  <c r="W36" i="1"/>
  <c r="L36" i="1"/>
  <c r="K36" i="1"/>
  <c r="J36" i="1"/>
  <c r="G36" i="1"/>
  <c r="F36" i="1"/>
  <c r="W35" i="1"/>
  <c r="L35" i="1"/>
  <c r="K35" i="1"/>
  <c r="J35" i="1"/>
  <c r="G35" i="1"/>
  <c r="F35" i="1"/>
  <c r="W34" i="1"/>
  <c r="L34" i="1"/>
  <c r="K34" i="1"/>
  <c r="J34" i="1"/>
  <c r="G34" i="1"/>
  <c r="F34" i="1"/>
  <c r="W33" i="1"/>
  <c r="L33" i="1"/>
  <c r="K33" i="1"/>
  <c r="J33" i="1"/>
  <c r="G33" i="1"/>
  <c r="F33" i="1"/>
  <c r="W32" i="1"/>
  <c r="L32" i="1"/>
  <c r="K32" i="1"/>
  <c r="J32" i="1"/>
  <c r="G32" i="1"/>
  <c r="F32" i="1"/>
  <c r="W31" i="1"/>
  <c r="L31" i="1"/>
  <c r="K31" i="1"/>
  <c r="J31" i="1"/>
  <c r="G31" i="1"/>
  <c r="F31" i="1"/>
  <c r="W30" i="1"/>
  <c r="L30" i="1"/>
  <c r="K30" i="1"/>
  <c r="J30" i="1"/>
  <c r="G30" i="1"/>
  <c r="F30" i="1"/>
  <c r="W29" i="1"/>
  <c r="L29" i="1"/>
  <c r="K29" i="1"/>
  <c r="J29" i="1"/>
  <c r="G29" i="1"/>
  <c r="F29" i="1"/>
  <c r="W28" i="1"/>
  <c r="L28" i="1"/>
  <c r="K28" i="1"/>
  <c r="J28" i="1"/>
  <c r="G28" i="1"/>
  <c r="F28" i="1"/>
  <c r="W27" i="1"/>
  <c r="L27" i="1"/>
  <c r="K27" i="1"/>
  <c r="J27" i="1"/>
  <c r="G27" i="1"/>
  <c r="F27" i="1"/>
  <c r="W26" i="1"/>
  <c r="L26" i="1"/>
  <c r="K26" i="1"/>
  <c r="J26" i="1"/>
  <c r="G26" i="1"/>
  <c r="F26" i="1"/>
  <c r="W25" i="1"/>
  <c r="L25" i="1"/>
  <c r="K25" i="1"/>
  <c r="J25" i="1"/>
  <c r="G25" i="1"/>
  <c r="F25" i="1"/>
  <c r="W24" i="1"/>
  <c r="L24" i="1"/>
  <c r="K24" i="1"/>
  <c r="J24" i="1"/>
  <c r="G24" i="1"/>
  <c r="F24" i="1"/>
  <c r="W23" i="1"/>
  <c r="L23" i="1"/>
  <c r="K23" i="1"/>
  <c r="J23" i="1"/>
  <c r="G23" i="1"/>
  <c r="F23" i="1"/>
  <c r="W22" i="1"/>
  <c r="L22" i="1"/>
  <c r="K22" i="1"/>
  <c r="J22" i="1"/>
  <c r="G22" i="1"/>
  <c r="F22" i="1"/>
  <c r="W21" i="1"/>
  <c r="L21" i="1"/>
  <c r="K21" i="1"/>
  <c r="J21" i="1"/>
  <c r="G21" i="1"/>
  <c r="F21" i="1"/>
  <c r="W20" i="1"/>
  <c r="L20" i="1"/>
  <c r="K20" i="1"/>
  <c r="J20" i="1"/>
  <c r="G20" i="1"/>
  <c r="F20" i="1"/>
  <c r="W19" i="1"/>
  <c r="L19" i="1"/>
  <c r="K19" i="1"/>
  <c r="J19" i="1"/>
  <c r="G19" i="1"/>
  <c r="F19" i="1"/>
  <c r="W18" i="1"/>
  <c r="L18" i="1"/>
  <c r="K18" i="1"/>
  <c r="J18" i="1"/>
  <c r="G18" i="1"/>
  <c r="F18" i="1"/>
  <c r="W17" i="1"/>
  <c r="L17" i="1"/>
  <c r="K17" i="1"/>
  <c r="J17" i="1"/>
  <c r="G17" i="1"/>
  <c r="F17" i="1"/>
  <c r="W16" i="1"/>
  <c r="L16" i="1"/>
  <c r="K16" i="1"/>
  <c r="J16" i="1"/>
  <c r="G16" i="1"/>
  <c r="F16" i="1"/>
  <c r="W15" i="1"/>
  <c r="L15" i="1"/>
  <c r="K15" i="1"/>
  <c r="J15" i="1"/>
  <c r="G15" i="1"/>
  <c r="F15" i="1"/>
  <c r="W14" i="1"/>
  <c r="L14" i="1"/>
  <c r="K14" i="1"/>
  <c r="J14" i="1"/>
  <c r="G14" i="1"/>
  <c r="F14" i="1"/>
  <c r="W13" i="1"/>
  <c r="L13" i="1"/>
  <c r="K13" i="1"/>
  <c r="J13" i="1"/>
  <c r="G13" i="1"/>
  <c r="F13" i="1"/>
  <c r="W12" i="1"/>
  <c r="L12" i="1"/>
  <c r="K12" i="1"/>
  <c r="J12" i="1"/>
  <c r="G12" i="1"/>
  <c r="F12" i="1"/>
  <c r="W11" i="1"/>
  <c r="L11" i="1"/>
  <c r="K11" i="1"/>
  <c r="J11" i="1"/>
  <c r="G11" i="1"/>
  <c r="F11" i="1"/>
  <c r="W10" i="1"/>
  <c r="L10" i="1"/>
  <c r="K10" i="1"/>
  <c r="J10" i="1"/>
  <c r="G10" i="1"/>
  <c r="F10" i="1"/>
  <c r="W9" i="1"/>
  <c r="L9" i="1"/>
  <c r="K9" i="1"/>
  <c r="J9" i="1"/>
  <c r="G9" i="1"/>
  <c r="F9" i="1"/>
  <c r="W8" i="1"/>
  <c r="L8" i="1"/>
  <c r="K8" i="1"/>
  <c r="J8" i="1"/>
  <c r="G8" i="1"/>
  <c r="F8" i="1"/>
  <c r="W7" i="1"/>
  <c r="L7" i="1"/>
  <c r="K7" i="1"/>
  <c r="J7" i="1"/>
  <c r="G7" i="1"/>
  <c r="F7" i="1"/>
  <c r="W6" i="1"/>
  <c r="L6" i="1"/>
  <c r="K6" i="1"/>
  <c r="J6" i="1"/>
  <c r="G6" i="1"/>
  <c r="F6" i="1"/>
  <c r="W5" i="1"/>
  <c r="L5" i="1"/>
  <c r="K5" i="1"/>
  <c r="J5" i="1"/>
  <c r="G5" i="1"/>
  <c r="F5" i="1"/>
  <c r="W4" i="1"/>
  <c r="L4" i="1"/>
  <c r="K4" i="1"/>
  <c r="J4" i="1"/>
  <c r="G4" i="1"/>
  <c r="F4" i="1"/>
  <c r="W3" i="1"/>
  <c r="L3" i="1"/>
  <c r="K3" i="1"/>
  <c r="J3" i="1"/>
  <c r="G3" i="1"/>
  <c r="F3" i="1"/>
</calcChain>
</file>

<file path=xl/sharedStrings.xml><?xml version="1.0" encoding="utf-8"?>
<sst xmlns="http://schemas.openxmlformats.org/spreadsheetml/2006/main" count="16163" uniqueCount="5620">
  <si>
    <t>ID Number</t>
  </si>
  <si>
    <t>AGKN</t>
  </si>
  <si>
    <t>Position</t>
  </si>
  <si>
    <t>Personnel Number</t>
  </si>
  <si>
    <t>Employee Subgroup</t>
  </si>
  <si>
    <t>Cost Ctr</t>
  </si>
  <si>
    <t>TXT_DIR</t>
  </si>
  <si>
    <t>TXT_DEPT</t>
  </si>
  <si>
    <t>TXT_BIRO</t>
  </si>
  <si>
    <t>TXT_SECT</t>
  </si>
  <si>
    <t>Birth date</t>
  </si>
  <si>
    <t>Gender Key</t>
  </si>
  <si>
    <t>Personnel Area</t>
  </si>
  <si>
    <t>abrevation position</t>
  </si>
  <si>
    <t>abrevation organization</t>
  </si>
  <si>
    <t>Organizational Unit</t>
  </si>
  <si>
    <t>Cost Center</t>
  </si>
  <si>
    <t>E-mail</t>
  </si>
  <si>
    <t>Religious</t>
  </si>
  <si>
    <t>Usia</t>
  </si>
  <si>
    <t>Tempat Lahir</t>
  </si>
  <si>
    <t>Pendidikan</t>
  </si>
  <si>
    <t>Hiring</t>
  </si>
  <si>
    <t>Organilk</t>
  </si>
  <si>
    <t>Alamat</t>
  </si>
  <si>
    <t>08</t>
  </si>
  <si>
    <t>DEDDY EDRIANSAH, ST., M.S.M</t>
  </si>
  <si>
    <t>4101100000</t>
  </si>
  <si>
    <t>President Directorate</t>
  </si>
  <si>
    <t>Male</t>
  </si>
  <si>
    <t>Semen Tonasa</t>
  </si>
  <si>
    <t>41010000110</t>
  </si>
  <si>
    <t>41010000</t>
  </si>
  <si>
    <t>Department of Internal Audit</t>
  </si>
  <si>
    <t>Dept. Internal Audit</t>
  </si>
  <si>
    <t>DEDDY.EDRIANSAH@SIG.ID</t>
  </si>
  <si>
    <t>Islam</t>
  </si>
  <si>
    <t>Makassar</t>
  </si>
  <si>
    <t>Strata 2</t>
  </si>
  <si>
    <t>TONASA II - JL.FLAMBOYAN F/3</t>
  </si>
  <si>
    <t>RIFKI S.PRADIPTA, S.Kom.</t>
  </si>
  <si>
    <t>4101110000</t>
  </si>
  <si>
    <t>410A4000210</t>
  </si>
  <si>
    <t>410A4000</t>
  </si>
  <si>
    <t>Staff of Internal Audit</t>
  </si>
  <si>
    <t>Staf Internal Audit</t>
  </si>
  <si>
    <t>RIFKI.PRADIPTA@SIG.ID</t>
  </si>
  <si>
    <t>Semarang (kota)</t>
  </si>
  <si>
    <t>Strata 1</t>
  </si>
  <si>
    <t>TONASA 2 - KEMBANG SEPATU 8</t>
  </si>
  <si>
    <t>95</t>
  </si>
  <si>
    <t>SYAMSUL RIZAL</t>
  </si>
  <si>
    <t>41011000210</t>
  </si>
  <si>
    <t>41011000</t>
  </si>
  <si>
    <t>SYAMSUL.RIZAL@SIG.ID</t>
  </si>
  <si>
    <t>UJUNG PANDANG</t>
  </si>
  <si>
    <t>SMA/Setingkat</t>
  </si>
  <si>
    <t>TONASA 2 - JL PALEM SERITI L/14</t>
  </si>
  <si>
    <t>SUZAN AGUSTIN REWAH, SE.</t>
  </si>
  <si>
    <t>Female</t>
  </si>
  <si>
    <t>41011000216</t>
  </si>
  <si>
    <t>SUZAN.REWAH@SIG.ID</t>
  </si>
  <si>
    <t>TONASA 2 - JL.PALEM MERAH K/3</t>
  </si>
  <si>
    <t>01</t>
  </si>
  <si>
    <t>A.IRSAL WAHID</t>
  </si>
  <si>
    <t>41011000311</t>
  </si>
  <si>
    <t>IRSAL.WAHID@SIG.ID</t>
  </si>
  <si>
    <t>Bulukumba</t>
  </si>
  <si>
    <t>Diploma 3</t>
  </si>
  <si>
    <t>TONASA II - JL. KELAPA HIJAU O/16</t>
  </si>
  <si>
    <t>ARMAN S., S.Kom.</t>
  </si>
  <si>
    <t>41011000312</t>
  </si>
  <si>
    <t>Staff Of Internal Audit</t>
  </si>
  <si>
    <t>ARMAN.S@SIG.ID</t>
  </si>
  <si>
    <t>TONASA 2 - JL.KELAPA HIJAU M/6</t>
  </si>
  <si>
    <t>HASNAWATI, SE., PIA.</t>
  </si>
  <si>
    <t>41011000314</t>
  </si>
  <si>
    <t>HASNAWATI@SIG.ID</t>
  </si>
  <si>
    <t>ONGKOE</t>
  </si>
  <si>
    <t>Kompleks BPS 2 Makassar</t>
  </si>
  <si>
    <t>MARSANI, SE., MM.</t>
  </si>
  <si>
    <t>41011000317</t>
  </si>
  <si>
    <t>MARSANI@SIG.ID</t>
  </si>
  <si>
    <t>ROMANG POLONG</t>
  </si>
  <si>
    <t>TONASA PANGKAJENE KEPULAUAN SULAWESI SELATAN</t>
  </si>
  <si>
    <t>H. ISMAIL, SE., MM., PIA.</t>
  </si>
  <si>
    <t>41011000319</t>
  </si>
  <si>
    <t>ISMAIL.5159@SIG.ID</t>
  </si>
  <si>
    <t>MUH.AMIR, ST., PIA.</t>
  </si>
  <si>
    <t>41011000320</t>
  </si>
  <si>
    <t>MUH.AMIR@SIG.ID</t>
  </si>
  <si>
    <t>Pare-Pare</t>
  </si>
  <si>
    <t>TONASA 2 - JL.BANTENG NO.31</t>
  </si>
  <si>
    <t>MUHAMMAD PAISAL, S.Sos.</t>
  </si>
  <si>
    <t>41011000321</t>
  </si>
  <si>
    <t>MUHAMMAD.PAISAL@SIG.ID</t>
  </si>
  <si>
    <t>PANGKAJENE</t>
  </si>
  <si>
    <t>TONASA 2 - JL.PALEM MERAH K/4</t>
  </si>
  <si>
    <t>AHMAD, ST.</t>
  </si>
  <si>
    <t>41011000410</t>
  </si>
  <si>
    <t>AHMAD.5149@SIG.ID</t>
  </si>
  <si>
    <t>Bone</t>
  </si>
  <si>
    <t>JLN KESEHATAN NO 58 PADOAMG-DOANGAN PANGKAJENE</t>
  </si>
  <si>
    <t>12</t>
  </si>
  <si>
    <t>SAPRIADI, ST.</t>
  </si>
  <si>
    <t>41011000411</t>
  </si>
  <si>
    <t>SAPRIADI@SIG.ID</t>
  </si>
  <si>
    <t>Gowa</t>
  </si>
  <si>
    <t>JLN. BTN PELITA ASRI BLOK B NO. 10 PALLANGA</t>
  </si>
  <si>
    <t>DEDI MISWAR MUSTAFA, SE., M.Ak.</t>
  </si>
  <si>
    <t>41011000412</t>
  </si>
  <si>
    <t>DEDI.MUSTAFA@SIG.ID</t>
  </si>
  <si>
    <t>Pangkajene dan Kepul</t>
  </si>
  <si>
    <t>JL. K.H AHMAD DAHLAN BONTO PERAK PANGKEP</t>
  </si>
  <si>
    <t>MUHAMMAD MURSHAM, ST., M.S.M</t>
  </si>
  <si>
    <t>4101200000</t>
  </si>
  <si>
    <t>41020000110</t>
  </si>
  <si>
    <t>41020000</t>
  </si>
  <si>
    <t>Dept. of Communication, Legal &amp; GA</t>
  </si>
  <si>
    <t>Dept. Komunikasi &amp; H</t>
  </si>
  <si>
    <t>MUHAMMAD.MURSHAM@SIG.ID</t>
  </si>
  <si>
    <t>PANGKEP</t>
  </si>
  <si>
    <t>PERUM GRAHA INDAH FAMILY BLK C/15</t>
  </si>
  <si>
    <t>ANDI AYU FUTRI BATARA, S.M.</t>
  </si>
  <si>
    <t>41020001410</t>
  </si>
  <si>
    <t>41020001</t>
  </si>
  <si>
    <t>Secretary of BOD</t>
  </si>
  <si>
    <t>ANDI.BATARA@SIG.ID</t>
  </si>
  <si>
    <t>KEL. KALABBIRANG BONTOA PANGKEP</t>
  </si>
  <si>
    <t>MARDIANAH, SE.</t>
  </si>
  <si>
    <t>41020001412</t>
  </si>
  <si>
    <t>MARDIANA@SIG.ID</t>
  </si>
  <si>
    <t>LAWALLU</t>
  </si>
  <si>
    <t>TONASA 2 - JL.PALEM MERAH K/1</t>
  </si>
  <si>
    <t>IRIANTI R.</t>
  </si>
  <si>
    <t>41020001413</t>
  </si>
  <si>
    <t>IRIANTI.R@SIG.ID</t>
  </si>
  <si>
    <t>LABAKKANG</t>
  </si>
  <si>
    <t>BORONG UNTIA RT. 02 RW. 06 DESA BIRING ERE KEC. BUNGORO</t>
  </si>
  <si>
    <t>10</t>
  </si>
  <si>
    <t>PERMATA KUSUMADEWI, SH.</t>
  </si>
  <si>
    <t>4101230000</t>
  </si>
  <si>
    <t>41021000210</t>
  </si>
  <si>
    <t>41021000</t>
  </si>
  <si>
    <t>Unit of Legal</t>
  </si>
  <si>
    <t>Unit Hukum</t>
  </si>
  <si>
    <t>PERMATA.KUSUMADEWI@SIG.ID</t>
  </si>
  <si>
    <t>DHAKA</t>
  </si>
  <si>
    <t>TONASA 2 - PALEM MERAH O/2</t>
  </si>
  <si>
    <t>96</t>
  </si>
  <si>
    <t>WIDJIASTUTI, SE., MM.</t>
  </si>
  <si>
    <t>4101230100</t>
  </si>
  <si>
    <t>41021100311</t>
  </si>
  <si>
    <t>41021100</t>
  </si>
  <si>
    <t>Staff of legal</t>
  </si>
  <si>
    <t>Staf Hukum</t>
  </si>
  <si>
    <t>WIDJIASTUTI@SIG.ID</t>
  </si>
  <si>
    <t>Purbalingga</t>
  </si>
  <si>
    <t>23</t>
  </si>
  <si>
    <t>ALIZA MADINA PUTRI, SH., MH.</t>
  </si>
  <si>
    <t>41021100414</t>
  </si>
  <si>
    <t>ALIZA.PUTRI@SIG.ID</t>
  </si>
  <si>
    <t>Semarang (kabupaten)</t>
  </si>
  <si>
    <t>JL.ERLANGGA TENGAH NO.24, KEC.SEMARANG SELATAN,</t>
  </si>
  <si>
    <t>02</t>
  </si>
  <si>
    <t>ANDI MULYADI S., SE.</t>
  </si>
  <si>
    <t>41021101410</t>
  </si>
  <si>
    <t>ANDI.MULYADI4956@SIG.ID</t>
  </si>
  <si>
    <t>TANUNTUNG</t>
  </si>
  <si>
    <t>TONASA 1 - JL.MANGEMBA NO.1</t>
  </si>
  <si>
    <t>MUHAMMAD TAUFIK UTINA, SH.</t>
  </si>
  <si>
    <t>41021101413</t>
  </si>
  <si>
    <t>MUHAMMAD.UTINA@SIG.ID</t>
  </si>
  <si>
    <t>Bandung (kota)</t>
  </si>
  <si>
    <t>TONASA 2 - JL BANTENG 8A</t>
  </si>
  <si>
    <t>INDRA NANDA, SH.</t>
  </si>
  <si>
    <t>41021102411</t>
  </si>
  <si>
    <t>INDRA.NANDA@SIG.ID</t>
  </si>
  <si>
    <t>JL. MANGGA NO. 11 KOMP. TONASA I</t>
  </si>
  <si>
    <t>HARDIMAN, SE.</t>
  </si>
  <si>
    <t>4101220000</t>
  </si>
  <si>
    <t>41022000210</t>
  </si>
  <si>
    <t>41022000</t>
  </si>
  <si>
    <t>Unit of Communication &amp; Secretariate</t>
  </si>
  <si>
    <t>Unit  Humas &amp; Kesekt</t>
  </si>
  <si>
    <t>HARDIMAN@SIG.ID</t>
  </si>
  <si>
    <t>Kristen Protestan</t>
  </si>
  <si>
    <t>TONASA 2 - JL KEMBANG SEPATU NO. 10</t>
  </si>
  <si>
    <t>MUHAMMAD HANAFI</t>
  </si>
  <si>
    <t>4101220200</t>
  </si>
  <si>
    <t>41022200410</t>
  </si>
  <si>
    <t>41022200</t>
  </si>
  <si>
    <t>Staff of Communication &amp; Public Relation</t>
  </si>
  <si>
    <t>Staf Humas</t>
  </si>
  <si>
    <t>MUHAMMAD.HANAFI@SIG.ID</t>
  </si>
  <si>
    <t>TONASA 2 - JL. MACAN NO.15</t>
  </si>
  <si>
    <t>WAHYUDIN YUSUF, S.I.Kom</t>
  </si>
  <si>
    <t>41022200411</t>
  </si>
  <si>
    <t>WAHYUDIN.YUSUF@SIG.ID</t>
  </si>
  <si>
    <t>BORONG UNTIA</t>
  </si>
  <si>
    <t>JL. BORONG UNTIE RT2 RK. 06 DESA BIRING ERE PANGKEP</t>
  </si>
  <si>
    <t>ABDUL MALIK, S.Ak.</t>
  </si>
  <si>
    <t>41022200413</t>
  </si>
  <si>
    <t>ABDUL.MALIK@SIG.ID</t>
  </si>
  <si>
    <t>BUNGORO</t>
  </si>
  <si>
    <t>LEPPANGENG RT.02/04 KEL. SAPANANG KEC. BUNGORO</t>
  </si>
  <si>
    <t>SITTI IRNA, SE.</t>
  </si>
  <si>
    <t>4101220300</t>
  </si>
  <si>
    <t>41022300311</t>
  </si>
  <si>
    <t>41022300</t>
  </si>
  <si>
    <t>Staff of Secretariate &amp; Protocol</t>
  </si>
  <si>
    <t>Staf Sekretariat &amp;</t>
  </si>
  <si>
    <t>SITTI.IRNA@SIG.ID</t>
  </si>
  <si>
    <t>JL.PONDOK KARYA F/15 A, MAMPANG PRAPATAN</t>
  </si>
  <si>
    <t>KRISTINA KEBO</t>
  </si>
  <si>
    <t>41022300411</t>
  </si>
  <si>
    <t>KRISTINA.KEBO@SIG.ID</t>
  </si>
  <si>
    <t>MAKALE</t>
  </si>
  <si>
    <t>PERUMAHAN TONASA 2</t>
  </si>
  <si>
    <t>06</t>
  </si>
  <si>
    <t>ABD.HAKIM</t>
  </si>
  <si>
    <t>41022300413</t>
  </si>
  <si>
    <t>ABD.HAKIM@SIG.ID</t>
  </si>
  <si>
    <t>TONASA 2 JL.GAJAH NO.26</t>
  </si>
  <si>
    <t>M.DAHLAN, SE.</t>
  </si>
  <si>
    <t>41022300414</t>
  </si>
  <si>
    <t>M.DAHLAN@SIG.ID</t>
  </si>
  <si>
    <t>DANO</t>
  </si>
  <si>
    <t>41022300415</t>
  </si>
  <si>
    <t>DANO@SIG.ID</t>
  </si>
  <si>
    <t>Subang</t>
  </si>
  <si>
    <t>PANGKAJENE-TALAKA, DES.KALABBIR, MISTEN</t>
  </si>
  <si>
    <t>07</t>
  </si>
  <si>
    <t>RIAN HASIDI</t>
  </si>
  <si>
    <t>41022300510</t>
  </si>
  <si>
    <t>ryan.hasidi@sig.id</t>
  </si>
  <si>
    <t>DIDI AMIN</t>
  </si>
  <si>
    <t>4101220100</t>
  </si>
  <si>
    <t>41022400310</t>
  </si>
  <si>
    <t>41022400</t>
  </si>
  <si>
    <t>Staff of Institution Relation</t>
  </si>
  <si>
    <t>Staff Inst. Relation</t>
  </si>
  <si>
    <t>DIDI.AMIN@SIG.ID</t>
  </si>
  <si>
    <t>Takalar</t>
  </si>
  <si>
    <t>TONASA 2-JL.GAJAH NO.12</t>
  </si>
  <si>
    <t>AKMAL ABDULLAH</t>
  </si>
  <si>
    <t>41022400510</t>
  </si>
  <si>
    <t>AKMAL.ABDULLAH@SIG.ID</t>
  </si>
  <si>
    <t>TONASA</t>
  </si>
  <si>
    <t>TONASA 1 - JL.MAWAR NO.47</t>
  </si>
  <si>
    <t>ABBAS, SE.</t>
  </si>
  <si>
    <t>4101250000</t>
  </si>
  <si>
    <t>41023000210</t>
  </si>
  <si>
    <t>41023000</t>
  </si>
  <si>
    <t>Unit of TJSL</t>
  </si>
  <si>
    <t>ABBAS.5066@SIG.ID</t>
  </si>
  <si>
    <t>BUNGI</t>
  </si>
  <si>
    <t>MUSTAKIM</t>
  </si>
  <si>
    <t>4101250200</t>
  </si>
  <si>
    <t>41023100310</t>
  </si>
  <si>
    <t>41023100</t>
  </si>
  <si>
    <t>Staff of TJSL &amp; Community Development</t>
  </si>
  <si>
    <t>Staff TJSL &amp; Com Dev</t>
  </si>
  <si>
    <t>MUSTAKIM.5058@SIG.ID</t>
  </si>
  <si>
    <t>H. ZAINAL ARIFIN ANJANI, S.M.</t>
  </si>
  <si>
    <t>41023100410</t>
  </si>
  <si>
    <t>ZAINAL.ANJANI@SIG.ID</t>
  </si>
  <si>
    <t>BTN BUNGORO INDAH BLOK C4, KEC BUNGORO</t>
  </si>
  <si>
    <t>MUH.SYAHREZA RIFTI,  S.Sos., M.S.M</t>
  </si>
  <si>
    <t>41023100411</t>
  </si>
  <si>
    <t>MUHSYAHREZA.RIFTI@SIG.ID</t>
  </si>
  <si>
    <t>JL MUHAJIRIN II 9KOMP PDAM BLOK B/2)</t>
  </si>
  <si>
    <t>ABD.MALIK SORE</t>
  </si>
  <si>
    <t>41023100412</t>
  </si>
  <si>
    <t>ABD.SORE@SIG.ID</t>
  </si>
  <si>
    <t>LEKOCADI</t>
  </si>
  <si>
    <t>ISKANDAR SULKARNAIN</t>
  </si>
  <si>
    <t>4101250100</t>
  </si>
  <si>
    <t>41023200410</t>
  </si>
  <si>
    <t>41023200</t>
  </si>
  <si>
    <t>Staff of Partnership Program</t>
  </si>
  <si>
    <t>Staff Prog Kemitraan</t>
  </si>
  <si>
    <t>ISKANDAR.SULKARNAIN@SIG.ID</t>
  </si>
  <si>
    <t>JL.POROS SOREANG, DESA KABBA</t>
  </si>
  <si>
    <t>MARTSEL KIDING ALLO, SE.</t>
  </si>
  <si>
    <t>4101250300</t>
  </si>
  <si>
    <t>41023300310</t>
  </si>
  <si>
    <t>41023300</t>
  </si>
  <si>
    <t>Staff of Administration &amp; Financial</t>
  </si>
  <si>
    <t>Staf Adm. Keuangan</t>
  </si>
  <si>
    <t>MARTSEL.ALLO@SIG.ID</t>
  </si>
  <si>
    <t>MAKASSAR</t>
  </si>
  <si>
    <t>YUYUN MUJIREJEKI</t>
  </si>
  <si>
    <t>41023300410</t>
  </si>
  <si>
    <t>YUYUN.MUJIREJEKI@SIG.ID</t>
  </si>
  <si>
    <t>MUHAMMAD SYAHRUL M.</t>
  </si>
  <si>
    <t>41023300411</t>
  </si>
  <si>
    <t>MUHAMMAD.SYAHRUL@SIG.ID</t>
  </si>
  <si>
    <t>KASSI RT003/RW001,KELURAHAN KASSI,KECAMATAN BALOCCI</t>
  </si>
  <si>
    <t>81</t>
  </si>
  <si>
    <t>HAMKA</t>
  </si>
  <si>
    <t>4101240000</t>
  </si>
  <si>
    <t>41024000210</t>
  </si>
  <si>
    <t>41024000</t>
  </si>
  <si>
    <t>Unit of Security</t>
  </si>
  <si>
    <t>Unit Keamanan</t>
  </si>
  <si>
    <t>HAMKA.8100@SIG.ID</t>
  </si>
  <si>
    <t>MANDALLE</t>
  </si>
  <si>
    <t>TONASA 2 - CEMARA/19</t>
  </si>
  <si>
    <t>H. RUSLI, ST.</t>
  </si>
  <si>
    <t>4101240200</t>
  </si>
  <si>
    <t>41024100310</t>
  </si>
  <si>
    <t>41024100</t>
  </si>
  <si>
    <t>Staff of Security</t>
  </si>
  <si>
    <t>Staf Keamanan</t>
  </si>
  <si>
    <t>RUSLI.5208@SIG.ID</t>
  </si>
  <si>
    <t>BACHTIAR, SE.</t>
  </si>
  <si>
    <t>41024100410</t>
  </si>
  <si>
    <t>BACHTIAR.4940@SIG.ID</t>
  </si>
  <si>
    <t>PANGKAJENE-KAMPUNG LETTE, PASAR SENTRAL</t>
  </si>
  <si>
    <t>RICKY NOVIANTO, S.Ak.</t>
  </si>
  <si>
    <t>4101210000</t>
  </si>
  <si>
    <t>41026000210</t>
  </si>
  <si>
    <t>41026000</t>
  </si>
  <si>
    <t>Unit of General Facility &amp; Asset</t>
  </si>
  <si>
    <t>Unit Sarana Umum dan</t>
  </si>
  <si>
    <t>RICKY.NOVIANTO@SIG.ID</t>
  </si>
  <si>
    <t>TONASA II - JL.KELAPA HIJAU K/12</t>
  </si>
  <si>
    <t>ALIM BAHRI, S.Sos.</t>
  </si>
  <si>
    <t>4101230300</t>
  </si>
  <si>
    <t>41026100310</t>
  </si>
  <si>
    <t>41026100</t>
  </si>
  <si>
    <t>Section of Asset Management</t>
  </si>
  <si>
    <t>Seksi Pengel Aset</t>
  </si>
  <si>
    <t>ALIM.BAHRI@SIG.ID</t>
  </si>
  <si>
    <t>BUMI SAMALEWA PERMAI BLOK A1/4</t>
  </si>
  <si>
    <t>Hj. SURIANI, SE.</t>
  </si>
  <si>
    <t>41026100411</t>
  </si>
  <si>
    <t>SURIANI@SIG.ID</t>
  </si>
  <si>
    <t>BORI APPAKA</t>
  </si>
  <si>
    <t>WAHYUDIN, SE.</t>
  </si>
  <si>
    <t>Asset Management Jr Officer</t>
  </si>
  <si>
    <t>41026100412</t>
  </si>
  <si>
    <t>WAHYUDIN.6210@SIG.ID</t>
  </si>
  <si>
    <t>KP. UJUNG RT. 01 RW.03 DESA PANAIKANG KEC. MINASATENE</t>
  </si>
  <si>
    <t>JIMMY K.SEROH</t>
  </si>
  <si>
    <t>41026100413</t>
  </si>
  <si>
    <t>JIMMY.SEROH@SIG.ID</t>
  </si>
  <si>
    <t>TONASA 1 - JL. SERIGALA NO.4</t>
  </si>
  <si>
    <t>SUKMA JAYA</t>
  </si>
  <si>
    <t>4101210100</t>
  </si>
  <si>
    <t>41026200310</t>
  </si>
  <si>
    <t>41026200</t>
  </si>
  <si>
    <t>Section of General Facility 1 (Tonasa 1)</t>
  </si>
  <si>
    <t>Sec Gen Facility 1</t>
  </si>
  <si>
    <t>SUKMA.JAYA@SIG.ID</t>
  </si>
  <si>
    <t>Maros</t>
  </si>
  <si>
    <t>MAKASSAR-JL.RAPPOCINI RAYA LR 9H/27</t>
  </si>
  <si>
    <t>HERY</t>
  </si>
  <si>
    <t>41026200410</t>
  </si>
  <si>
    <t>HERY@SIG.ID</t>
  </si>
  <si>
    <t>Jeneponto</t>
  </si>
  <si>
    <t>BUNGORO-BTN   INDAH  D2/4</t>
  </si>
  <si>
    <t>ISLAMUDDIN</t>
  </si>
  <si>
    <t>41026200411</t>
  </si>
  <si>
    <t>ISLAMUDDIN@SIG.ID</t>
  </si>
  <si>
    <t>TONASA 1- JL.MANGEMBA 16</t>
  </si>
  <si>
    <t>AKHMAD SALAHUDDIN</t>
  </si>
  <si>
    <t>41026200412</t>
  </si>
  <si>
    <t>AKHMAD.SALAHUDDIN@SIG.ID</t>
  </si>
  <si>
    <t>JLN MELATI NO 13 TONASA I</t>
  </si>
  <si>
    <t>HAERUDDIN, SE.</t>
  </si>
  <si>
    <t>4101210500</t>
  </si>
  <si>
    <t>41026300310</t>
  </si>
  <si>
    <t>41026300</t>
  </si>
  <si>
    <t>Section of General Affair &amp; Facility 2</t>
  </si>
  <si>
    <t>Sec GA Facility 2</t>
  </si>
  <si>
    <t>HAERUDDIN@SIG.ID</t>
  </si>
  <si>
    <t>SONGKENG</t>
  </si>
  <si>
    <t>41026300410</t>
  </si>
  <si>
    <t>SONGKENG@SIG.ID</t>
  </si>
  <si>
    <t>BODDONG</t>
  </si>
  <si>
    <t>PANGKAJENE-JL.BANTENG NO.13  I</t>
  </si>
  <si>
    <t>ARIFUDDIN</t>
  </si>
  <si>
    <t>41026300411</t>
  </si>
  <si>
    <t>ARIFUDDIN@SIG.ID</t>
  </si>
  <si>
    <t>ALIMUDDIN</t>
  </si>
  <si>
    <t>41026300412</t>
  </si>
  <si>
    <t>ALIMUDDIN.4422@SIG.ID</t>
  </si>
  <si>
    <t>JL.Pabundukan pangkep</t>
  </si>
  <si>
    <t>BAHTIAR, SE.</t>
  </si>
  <si>
    <t>41026300413</t>
  </si>
  <si>
    <t>BAHTIAR.5015@SIG.ID</t>
  </si>
  <si>
    <t>PANGKAJENE-BTN   INDAH BG/4</t>
  </si>
  <si>
    <t>NAJAMUDDIN</t>
  </si>
  <si>
    <t>41026300414</t>
  </si>
  <si>
    <t>NAJAMUDDIN@SIG.ID</t>
  </si>
  <si>
    <t>SALOKARAJA</t>
  </si>
  <si>
    <t>TONASA 1 - JL.DAHLIA NO.69</t>
  </si>
  <si>
    <t>ZAM ZAM, SE.</t>
  </si>
  <si>
    <t>4101210200</t>
  </si>
  <si>
    <t>41026400310</t>
  </si>
  <si>
    <t>41026400</t>
  </si>
  <si>
    <t>Section of Household</t>
  </si>
  <si>
    <t>Seksi Rumah Tangga</t>
  </si>
  <si>
    <t>ZAM.ZAM@SIG.ID</t>
  </si>
  <si>
    <t>TONASA 2 - JL.PALEM MERAH M/4</t>
  </si>
  <si>
    <t>DORCE</t>
  </si>
  <si>
    <t>41026400410</t>
  </si>
  <si>
    <t>DORCE@SIG.ID</t>
  </si>
  <si>
    <t>Kristen Katholik</t>
  </si>
  <si>
    <t>RAHMAYANI</t>
  </si>
  <si>
    <t>41026400512</t>
  </si>
  <si>
    <t>RAHMAYANI@SIG.ID</t>
  </si>
  <si>
    <t>RENDRA JAKADILAGA, ST.</t>
  </si>
  <si>
    <t>4104300000</t>
  </si>
  <si>
    <t>41030000110</t>
  </si>
  <si>
    <t>41030000</t>
  </si>
  <si>
    <t>Dept. of Market Planning &amp; Development</t>
  </si>
  <si>
    <t>Dep Market Plan&amp;Dev</t>
  </si>
  <si>
    <t>RENDRA.JAKADILAGA@SIG.ID</t>
  </si>
  <si>
    <t>MAKASSAR-JL.U.SUMOHARJO KARUWISI UTARA</t>
  </si>
  <si>
    <t>AHMAD RIZKY DARAJAT TAHIR, SE.,MM.,CPIA</t>
  </si>
  <si>
    <t>4104310000</t>
  </si>
  <si>
    <t>41031000210</t>
  </si>
  <si>
    <t>41031000</t>
  </si>
  <si>
    <t>Unit of Product Pricing &amp; Promotion Mgmt</t>
  </si>
  <si>
    <t>Unit Prod Pric&amp;Promo</t>
  </si>
  <si>
    <t>AHMAD.TAHIR@SIG.ID</t>
  </si>
  <si>
    <t>KOMPLEKS LAGOSI MANDAI B/20 MAROS</t>
  </si>
  <si>
    <t>ABDUL RAHMAN, SE.</t>
  </si>
  <si>
    <t>4104110200</t>
  </si>
  <si>
    <t>41031300310</t>
  </si>
  <si>
    <t>41031300</t>
  </si>
  <si>
    <t>Staff of Trade Market. &amp; Promotion Mgmt.</t>
  </si>
  <si>
    <t>Staf Trade Mkt&amp;Promo</t>
  </si>
  <si>
    <t>ABDUL.RAHMAN6249@SIG.ID</t>
  </si>
  <si>
    <t>JL. PELELANGAN RT.02/02 TEKOLABUA KEC. PANGKAJENE</t>
  </si>
  <si>
    <t>FATHURRAHMAN AZIS, S.Sos.</t>
  </si>
  <si>
    <t>41031300311</t>
  </si>
  <si>
    <t>FATHURRAHMAN.AZIS@SIG.ID</t>
  </si>
  <si>
    <t>JL. GARUDA NO.26</t>
  </si>
  <si>
    <t>MELISA</t>
  </si>
  <si>
    <t>41031300312</t>
  </si>
  <si>
    <t>MELISA@SIG.ID</t>
  </si>
  <si>
    <t>BORONG UNTIA,DESA BIRINGERE</t>
  </si>
  <si>
    <t>MUHAMMAD YUHLIS</t>
  </si>
  <si>
    <t>4104310200</t>
  </si>
  <si>
    <t>41031400310</t>
  </si>
  <si>
    <t>41031400</t>
  </si>
  <si>
    <t>Staff of Pricing Policy &amp; Revenue Mgmt</t>
  </si>
  <si>
    <t>Sec Pricing Pol&amp;Rev</t>
  </si>
  <si>
    <t>MUHAMMAD.YUHLIS@SIG.ID</t>
  </si>
  <si>
    <t>DUSUN PATUKU DESA BALONG KEC. UJUNG LOE BULUKUMBA</t>
  </si>
  <si>
    <t>UMAR, SE., MM.</t>
  </si>
  <si>
    <t>41031400311</t>
  </si>
  <si>
    <t>UMAR.6270@SIG.ID</t>
  </si>
  <si>
    <t>BATILING DESA BATARA KEC.LABAKKANG PANGKEP</t>
  </si>
  <si>
    <t>CH.ROBBY SOELI, SE.</t>
  </si>
  <si>
    <t>4104110600</t>
  </si>
  <si>
    <t>41032300311</t>
  </si>
  <si>
    <t>41032300</t>
  </si>
  <si>
    <t>Staff of Channel &amp; Sales Force Mgmt</t>
  </si>
  <si>
    <t>Staf Chnl &amp; Sls Frce</t>
  </si>
  <si>
    <t>ROBBY.SOELI@SIG.ID</t>
  </si>
  <si>
    <t>TONASA 1 - JL.GARUDA NO.19</t>
  </si>
  <si>
    <t>GUSRIANTO P.JAFAR, ST.</t>
  </si>
  <si>
    <t>4104110000</t>
  </si>
  <si>
    <t>41032000210</t>
  </si>
  <si>
    <t>41032000</t>
  </si>
  <si>
    <t>Unit of Market Intel. Channel &amp; SF Mgmt</t>
  </si>
  <si>
    <t>Unit MI, Chnl &amp; Sls</t>
  </si>
  <si>
    <t>GUSRIANTO.JAFAR@SIG.ID</t>
  </si>
  <si>
    <t>BARANTI</t>
  </si>
  <si>
    <t>TONASA 2 - JL.MACAN NO.12</t>
  </si>
  <si>
    <t>A.WALDY IRAWAN, S.M.</t>
  </si>
  <si>
    <t>4104110100</t>
  </si>
  <si>
    <t>41032100310</t>
  </si>
  <si>
    <t>41032100</t>
  </si>
  <si>
    <t>Staff of MI, Sales Planning &amp; Evaluation</t>
  </si>
  <si>
    <t>Staf MI Sls Plan&amp;Eva</t>
  </si>
  <si>
    <t>AWALDY.IRAWAN@SIG.ID</t>
  </si>
  <si>
    <t>BTN PAROPO INDAH BLOK D NO.9</t>
  </si>
  <si>
    <t>OKTOVIANUS PAREKEN, SE</t>
  </si>
  <si>
    <t>41032100311</t>
  </si>
  <si>
    <t>OKTOVIANUS.PAREKEN@SIG.ID</t>
  </si>
  <si>
    <t>Palopo</t>
  </si>
  <si>
    <t>TONASA 2 - GAJAH NO 50</t>
  </si>
  <si>
    <t>ARI BUDIMAN, S.Kom.</t>
  </si>
  <si>
    <t>41032100312</t>
  </si>
  <si>
    <t>ARI.BUDIMAN@SIG.ID</t>
  </si>
  <si>
    <t>JL. BIRING ERE TONASA II</t>
  </si>
  <si>
    <t>ARFANDY ARIFIN</t>
  </si>
  <si>
    <t>41032300310</t>
  </si>
  <si>
    <t>ARFANDY.ARIFIN@SIG.ID</t>
  </si>
  <si>
    <t>JL. MAWAR BLOK D NO.4 TONASA II</t>
  </si>
  <si>
    <t>HAERUDDIN SALEH, SE.</t>
  </si>
  <si>
    <t>41032300312</t>
  </si>
  <si>
    <t>HAERUDDIN.SALEH@SIG.ID</t>
  </si>
  <si>
    <t>JL. KESATUAN 3 NO. 9, RT 2 / RW 6</t>
  </si>
  <si>
    <t>AQMAL KUSUMAH</t>
  </si>
  <si>
    <t>4104110400</t>
  </si>
  <si>
    <t>41033000310</t>
  </si>
  <si>
    <t>41033000</t>
  </si>
  <si>
    <t>Staff of Sales Process Management</t>
  </si>
  <si>
    <t>Staf Sls Process Mgm</t>
  </si>
  <si>
    <t>AQMAL.KUSUMAH@SIG.ID</t>
  </si>
  <si>
    <t>TARAWEANG RT. 01/01 LABAKKANG KEC. LABAKKANG</t>
  </si>
  <si>
    <t>ILHAM RAHMAN, ST.</t>
  </si>
  <si>
    <t>41033000411</t>
  </si>
  <si>
    <t>ILHAM.RAHMAN@SIG.ID</t>
  </si>
  <si>
    <t>TONASA 2 - JL.BANTENG NO.15</t>
  </si>
  <si>
    <t>8712110</t>
  </si>
  <si>
    <t>ILYAS</t>
  </si>
  <si>
    <t>ILYAS.5944@SIG.ID</t>
  </si>
  <si>
    <t>JL. TARAWEANG NO 49 PERUMAHAN TONASA II</t>
  </si>
  <si>
    <t>MIFTAHUL KHAER</t>
  </si>
  <si>
    <t>41033000412</t>
  </si>
  <si>
    <t>MIFTAHUL.KHAER@SIG.ID</t>
  </si>
  <si>
    <t>JL. FLAMBOYAN NO.6 PANGKEP</t>
  </si>
  <si>
    <t>MUH.AFANDY MARASABESSY, SE.</t>
  </si>
  <si>
    <t>4104100000</t>
  </si>
  <si>
    <t>41040000110</t>
  </si>
  <si>
    <t>41040000</t>
  </si>
  <si>
    <t>Dept. of Sales</t>
  </si>
  <si>
    <t>Departement of Sales</t>
  </si>
  <si>
    <t>MUH.MARASABESSY@SIG.ID</t>
  </si>
  <si>
    <t>Ambon</t>
  </si>
  <si>
    <t>MAKASSAR, SULAWESI SELATAN</t>
  </si>
  <si>
    <t>HANIF YUSMY KARTONO, SE., MM.</t>
  </si>
  <si>
    <t>4104130000</t>
  </si>
  <si>
    <t>41040000210</t>
  </si>
  <si>
    <t>Unit Sls Excell Spec</t>
  </si>
  <si>
    <t>HANIF.KARTONO@SIG.ID</t>
  </si>
  <si>
    <t>Jl Kajenjeng IV no 20 Perumnas ,  ,</t>
  </si>
  <si>
    <t>RUSTAN MUIN</t>
  </si>
  <si>
    <t>4105300000</t>
  </si>
  <si>
    <t>Finance Risk Mgmt &amp; General Directorate</t>
  </si>
  <si>
    <t>43024102411</t>
  </si>
  <si>
    <t>43024102</t>
  </si>
  <si>
    <t>Staff of L &amp; D Operation &amp; KM</t>
  </si>
  <si>
    <t>Dept. HC &amp; GRC</t>
  </si>
  <si>
    <t>RUSTAN.MUIN@SIG.ID</t>
  </si>
  <si>
    <t>JL. H. ZAINUDDIN KEL.BONTO PERAK KEC. PANGKAJENE</t>
  </si>
  <si>
    <t>M.AZIKIN AZIS, ST.</t>
  </si>
  <si>
    <t>4104220000</t>
  </si>
  <si>
    <t>41042000210</t>
  </si>
  <si>
    <t>41042000</t>
  </si>
  <si>
    <t>Unit of Outbound Logistic</t>
  </si>
  <si>
    <t>Unit Outbound Logist</t>
  </si>
  <si>
    <t>AZIKIN.AZIS@SIG.ID</t>
  </si>
  <si>
    <t>SENGKANG</t>
  </si>
  <si>
    <t>ROSMINI RAMLI</t>
  </si>
  <si>
    <t>41042001410</t>
  </si>
  <si>
    <t>41042001</t>
  </si>
  <si>
    <t>Staff of Transportation Billing</t>
  </si>
  <si>
    <t>ROSMINI.RAMLI@SIG.ID</t>
  </si>
  <si>
    <t>JL. KEADILAN RT. 02 RW. 01 KEL. PABUNDUKANG KEC. PANGKAJENE</t>
  </si>
  <si>
    <t>GUSTIANTO</t>
  </si>
  <si>
    <t>41042001411</t>
  </si>
  <si>
    <t>GUSTIANTO@SIG.ID</t>
  </si>
  <si>
    <t>Jl. Melati No.14 Tonasa 1</t>
  </si>
  <si>
    <t>ABD.RAHMAN</t>
  </si>
  <si>
    <t>4104220300</t>
  </si>
  <si>
    <t>41042100310</t>
  </si>
  <si>
    <t>41042100</t>
  </si>
  <si>
    <t>Section of Shipment Management</t>
  </si>
  <si>
    <t>Sec Shipment Mgmt</t>
  </si>
  <si>
    <t>ABD.RAHMAN@SIG.ID</t>
  </si>
  <si>
    <t>JL. TUPAI NO.13 - TONASA II, RT 003/RW 001, KEL. BIRING ERE</t>
  </si>
  <si>
    <t>JERMIA T., SE.</t>
  </si>
  <si>
    <t>41042101410</t>
  </si>
  <si>
    <t>41042101</t>
  </si>
  <si>
    <t>Staff of Shipment Management</t>
  </si>
  <si>
    <t>JERMIA.T@SIG.ID</t>
  </si>
  <si>
    <t>RANTEPAO</t>
  </si>
  <si>
    <t>TONASA JL. BANTENG NO.6</t>
  </si>
  <si>
    <t>MESAK RANDABUNGA, SE.</t>
  </si>
  <si>
    <t>41042101412</t>
  </si>
  <si>
    <t>MESAK.RANDABUNGA@SIG.ID</t>
  </si>
  <si>
    <t>POLMAS</t>
  </si>
  <si>
    <t>JL. MACAN NO. 10 - TONASA II, RT.002/RW.001</t>
  </si>
  <si>
    <t>A.TENRITATA</t>
  </si>
  <si>
    <t>41042101413</t>
  </si>
  <si>
    <t>A.TENRITATA@SIG.ID</t>
  </si>
  <si>
    <t>RAPPANG</t>
  </si>
  <si>
    <t>BTN WESABBE BLOK C NO.39, RT 003/RW 005, KEL. TAMALANREA</t>
  </si>
  <si>
    <t>MAHARUDDIN</t>
  </si>
  <si>
    <t>41042101414</t>
  </si>
  <si>
    <t>MAHARUDDIN@SIG.ID</t>
  </si>
  <si>
    <t>Padang</t>
  </si>
  <si>
    <t>TONASA 2 JL. SERIGALA NO.56</t>
  </si>
  <si>
    <t>SUDARMANSYAH, SE.</t>
  </si>
  <si>
    <t>41042101415</t>
  </si>
  <si>
    <t>SUDARMANSYAH@SIG.ID</t>
  </si>
  <si>
    <t>BIRING ERE</t>
  </si>
  <si>
    <t>TONASA 2 - JL BANTENG NO.30</t>
  </si>
  <si>
    <t>SANGKALA</t>
  </si>
  <si>
    <t>41042101416</t>
  </si>
  <si>
    <t>SANGKALA@SIG.ID</t>
  </si>
  <si>
    <t>BALOCCI</t>
  </si>
  <si>
    <t>PANGKAJENE-JL.TANGAPARANG, BONTOA</t>
  </si>
  <si>
    <t>41042101510</t>
  </si>
  <si>
    <t>ALIMUDDIN.5108@SIG.ID</t>
  </si>
  <si>
    <t>M.SAID Y.</t>
  </si>
  <si>
    <t>41042101511</t>
  </si>
  <si>
    <t>M.SAID4684@SIG.ID</t>
  </si>
  <si>
    <t>BILONGA DUSUN BILONGA SELATAN, RT 006/RW 003</t>
  </si>
  <si>
    <t>ABD.LATIF</t>
  </si>
  <si>
    <t>41042101512</t>
  </si>
  <si>
    <t>ABD.LATIF4951@SIG.ID</t>
  </si>
  <si>
    <t>TONASA 1 - JL.DAHLIA NO.31</t>
  </si>
  <si>
    <t>MUH. JUFRI HAMZAH, ST.</t>
  </si>
  <si>
    <t>4104230200</t>
  </si>
  <si>
    <t>41042200310</t>
  </si>
  <si>
    <t>41042200</t>
  </si>
  <si>
    <t>Section of Packaging Management</t>
  </si>
  <si>
    <t>Sec Packaging Mgmt</t>
  </si>
  <si>
    <t>MUH.HAMZAH@SIG.ID</t>
  </si>
  <si>
    <t>BTN PAROPO BLOK C NO 15</t>
  </si>
  <si>
    <t>DWI SATRIA NUGRAHA, SE.</t>
  </si>
  <si>
    <t>41042201410</t>
  </si>
  <si>
    <t>41042201</t>
  </si>
  <si>
    <t>Staff of Packaging Management</t>
  </si>
  <si>
    <t>DWI.NUGRAHA@SIG.ID</t>
  </si>
  <si>
    <t>JL.CEMARA BLOK C NO.6 TONASA II KEL BONTOA KEC.MINASANATENE</t>
  </si>
  <si>
    <t>TAUFIK AINUL YAKIN, AMD.</t>
  </si>
  <si>
    <t>41042201411</t>
  </si>
  <si>
    <t>TAUFIK.YAKIN@SIG.ID</t>
  </si>
  <si>
    <t>JL. MASJID NURUL IMAN NO. 10  MANDAI MAROS</t>
  </si>
  <si>
    <t>HASRAN HABE</t>
  </si>
  <si>
    <t>4104220500</t>
  </si>
  <si>
    <t>41042300310</t>
  </si>
  <si>
    <t>41042300</t>
  </si>
  <si>
    <t>Section of Bulk Transportation</t>
  </si>
  <si>
    <t>Sec Bulk Transport</t>
  </si>
  <si>
    <t>HASRAN.HABE@SIG.ID</t>
  </si>
  <si>
    <t>BUNGORO-  INDAH PERMAI  A NO.5 PASUI</t>
  </si>
  <si>
    <t>VICTOR ATTO SURA</t>
  </si>
  <si>
    <t>41042301410</t>
  </si>
  <si>
    <t>41042301</t>
  </si>
  <si>
    <t>Staff of Bulk Transportation</t>
  </si>
  <si>
    <t>VICTOR.SURA@SIG.ID</t>
  </si>
  <si>
    <t>Perum Pondok Asri 1 Blok B7/19, Makassar</t>
  </si>
  <si>
    <t>PAISAL</t>
  </si>
  <si>
    <t>41042301411</t>
  </si>
  <si>
    <t>PAISAL@SIG.ID</t>
  </si>
  <si>
    <t>PANGKAJENE-JL.BANGAU 48</t>
  </si>
  <si>
    <t>M.ALI</t>
  </si>
  <si>
    <t>41042302510</t>
  </si>
  <si>
    <t>41042302</t>
  </si>
  <si>
    <t>Staff of Bulk Transportation Adm &amp; Eval</t>
  </si>
  <si>
    <t>M.ALI4768@SIG.ID</t>
  </si>
  <si>
    <t>SYAIFUL BAHRI, SE., MM.</t>
  </si>
  <si>
    <t>4104220200</t>
  </si>
  <si>
    <t>41042400310</t>
  </si>
  <si>
    <t>41042400</t>
  </si>
  <si>
    <t>Section of Land Transportation</t>
  </si>
  <si>
    <t>Sec Land Transport</t>
  </si>
  <si>
    <t>SYAIFUL.BAHRI@SIG.ID</t>
  </si>
  <si>
    <t>AMPANA</t>
  </si>
  <si>
    <t>PANGKAJENE-JL.KEADILAN BONE-BONE</t>
  </si>
  <si>
    <t>AMIRULLAH</t>
  </si>
  <si>
    <t>41042401410</t>
  </si>
  <si>
    <t>41042401</t>
  </si>
  <si>
    <t>Staff of Land Transportation</t>
  </si>
  <si>
    <t>AMIRULLAH.5180@SIG.ID</t>
  </si>
  <si>
    <t>TARAWEANG</t>
  </si>
  <si>
    <t>BUNGORO-KP BUJUNG TANGAYA, BULU CINDEA</t>
  </si>
  <si>
    <t>M.NAWIR</t>
  </si>
  <si>
    <t>41042401411</t>
  </si>
  <si>
    <t>M.NAWIR4669@SIG.ID</t>
  </si>
  <si>
    <t>LERANG-LERANG KEC LABBAKKANG</t>
  </si>
  <si>
    <t>BURHANUDDIN</t>
  </si>
  <si>
    <t>41042401412</t>
  </si>
  <si>
    <t>BURHANUDDIN.4772@SIG.ID</t>
  </si>
  <si>
    <t>41042402410</t>
  </si>
  <si>
    <t>41042402</t>
  </si>
  <si>
    <t>Staff of Land Transportation Adm &amp; Eval</t>
  </si>
  <si>
    <t>AMIRULLAH.6005@SIG.ID</t>
  </si>
  <si>
    <t>TONASA 2 - MACAN NO.34 (MESS)</t>
  </si>
  <si>
    <t>HUSNAENI, SE.</t>
  </si>
  <si>
    <t>4104220100</t>
  </si>
  <si>
    <t>41042600310</t>
  </si>
  <si>
    <t>41042600</t>
  </si>
  <si>
    <t>Section of Sea Transportation</t>
  </si>
  <si>
    <t>Sec Sea Transport</t>
  </si>
  <si>
    <t>HUSNAENI@SIG.ID</t>
  </si>
  <si>
    <t>TONASA 1 - Banteng</t>
  </si>
  <si>
    <t>NESTOR CATIS JR., ST.</t>
  </si>
  <si>
    <t>41042601410</t>
  </si>
  <si>
    <t>41042601</t>
  </si>
  <si>
    <t>Staff of Sea Transportation</t>
  </si>
  <si>
    <t>NESTOR.CATIS@SIG.ID</t>
  </si>
  <si>
    <t>Nunukan</t>
  </si>
  <si>
    <t>BTN BUKKANGMATA INDAH B19/5</t>
  </si>
  <si>
    <t>RUSLI</t>
  </si>
  <si>
    <t>41042602510</t>
  </si>
  <si>
    <t>41042602</t>
  </si>
  <si>
    <t>Staff of Sea Transportation Adm &amp; Eval</t>
  </si>
  <si>
    <t>RUSLI.4983@SIG.ID</t>
  </si>
  <si>
    <t>AKRAM BUNYAMIN, SE., MM.</t>
  </si>
  <si>
    <t>4104120000</t>
  </si>
  <si>
    <t>41046000210</t>
  </si>
  <si>
    <t>41046000</t>
  </si>
  <si>
    <t>Unit of Corporate Sales</t>
  </si>
  <si>
    <t>Unit Corporate Sales</t>
  </si>
  <si>
    <t>AKRAM.BUNYAMIN@SIG.ID</t>
  </si>
  <si>
    <t>JL. BORONG RAYA KOMP DELTA MAS 2 BLOK E NO. 5</t>
  </si>
  <si>
    <t>MUSTAMIN, SE.</t>
  </si>
  <si>
    <t>4104160300</t>
  </si>
  <si>
    <t>41046100310</t>
  </si>
  <si>
    <t>41046100</t>
  </si>
  <si>
    <t>Section of Technical &amp; Customer Support</t>
  </si>
  <si>
    <t>Sec Tech &amp; Cost Supp</t>
  </si>
  <si>
    <t>MUSTAMIN@SIG.ID</t>
  </si>
  <si>
    <t>LAODE FAJARIN, S.Kom.</t>
  </si>
  <si>
    <t>41046200310</t>
  </si>
  <si>
    <t>41046200</t>
  </si>
  <si>
    <t>Staff of Key Account Officer</t>
  </si>
  <si>
    <t>LAODE.FAJARIN@SIG.ID</t>
  </si>
  <si>
    <t>TONASA JL. ANOA NO.35</t>
  </si>
  <si>
    <t>MUH.SUAIB, AMD.</t>
  </si>
  <si>
    <t>41046200311</t>
  </si>
  <si>
    <t>MUH.SUAIB@SIG.ID</t>
  </si>
  <si>
    <t>TONASA 2-JL.GAJAH NO.50 T.2</t>
  </si>
  <si>
    <t>ABU BAKAR</t>
  </si>
  <si>
    <t>41046200312</t>
  </si>
  <si>
    <t>ABU.BAKAR@SIG.ID</t>
  </si>
  <si>
    <t>YUNUS KASIM, SE.</t>
  </si>
  <si>
    <t>41046200313</t>
  </si>
  <si>
    <t>YUNUS.KASIM@SIG.ID</t>
  </si>
  <si>
    <t>AMRULLAH YUSUF, ST.</t>
  </si>
  <si>
    <t>4104160000</t>
  </si>
  <si>
    <t>41048000210</t>
  </si>
  <si>
    <t>41048000</t>
  </si>
  <si>
    <t>Unit of Sales 1</t>
  </si>
  <si>
    <t>AMRULLAH.YUSUF@SIG.ID</t>
  </si>
  <si>
    <t>P.PLANT PALU</t>
  </si>
  <si>
    <t>JURJANI, SE.</t>
  </si>
  <si>
    <t>4104120100</t>
  </si>
  <si>
    <t>41048100310</t>
  </si>
  <si>
    <t>41048100</t>
  </si>
  <si>
    <t>Section of Sulsel</t>
  </si>
  <si>
    <t>Sec  Sales Sulsel</t>
  </si>
  <si>
    <t>JURJANI@SIG.ID</t>
  </si>
  <si>
    <t>JAPING-JAPING UTARA KEL. BONTOLANGKASAN KEC. MINASATENE</t>
  </si>
  <si>
    <t>MUH.AMIN, SE.</t>
  </si>
  <si>
    <t>41048101412</t>
  </si>
  <si>
    <t>41048101</t>
  </si>
  <si>
    <t>Staff of Sulsel</t>
  </si>
  <si>
    <t>MUH.AMIN4936@SIG.ID</t>
  </si>
  <si>
    <t>MAMUJU</t>
  </si>
  <si>
    <t>SUPARDI D., ST.</t>
  </si>
  <si>
    <t>4104160200</t>
  </si>
  <si>
    <t>41048200310</t>
  </si>
  <si>
    <t>41048200</t>
  </si>
  <si>
    <t>Section of Sulbar &amp; Sulteng</t>
  </si>
  <si>
    <t>Sec Sulbar &amp; Sulteng</t>
  </si>
  <si>
    <t>SUPARDI.D@SIG.ID</t>
  </si>
  <si>
    <t>JL. KIMA 3 RUSUNAWA DAYA BLOK E5/17</t>
  </si>
  <si>
    <t>OME RESTULLAH, AMD.</t>
  </si>
  <si>
    <t>41048201410</t>
  </si>
  <si>
    <t>41048201</t>
  </si>
  <si>
    <t>Staff of Sulbar &amp; Sulteng</t>
  </si>
  <si>
    <t>OME.RESTULLAH@SIG.ID</t>
  </si>
  <si>
    <t>KOMP GRIYA SUDIANG MANDIRI D NO.16 RT 001/RW 002, PAI</t>
  </si>
  <si>
    <t>DARWIN LIWIDJAYA</t>
  </si>
  <si>
    <t>Semen Tonasa (SBI - ST)</t>
  </si>
  <si>
    <t>41048201411</t>
  </si>
  <si>
    <t>darwin.liwidjaya@sig.id </t>
  </si>
  <si>
    <t>22</t>
  </si>
  <si>
    <t>YUDI HARSONO</t>
  </si>
  <si>
    <t>Semen Tonasa (SILOG - ST)</t>
  </si>
  <si>
    <t>41046200314</t>
  </si>
  <si>
    <t>yudi.harsono@sig.id </t>
  </si>
  <si>
    <t>DANIAL RAMADHAN, ST., MM.</t>
  </si>
  <si>
    <t>41048101413</t>
  </si>
  <si>
    <t>DANIAL.RAMADHAN@SIG.ID</t>
  </si>
  <si>
    <t>PERUMAHAN YPPKG BLOK K3 NO.25 DAYA</t>
  </si>
  <si>
    <t>HARISMAN HALID</t>
  </si>
  <si>
    <t>41048101411</t>
  </si>
  <si>
    <t>HARISMAN.HALID@SIG.ID</t>
  </si>
  <si>
    <t>KAJUARA,KEL KALABBIRANG MINASATENE PANGKEP</t>
  </si>
  <si>
    <t>DIDI SAIFUL, SH.</t>
  </si>
  <si>
    <t>4104130100</t>
  </si>
  <si>
    <t>41048401411</t>
  </si>
  <si>
    <t>41048401</t>
  </si>
  <si>
    <t>Staff of Kaltim &amp; Kaltara</t>
  </si>
  <si>
    <t>Sec Kaltim &amp; Kaltara</t>
  </si>
  <si>
    <t>DIDI.SAIFUL@SIG.ID</t>
  </si>
  <si>
    <t>JL. RAPPOCINI LR. 04 NO.56</t>
  </si>
  <si>
    <t>ABDUL RAHMAN</t>
  </si>
  <si>
    <t>41048201412</t>
  </si>
  <si>
    <t>ABDUL.RAHMAN5878@SIG.ID</t>
  </si>
  <si>
    <t>LASSANG DESA MANAKKU KEC. LABAKKANG</t>
  </si>
  <si>
    <t>ZAINUDDIN</t>
  </si>
  <si>
    <t>41048101410</t>
  </si>
  <si>
    <t>ZAINUDDIN.6243@SIG.ID</t>
  </si>
  <si>
    <t>JL. H. A MUH ARSYAD NO. 139 PARE-PARE</t>
  </si>
  <si>
    <t>HARDIANSYAH HAFID</t>
  </si>
  <si>
    <t>41048201413</t>
  </si>
  <si>
    <t>HARDIANSYAH.HAFID@SIG.ID</t>
  </si>
  <si>
    <t>JL. GARUDA No. 48 TONASA I</t>
  </si>
  <si>
    <t>SABRUL</t>
  </si>
  <si>
    <t>41022300410</t>
  </si>
  <si>
    <t>SABRUL@SIG.ID</t>
  </si>
  <si>
    <t>SEGERI</t>
  </si>
  <si>
    <t>BONTO-BONTO PATALASSANG (LABAKKANG)</t>
  </si>
  <si>
    <t>ANDI SUPRIADI</t>
  </si>
  <si>
    <t>4104140100</t>
  </si>
  <si>
    <t>41049101413</t>
  </si>
  <si>
    <t>41049101</t>
  </si>
  <si>
    <t>Staff of Kalsel &amp; NTB</t>
  </si>
  <si>
    <t>Sec Sales Kalsel&amp;NTB</t>
  </si>
  <si>
    <t>ANDI.SUPRIADI@SIG.ID</t>
  </si>
  <si>
    <t>WATAMPONE</t>
  </si>
  <si>
    <t>JL FLAMBOYAN RT 2/RW 01</t>
  </si>
  <si>
    <t>TAUFAN MAULANA, ST.</t>
  </si>
  <si>
    <t>Semen Tonasa (SIG - ST)</t>
  </si>
  <si>
    <t>41041000210</t>
  </si>
  <si>
    <t>41041000</t>
  </si>
  <si>
    <t>Staff of Sales</t>
  </si>
  <si>
    <t>taufan.maulana@sig.id </t>
  </si>
  <si>
    <t>Surabaya</t>
  </si>
  <si>
    <t>ILHAM YUSUF</t>
  </si>
  <si>
    <t>4104120400</t>
  </si>
  <si>
    <t>41048300310</t>
  </si>
  <si>
    <t>41048300</t>
  </si>
  <si>
    <t>Section of Sultra, Sulut &amp; Gorontalo</t>
  </si>
  <si>
    <t>Sec Sultra Sulut Go</t>
  </si>
  <si>
    <t>ILHAM.YUSUF5952@SIG.ID</t>
  </si>
  <si>
    <t>JL. KETERAMPILAN NO.10 PARE-PARE</t>
  </si>
  <si>
    <t>M.SEPTIAN RAHMAT J.</t>
  </si>
  <si>
    <t>41048301310</t>
  </si>
  <si>
    <t>41048301</t>
  </si>
  <si>
    <t>Staff of Sultra, Sulut &amp; Gorontalo</t>
  </si>
  <si>
    <t>MSEPTIAN.RAHMAT@SIG.ID</t>
  </si>
  <si>
    <t>JL. ASOKA NO.18 LEJANG UTARA KEL. SAMALEWA KEC. BUNGORO</t>
  </si>
  <si>
    <t>UMAR T., SE.</t>
  </si>
  <si>
    <t>41048301311</t>
  </si>
  <si>
    <t>UMAR.T@SIG.ID</t>
  </si>
  <si>
    <t>PANGKAJENE-SIANG</t>
  </si>
  <si>
    <t>MUH.ZAINAL SYAM</t>
  </si>
  <si>
    <t>41048301312</t>
  </si>
  <si>
    <t>MUHZAINAL.SYAM@SIG.ID</t>
  </si>
  <si>
    <t>CAMBA</t>
  </si>
  <si>
    <t>PERUMAHAN BUNGORO INDAH PERMAI-KATAPANG</t>
  </si>
  <si>
    <t>GERY HARDIK KADEMBO, S.Tr.T</t>
  </si>
  <si>
    <t>41048301314</t>
  </si>
  <si>
    <t>GERY.KADEMBO@SIG.ID</t>
  </si>
  <si>
    <t>Kendari</t>
  </si>
  <si>
    <t>TONASA 2-JL.SERIGALA NO.8</t>
  </si>
  <si>
    <t>SYAHRIL, ST., MM.</t>
  </si>
  <si>
    <t>41048400310</t>
  </si>
  <si>
    <t>41048400</t>
  </si>
  <si>
    <t>Section of Kaltim &amp; Kaltara</t>
  </si>
  <si>
    <t>SYAHRIL@SIG.ID</t>
  </si>
  <si>
    <t>JL. KASUARI NO. 8 TONASA I PANGKEP</t>
  </si>
  <si>
    <t>ABDUL FATTAH NAWING</t>
  </si>
  <si>
    <t>41048401414</t>
  </si>
  <si>
    <t>ABDUL.NAWING@SIG.ID</t>
  </si>
  <si>
    <t>PARANG-PARANG DESA BOWONG CINDEA</t>
  </si>
  <si>
    <t>MUHAMMAD ALWI, AMD.</t>
  </si>
  <si>
    <t>41048401415</t>
  </si>
  <si>
    <t>MUHAMMAD.ALWI@SIG.ID</t>
  </si>
  <si>
    <t>TONASA 2-JL.GAJAH PERUM  I</t>
  </si>
  <si>
    <t>AHMAD ASNAWI, SE., MM.</t>
  </si>
  <si>
    <t>4104140000</t>
  </si>
  <si>
    <t>41049000210</t>
  </si>
  <si>
    <t>41049000</t>
  </si>
  <si>
    <t>Unit of Sales 2</t>
  </si>
  <si>
    <t>AHMAD.ASNAWI@SIG.ID</t>
  </si>
  <si>
    <t>Wajo</t>
  </si>
  <si>
    <t>AFHARIADI S.W.FATTAH, SE.</t>
  </si>
  <si>
    <t>41049100310</t>
  </si>
  <si>
    <t>41049100</t>
  </si>
  <si>
    <t>Section of Kalsel &amp; NTB</t>
  </si>
  <si>
    <t>AFHARIADI.FATTAH@SIG.ID</t>
  </si>
  <si>
    <t>SAHARUDDIN</t>
  </si>
  <si>
    <t>41049101410</t>
  </si>
  <si>
    <t>SAHARUDDIN.6169@SIG.ID</t>
  </si>
  <si>
    <t>BONTOA</t>
  </si>
  <si>
    <t>JL. KESATRIA KEL. BONTOA</t>
  </si>
  <si>
    <t>NASRUN</t>
  </si>
  <si>
    <t>41049101411</t>
  </si>
  <si>
    <t>NASRUN.5166@SIG.ID</t>
  </si>
  <si>
    <t>TINIGI</t>
  </si>
  <si>
    <t>TONASA 2 - JL.SERIGALA NO.1</t>
  </si>
  <si>
    <t>JUMKHAIRIL, S.Pd.</t>
  </si>
  <si>
    <t>41049101412</t>
  </si>
  <si>
    <t>JUMKHAIRIL@SIG.ID</t>
  </si>
  <si>
    <t>PERUM BUNGORO PERMAI KATAPANG BLOK E2 NO.12</t>
  </si>
  <si>
    <t>RAMLI, SE., MM.</t>
  </si>
  <si>
    <t>4104140600</t>
  </si>
  <si>
    <t>41049200310</t>
  </si>
  <si>
    <t>41049200</t>
  </si>
  <si>
    <t>Section of Papua</t>
  </si>
  <si>
    <t>Section Sales Papua</t>
  </si>
  <si>
    <t>RAMLI.5859@SIG.ID</t>
  </si>
  <si>
    <t>JL. Mustakim DG. Ngeppe Bontoa , 02/05 , BAROMBONG</t>
  </si>
  <si>
    <t>A.ARYA WIJAYA</t>
  </si>
  <si>
    <t>41049201410</t>
  </si>
  <si>
    <t>41049201</t>
  </si>
  <si>
    <t>Staff of Papua</t>
  </si>
  <si>
    <t>AARYA.WIJAYA@SIG.ID</t>
  </si>
  <si>
    <t>PATALASSANG</t>
  </si>
  <si>
    <t>TONASA 2 - JL.SERIGALA 25</t>
  </si>
  <si>
    <t>SARDIUN MARYO APRIANUS NABABAN, AMD.</t>
  </si>
  <si>
    <t>41049201411</t>
  </si>
  <si>
    <t>SARDIUN.NABABAN@SIG.ID</t>
  </si>
  <si>
    <t>TONASA 2 - JL.BANTENG NO.32</t>
  </si>
  <si>
    <t>WILLIAM LOLOALLO</t>
  </si>
  <si>
    <t>41049201412</t>
  </si>
  <si>
    <t>WILLIAM.LOLOALLO@SIG.ID</t>
  </si>
  <si>
    <t>JL. KOMP. UNHAS ANTANG BLOK H.19</t>
  </si>
  <si>
    <t>18</t>
  </si>
  <si>
    <t>ELVERA MELIANA FODJU</t>
  </si>
  <si>
    <t>41049201510</t>
  </si>
  <si>
    <t>elvera.fodju@sig.id</t>
  </si>
  <si>
    <t xml:space="preserve"> -</t>
  </si>
  <si>
    <t>26</t>
  </si>
  <si>
    <t>PASKALINA DUWIT</t>
  </si>
  <si>
    <t>41049201511</t>
  </si>
  <si>
    <t>paskalina.duwit@sig.id </t>
  </si>
  <si>
    <t>Jayapura</t>
  </si>
  <si>
    <t>AGUS SALIM</t>
  </si>
  <si>
    <t>41049201512</t>
  </si>
  <si>
    <t>AGUS.SALIM6105@SIG.ID</t>
  </si>
  <si>
    <t>KP. PALATTAE DESA BIRINGERE</t>
  </si>
  <si>
    <t>RUDY CASTRO MATONENG, SE.</t>
  </si>
  <si>
    <t>4104140200</t>
  </si>
  <si>
    <t>41049300310</t>
  </si>
  <si>
    <t>41049300</t>
  </si>
  <si>
    <t>Section of Maluku &amp; Maluku Utara</t>
  </si>
  <si>
    <t>Sec Maluku &amp; Malut</t>
  </si>
  <si>
    <t>RUDY.MATONENG@SIG.ID</t>
  </si>
  <si>
    <t>TARAKAN (KALIMANTAN)</t>
  </si>
  <si>
    <t>JAMALUDDIN</t>
  </si>
  <si>
    <t>41049301410</t>
  </si>
  <si>
    <t>41049301</t>
  </si>
  <si>
    <t>Staff of Maluku &amp; Maluku Utara</t>
  </si>
  <si>
    <t>JAMALUDDIN.6097@SIG.ID</t>
  </si>
  <si>
    <t>PACCORA BALOCCI PANGKEP</t>
  </si>
  <si>
    <t>YADWAL IRFAN</t>
  </si>
  <si>
    <t>41049301411</t>
  </si>
  <si>
    <t>YADWAL.IRFAN@SIG.ID</t>
  </si>
  <si>
    <t>TONASA 1 JL. GARUDA No. 30</t>
  </si>
  <si>
    <t>ARIF SURAHMAN</t>
  </si>
  <si>
    <t>41049301412</t>
  </si>
  <si>
    <t>ARIF.SURAHMAN@SIG.ID</t>
  </si>
  <si>
    <t>JLN.MAWAR No. 27 T.I</t>
  </si>
  <si>
    <t>NURYADIN SUDARMAN, AMD.</t>
  </si>
  <si>
    <t>41049301413</t>
  </si>
  <si>
    <t>NURYADIN.AMD@SIG.ID</t>
  </si>
  <si>
    <t>JL. ALBASIA NO.77 PANAKKUKANG</t>
  </si>
  <si>
    <t>AHMADI</t>
  </si>
  <si>
    <t>4104140500</t>
  </si>
  <si>
    <t>41049400310</t>
  </si>
  <si>
    <t>41049400</t>
  </si>
  <si>
    <t>Section of NTT</t>
  </si>
  <si>
    <t>Section Sales NTT</t>
  </si>
  <si>
    <t>AHMADI@SIG.ID</t>
  </si>
  <si>
    <t>TONASA 2 - JL. BANTENG NO.25</t>
  </si>
  <si>
    <t>HENDRA</t>
  </si>
  <si>
    <t>41049401410</t>
  </si>
  <si>
    <t>41049401</t>
  </si>
  <si>
    <t>Staff of NTT</t>
  </si>
  <si>
    <t>HENDRA.5902@SIG.ID</t>
  </si>
  <si>
    <t>JL. TAEBE NO.36 RT3/RW7</t>
  </si>
  <si>
    <t>RISWADI R.</t>
  </si>
  <si>
    <t>41049401411</t>
  </si>
  <si>
    <t>RISWADI.R@SIG.ID</t>
  </si>
  <si>
    <t>TONASA 2 - JL TARAWEANG NO 49</t>
  </si>
  <si>
    <t>WISNU WARDHANA, SE., MM.</t>
  </si>
  <si>
    <t>4101000000</t>
  </si>
  <si>
    <t>41050000214</t>
  </si>
  <si>
    <t>41050000</t>
  </si>
  <si>
    <t>Staff of Pres Dir - BU Non Cement</t>
  </si>
  <si>
    <t>Direktur Utama</t>
  </si>
  <si>
    <t>WISNU.WARDHANA@SIG.ID</t>
  </si>
  <si>
    <t>JUWASNI D, S.Psi.</t>
  </si>
  <si>
    <t>43024000210</t>
  </si>
  <si>
    <t>43024000</t>
  </si>
  <si>
    <t>JUWASNI.D@SIG.ID</t>
  </si>
  <si>
    <t>TONASA 2 - JL MAWAR D/05</t>
  </si>
  <si>
    <t>98</t>
  </si>
  <si>
    <t>A.CHAERUDDIN PI., SE. MM.</t>
  </si>
  <si>
    <t>4101410000</t>
  </si>
  <si>
    <t>Staff of Pres Dir (Dana Pensiun)</t>
  </si>
  <si>
    <t>410A1000111</t>
  </si>
  <si>
    <t>410A1000</t>
  </si>
  <si>
    <t>Dana Pensiun ST</t>
  </si>
  <si>
    <t>A.CHAERUDDIN@SIG.ID</t>
  </si>
  <si>
    <t>JAKARTA (kota)</t>
  </si>
  <si>
    <t>TONASA 2 - JL KEMBANG SEPATU NO.11</t>
  </si>
  <si>
    <t>IHSAN NURDIN, S.Kom.</t>
  </si>
  <si>
    <t>410A1000310</t>
  </si>
  <si>
    <t>IHSAN.NURDIN@SIG.ID</t>
  </si>
  <si>
    <t>TONASA 2 - JL GAJAH 41</t>
  </si>
  <si>
    <t>ABDUL RIVAI RAMLI, SE.</t>
  </si>
  <si>
    <t>ABDUL.RAMLI@SIG.ID</t>
  </si>
  <si>
    <t>TONASA 2 - JL PALEM KOL N/7</t>
  </si>
  <si>
    <t>WIRA PURNAMA, SE.</t>
  </si>
  <si>
    <t>410A1000311</t>
  </si>
  <si>
    <t>WIRA.PURNAMA@SIG.ID</t>
  </si>
  <si>
    <t>IRA FIRMANTI, S.Sos.</t>
  </si>
  <si>
    <t>410A1000312</t>
  </si>
  <si>
    <t>IRA.FIRMANTI@SIG.ID</t>
  </si>
  <si>
    <t>Klaten</t>
  </si>
  <si>
    <t>UTARI SRI MINARNI</t>
  </si>
  <si>
    <t>410A1000410</t>
  </si>
  <si>
    <t>UTARI.MINARNI@SIG.ID</t>
  </si>
  <si>
    <t>ENOS, SE., MH.</t>
  </si>
  <si>
    <t>410A1000413</t>
  </si>
  <si>
    <t>ENOS@SIG.ID</t>
  </si>
  <si>
    <t>TONASA 2 - JL.ANOA 13</t>
  </si>
  <si>
    <t>NURFADHILAH JUFRI ST.,MM.,MT</t>
  </si>
  <si>
    <t>410A1000414</t>
  </si>
  <si>
    <t>NURFADHILAH.JUFRI@SIG.ID</t>
  </si>
  <si>
    <t>SYARIFUDDIN, SE.</t>
  </si>
  <si>
    <t>4107300000</t>
  </si>
  <si>
    <t>Staff of Pres Dir (Kopkar)</t>
  </si>
  <si>
    <t>410A2000210</t>
  </si>
  <si>
    <t>410A2000</t>
  </si>
  <si>
    <t>Koperasi Karyawan ST</t>
  </si>
  <si>
    <t>SYARIFUDDIN@SIG.ID</t>
  </si>
  <si>
    <t>TONASA 2 - TERATAI E/03</t>
  </si>
  <si>
    <t>SITTI ISWARNI, SE.</t>
  </si>
  <si>
    <t>4107700000</t>
  </si>
  <si>
    <t>Staff of Pres Dir ( Pelsindo )</t>
  </si>
  <si>
    <t>410A4000211</t>
  </si>
  <si>
    <t>PT Pelsindo</t>
  </si>
  <si>
    <t>SITTI.ISWARNI@SIG.ID</t>
  </si>
  <si>
    <t>MUH.ALI N., S.Kom.</t>
  </si>
  <si>
    <t>4107500000</t>
  </si>
  <si>
    <t>Staff of Pres Dir (BKS Raya)</t>
  </si>
  <si>
    <t>410A4000212</t>
  </si>
  <si>
    <t>PT Biringkassi Raya</t>
  </si>
  <si>
    <t>MUH.ALI@SIG.ID</t>
  </si>
  <si>
    <t>TONASA 2 - JL KEMBANG SEPATU NO.7</t>
  </si>
  <si>
    <t>CHANDRA IRAWAN SALEH, ST.,M.S.M.,CPIA</t>
  </si>
  <si>
    <t>41011000213</t>
  </si>
  <si>
    <t>CHANDRA.SALEH@SIG.ID</t>
  </si>
  <si>
    <t>PISING</t>
  </si>
  <si>
    <t>TONASA 2 JL.PALEM MERAH O/3</t>
  </si>
  <si>
    <t>M.ASDAR BASIR, SE.</t>
  </si>
  <si>
    <t>4107400000</t>
  </si>
  <si>
    <t>Staff of Pres Dir (Topabiring)</t>
  </si>
  <si>
    <t>410A5000210</t>
  </si>
  <si>
    <t>410A5000</t>
  </si>
  <si>
    <t>EMKL Topabiring</t>
  </si>
  <si>
    <t>ASDAR.BASIR@SIG.ID</t>
  </si>
  <si>
    <t>HARIYONO GUNAWAN, ST., M.S.M.</t>
  </si>
  <si>
    <t>410A5000212</t>
  </si>
  <si>
    <t>HARIYONO.GUNAWAN@SIG.ID</t>
  </si>
  <si>
    <t>Sleman</t>
  </si>
  <si>
    <t>TONASA 2-JL.MAWAR D/8</t>
  </si>
  <si>
    <t>NURFAH INDRASARI, SE.</t>
  </si>
  <si>
    <t>NURFAH.INDRASARI@SIG.ID</t>
  </si>
  <si>
    <t>TONASA 2-KOMP PERUM BARU  I JL.BERINGIN</t>
  </si>
  <si>
    <t>GATOT SUSANTO, ST.</t>
  </si>
  <si>
    <t>4107100000</t>
  </si>
  <si>
    <t>Staff of Pres Dir (PKM)</t>
  </si>
  <si>
    <t>410A6000212</t>
  </si>
  <si>
    <t>410A6000</t>
  </si>
  <si>
    <t>PT PKM</t>
  </si>
  <si>
    <t>GATOT.SUSANTO@SIG.ID</t>
  </si>
  <si>
    <t>Bojonegoro</t>
  </si>
  <si>
    <t>TONASA 2- JL TERATAI E/1</t>
  </si>
  <si>
    <t>M.RIDWAN, ST.</t>
  </si>
  <si>
    <t>410A6000310</t>
  </si>
  <si>
    <t>M.RIDWAN@SIG.ID</t>
  </si>
  <si>
    <t>BTN BUNGORO INDAHBLOK C6/05</t>
  </si>
  <si>
    <t>YUKI TRI BASKORO, SE.</t>
  </si>
  <si>
    <t>410A6000311</t>
  </si>
  <si>
    <t>YUKI.BASKORO@SIG.ID</t>
  </si>
  <si>
    <t>Kebumen</t>
  </si>
  <si>
    <t>TONASA JL.GAJAH 9</t>
  </si>
  <si>
    <t>ANDI UDIN FAHRUDDIN, ST.</t>
  </si>
  <si>
    <t>4107200000</t>
  </si>
  <si>
    <t>Staff of Pres Dir (Tonasa Lines)</t>
  </si>
  <si>
    <t>410A7000110</t>
  </si>
  <si>
    <t>410A7000</t>
  </si>
  <si>
    <t>PT Tonasa Lines</t>
  </si>
  <si>
    <t>ANDI.FAHRUDDIN@SIG.ID</t>
  </si>
  <si>
    <t>Sinjai</t>
  </si>
  <si>
    <t>TONASA 2 - JL.KEMBANG SEPATU NO.2</t>
  </si>
  <si>
    <t>IDAYANA, SE.</t>
  </si>
  <si>
    <t>410A7000210</t>
  </si>
  <si>
    <t>IDAYANA@SIG.ID</t>
  </si>
  <si>
    <t>MENGE,SENGKANG</t>
  </si>
  <si>
    <t>BUNGORO-  INDAH  BX/06</t>
  </si>
  <si>
    <t>ADNAN, Ir., ST., MM., IPM.</t>
  </si>
  <si>
    <t>410A7000211</t>
  </si>
  <si>
    <t>ADNAN@SIG.ID</t>
  </si>
  <si>
    <t>BTN SUTRA MAS BLOK C4 KAB WAJO</t>
  </si>
  <si>
    <t>ANDITA SELY BESTORO, AMD.</t>
  </si>
  <si>
    <t>4107600000</t>
  </si>
  <si>
    <t>Staff of Pres Dir(Sedaya Multi Matra)</t>
  </si>
  <si>
    <t>410A8000310</t>
  </si>
  <si>
    <t>410A8000</t>
  </si>
  <si>
    <t>PT Setra</t>
  </si>
  <si>
    <t>ANDITA.BESTORO@SIG.ID</t>
  </si>
  <si>
    <t>Ngawi</t>
  </si>
  <si>
    <t>Jalan Daeng Tata, Kompleks Har , 006/009 , PARANG TAMBUNG</t>
  </si>
  <si>
    <t>ARDIANSYAH, SE.</t>
  </si>
  <si>
    <t>410A9000210</t>
  </si>
  <si>
    <t>410A9000</t>
  </si>
  <si>
    <t>ARDIANSYAH@SIG.ID</t>
  </si>
  <si>
    <t>PANGKAJENE-JL.KEADILAN NO307 RT02/RW03</t>
  </si>
  <si>
    <t>SRI ASTRI IVO, SE., MM., CRMO</t>
  </si>
  <si>
    <t>410A9000220</t>
  </si>
  <si>
    <t>SRI.IVO@SIG.ID</t>
  </si>
  <si>
    <t>TONASA 2 - JL KELAPA HIJAU O/12</t>
  </si>
  <si>
    <t>YULIANTO PRAYOGA, ST.</t>
  </si>
  <si>
    <t>4103230000</t>
  </si>
  <si>
    <t>Operation Directorate</t>
  </si>
  <si>
    <t>Unit of Quality Assurance</t>
  </si>
  <si>
    <t>42001000210</t>
  </si>
  <si>
    <t>42001000</t>
  </si>
  <si>
    <t>Unit Quality Assuran</t>
  </si>
  <si>
    <t>YULIANTO.PRAYOGA@SIG.ID</t>
  </si>
  <si>
    <t>Yogyakarta</t>
  </si>
  <si>
    <t>TONASA 2 - JL.PALEM KOL N/6</t>
  </si>
  <si>
    <t>WIRYANTO SOMALINGGI, AMAK</t>
  </si>
  <si>
    <t>42001000410</t>
  </si>
  <si>
    <t>WIRYANTO.SOMALINGGI@SIG.ID</t>
  </si>
  <si>
    <t>BTN DEWI KUMALA SARI BLOK AF 20 NO. 2 SUDIANG RAYA</t>
  </si>
  <si>
    <t>YENNY KASIM, ST.</t>
  </si>
  <si>
    <t>4103230500</t>
  </si>
  <si>
    <t>42001100310</t>
  </si>
  <si>
    <t>42001100</t>
  </si>
  <si>
    <t>Section of Material Quality Assurance</t>
  </si>
  <si>
    <t>Sec of Material QA</t>
  </si>
  <si>
    <t>YENNY.KASIM@SIG.ID</t>
  </si>
  <si>
    <t>BUNGORO INDAH PERMAI-KATAPANG, KEL. SAMALEWA, KEC. BUNGORO,</t>
  </si>
  <si>
    <t>09</t>
  </si>
  <si>
    <t>WIWIN MURSIDIN, ST.</t>
  </si>
  <si>
    <t>42001101410</t>
  </si>
  <si>
    <t>42001101</t>
  </si>
  <si>
    <t>Staff of Incoming &amp; Sup Material Lab</t>
  </si>
  <si>
    <t>WIWIN.MURSIDIN@SIG.ID</t>
  </si>
  <si>
    <t>MAKASSAR-JL.PARENRENG I NO.35 2 ANTANG</t>
  </si>
  <si>
    <t>SEPRYADI MARAMPA</t>
  </si>
  <si>
    <t>SEPRYADI.MARAMPA@SIG.ID</t>
  </si>
  <si>
    <t>Tana Toraja</t>
  </si>
  <si>
    <t>JL.DIRGANTARA LR 13 NO 10A RT005/RW001,KELURAHAN PAROPO,KECA</t>
  </si>
  <si>
    <t>TRI KARNO, ST.</t>
  </si>
  <si>
    <t>42001101411</t>
  </si>
  <si>
    <t>TRI.KARNO@SIG.ID</t>
  </si>
  <si>
    <t>Enrekang</t>
  </si>
  <si>
    <t>TELKOMAS JL. PERUMTEL 2 NO. 10 A MAKASSAR. SULAWESI SELATAN</t>
  </si>
  <si>
    <t>ZAIMUL JAFRI, SE.</t>
  </si>
  <si>
    <t>42001102410</t>
  </si>
  <si>
    <t>42001102</t>
  </si>
  <si>
    <t>Staff of Incoming &amp; Sup Mat Lab Analyst</t>
  </si>
  <si>
    <t>ZAIMUL.JAFRI@SIG.ID</t>
  </si>
  <si>
    <t>TONASA I - JALAN MELATI NO.14</t>
  </si>
  <si>
    <t>M.ARWIN SAPUTRA, ST.</t>
  </si>
  <si>
    <t>42001102411</t>
  </si>
  <si>
    <t>MARWIN.SAPUTRA@SIG.ID</t>
  </si>
  <si>
    <t>JL. CENDANA TIMUR NO.16 KEC. PANGKAJENE</t>
  </si>
  <si>
    <t>FIRMAN SALIM, STP</t>
  </si>
  <si>
    <t>42001102412</t>
  </si>
  <si>
    <t>FIRMAN.SALIM@SIG.ID</t>
  </si>
  <si>
    <t>Komp. UMI baru Blok P2 No.15</t>
  </si>
  <si>
    <t>HAERONG</t>
  </si>
  <si>
    <t>42001102413</t>
  </si>
  <si>
    <t>HAERONG@SIG.ID</t>
  </si>
  <si>
    <t>PANGKAJENE-JL.MATAHARI BTN POLRI  D/12</t>
  </si>
  <si>
    <t>YULIANA WULANDARI, AMD.</t>
  </si>
  <si>
    <t>4103230200</t>
  </si>
  <si>
    <t>42001200310</t>
  </si>
  <si>
    <t>42001200</t>
  </si>
  <si>
    <t>Section of Product Quality Assurance</t>
  </si>
  <si>
    <t>Sie Jmn Mutu Produk</t>
  </si>
  <si>
    <t>YULIANA.W5398@SIG.ID</t>
  </si>
  <si>
    <t>JL VETRAN LR 41 NO 53 , 005/001 , BARA BARAYA</t>
  </si>
  <si>
    <t>MAYLTON SUMOMBA, ST.</t>
  </si>
  <si>
    <t>42001201410</t>
  </si>
  <si>
    <t>42001201</t>
  </si>
  <si>
    <t>Staff of Physical &amp; Chemical Lab</t>
  </si>
  <si>
    <t>MAYLTON.SUMOMBA@SIG.ID</t>
  </si>
  <si>
    <t>TONASA 2 - BANTENG 3</t>
  </si>
  <si>
    <t>REZKIYANTI TRI UTAMI, ST.</t>
  </si>
  <si>
    <t>42001201411</t>
  </si>
  <si>
    <t>REZKIYANTI.UTAMI@SIG.ID</t>
  </si>
  <si>
    <t>TAMAN UKHUWAH SAKINAH BLOK C5/3 PACCERAKKANG</t>
  </si>
  <si>
    <t>MUCHTAR RUMPA</t>
  </si>
  <si>
    <t>42001202410</t>
  </si>
  <si>
    <t>42001202</t>
  </si>
  <si>
    <t>Staff of Physical &amp; Chemical Lab Analyst</t>
  </si>
  <si>
    <t>MUCHTAR.RUMPA@SIG.ID</t>
  </si>
  <si>
    <t>JL KEADILAN PABUNDUKANG PANGKAJENE</t>
  </si>
  <si>
    <t>HENRIADI</t>
  </si>
  <si>
    <t>42001202411</t>
  </si>
  <si>
    <t>HENRIADI@SIG.ID</t>
  </si>
  <si>
    <t>JL. DG. TATA III LR. 7 NO. 68 PARANGTAMBUNG</t>
  </si>
  <si>
    <t>SUDIANTO KURNIAWAN P., ST.</t>
  </si>
  <si>
    <t>42001202412</t>
  </si>
  <si>
    <t>SUDIANTO.KURNIAWAN@SIG.ID</t>
  </si>
  <si>
    <t>JL. PACCERAKANG LR.92 BLOK M NO.9 DAYA</t>
  </si>
  <si>
    <t>ANDINI UMIATI, S.Si.</t>
  </si>
  <si>
    <t>42001202413</t>
  </si>
  <si>
    <t>ANDINI.UMIATI@SIG.ID</t>
  </si>
  <si>
    <t>JL. MATTAMPA, KEL. SAMALEWA</t>
  </si>
  <si>
    <t>MUH.RAFIUDDIN, SE.</t>
  </si>
  <si>
    <t>42001203410</t>
  </si>
  <si>
    <t>42001203</t>
  </si>
  <si>
    <t>Group of Product Inspection</t>
  </si>
  <si>
    <t>MUH.RAFIUDDIN@SIG.ID</t>
  </si>
  <si>
    <t>BERIJA RAYA BIRING KANAYA PACCERAKKANG MKSR</t>
  </si>
  <si>
    <t>TEMMALEGGA, ST.</t>
  </si>
  <si>
    <t>4103230400</t>
  </si>
  <si>
    <t>42001300310</t>
  </si>
  <si>
    <t>42001300</t>
  </si>
  <si>
    <t>Section of Cement App &amp; Tech Service</t>
  </si>
  <si>
    <t>Sie Apl Semen &amp; PT</t>
  </si>
  <si>
    <t>TEMMALEGGA@SIG.ID</t>
  </si>
  <si>
    <t>Hindu</t>
  </si>
  <si>
    <t>BULOE</t>
  </si>
  <si>
    <t>RACHMAH AMALIA YUSUF</t>
  </si>
  <si>
    <t>42001301410</t>
  </si>
  <si>
    <t>42001301</t>
  </si>
  <si>
    <t>Group of Technical Service</t>
  </si>
  <si>
    <t>RACHMAH.YUSUF@SIG.ID</t>
  </si>
  <si>
    <t>NUR WAHYU B., S.KM.</t>
  </si>
  <si>
    <t>42001302410</t>
  </si>
  <si>
    <t>42001302</t>
  </si>
  <si>
    <t>Staff of Cement Application Lab</t>
  </si>
  <si>
    <t>NUR.WAHYU@SIG.ID</t>
  </si>
  <si>
    <t>MAKASSAR-JL.TADDOPULI V/3</t>
  </si>
  <si>
    <t>FITRAH ROSLAN, S.KM.</t>
  </si>
  <si>
    <t>42001303413</t>
  </si>
  <si>
    <t>42001303</t>
  </si>
  <si>
    <t>Staff of Cement Application Lab Analyst</t>
  </si>
  <si>
    <t>FITRAH.ROSLAN@SIG.ID</t>
  </si>
  <si>
    <t>JATIA KEL MATAALO KEC. BAJENG GOWA</t>
  </si>
  <si>
    <t>YOSI REAPRADANA, ST.</t>
  </si>
  <si>
    <t>4102700000</t>
  </si>
  <si>
    <t>42020000110</t>
  </si>
  <si>
    <t>42020000</t>
  </si>
  <si>
    <t>Dept. of Production Planning &amp; Control</t>
  </si>
  <si>
    <t>Dept Pro Pla &amp; Cntrl</t>
  </si>
  <si>
    <t>YOSI.REAPRADANA@SIG.ID</t>
  </si>
  <si>
    <t>Palembang</t>
  </si>
  <si>
    <t>TONASA II- BOUGENVILE B.4</t>
  </si>
  <si>
    <t>EDY LIMBONG, SE.</t>
  </si>
  <si>
    <t>42020000411</t>
  </si>
  <si>
    <t>EDY.LIMBONG@SIG.ID</t>
  </si>
  <si>
    <t>TONASA 2 - JL.ANOA NO.44</t>
  </si>
  <si>
    <t>JASMIATI, ST.</t>
  </si>
  <si>
    <t>4102470000</t>
  </si>
  <si>
    <t>42021000210</t>
  </si>
  <si>
    <t>42021000</t>
  </si>
  <si>
    <t>Unit of Prod. Plan Eval. &amp; Environmental</t>
  </si>
  <si>
    <t>Unit Prod Plan Eval</t>
  </si>
  <si>
    <t>JASMIATI@SIG.ID</t>
  </si>
  <si>
    <t>LOMPU</t>
  </si>
  <si>
    <t>TONASA 2 - JLN. KEMBANG SEPATU NO.3</t>
  </si>
  <si>
    <t>M.YASIN, SE.</t>
  </si>
  <si>
    <t>4103230300</t>
  </si>
  <si>
    <t>42021100310</t>
  </si>
  <si>
    <t>42021100</t>
  </si>
  <si>
    <t>Section of Enviromental Monitoring</t>
  </si>
  <si>
    <t>Sie Pemantauan Lingk</t>
  </si>
  <si>
    <t>M.YASIN@SIG.ID</t>
  </si>
  <si>
    <t>OGUTUA</t>
  </si>
  <si>
    <t>EDY SARTO APPANG</t>
  </si>
  <si>
    <t>42021101411</t>
  </si>
  <si>
    <t>42021101</t>
  </si>
  <si>
    <t>Staff of Enviromental Monitoring</t>
  </si>
  <si>
    <t>EDY.APPANG@SIG.ID</t>
  </si>
  <si>
    <t>Barru</t>
  </si>
  <si>
    <t>KURNIASARI</t>
  </si>
  <si>
    <t>42021101412</t>
  </si>
  <si>
    <t>KURNIASARI@SIG.ID</t>
  </si>
  <si>
    <t>BTN Bungoro Indah Blok C1/13 RT 002 RW 004 Kel. Samalewa Kec</t>
  </si>
  <si>
    <t>M.ICHWAN</t>
  </si>
  <si>
    <t>42021101510</t>
  </si>
  <si>
    <t>M.ICHWAN@SIG.ID</t>
  </si>
  <si>
    <t>JL.BANTENG NO.18 - TONASA II</t>
  </si>
  <si>
    <t>EMY AMOS DAUD</t>
  </si>
  <si>
    <t>42021101511</t>
  </si>
  <si>
    <t>EMY.DAUD@SIG.ID</t>
  </si>
  <si>
    <t>TONASA 1 JL. GARUDA NO.12</t>
  </si>
  <si>
    <t>ANDI MAYUNDARI, S.Kom.</t>
  </si>
  <si>
    <t>4103630100</t>
  </si>
  <si>
    <t>42021200310</t>
  </si>
  <si>
    <t>42021200</t>
  </si>
  <si>
    <t>Section of PROPER &amp; CDM</t>
  </si>
  <si>
    <t>Sec Proper &amp; CDM</t>
  </si>
  <si>
    <t>ANDI.MAYUNDARI@SIG.ID</t>
  </si>
  <si>
    <t>BTN NAURA REGENCY B/11 MAKASSAR</t>
  </si>
  <si>
    <t>WENDY C. SIHOMBING L.T., ST.</t>
  </si>
  <si>
    <t>42021201410</t>
  </si>
  <si>
    <t>42021201</t>
  </si>
  <si>
    <t>Staff of PROPER &amp; CDM</t>
  </si>
  <si>
    <t>WENDY.SIHOMBING@SIG.ID</t>
  </si>
  <si>
    <t>Riau</t>
  </si>
  <si>
    <t>HAERUL HL., S.Sos.</t>
  </si>
  <si>
    <t>42021201411</t>
  </si>
  <si>
    <t>HAERUL.HL@SIG.ID</t>
  </si>
  <si>
    <t>PANGKAJENE-JL.KETILANG NO.8</t>
  </si>
  <si>
    <t>BAHARUDDIN LASAPE, SE.</t>
  </si>
  <si>
    <t>42021201412</t>
  </si>
  <si>
    <t>BAHARUDDIN.LASAPE@SIG.ID</t>
  </si>
  <si>
    <t>TONASA 2 - JL.GAJAH NO.38</t>
  </si>
  <si>
    <t>LUKAS TANDI, AMD.</t>
  </si>
  <si>
    <t>42021300310</t>
  </si>
  <si>
    <t>42021300</t>
  </si>
  <si>
    <t>Section of Production Planning</t>
  </si>
  <si>
    <t>LUKAS.TANDI@SIG.ID</t>
  </si>
  <si>
    <t>Balikpapan</t>
  </si>
  <si>
    <t>TONASA 2 - JL KELAPA GADING G/2</t>
  </si>
  <si>
    <t>SYARIF HIDAYAT FIRMAN, S.Sos.</t>
  </si>
  <si>
    <t>42021301410</t>
  </si>
  <si>
    <t>42021301</t>
  </si>
  <si>
    <t>Staff of Production Planning</t>
  </si>
  <si>
    <t>SYARIF.FIRMAN@SIG.ID</t>
  </si>
  <si>
    <t>TONASA 2 - JL.MACAN NO.31</t>
  </si>
  <si>
    <t>SYAIFUL BACHRI, SE.</t>
  </si>
  <si>
    <t>42021301411</t>
  </si>
  <si>
    <t>SYAIFUL.BACHRI@SIG.ID</t>
  </si>
  <si>
    <t>TONASA 2 - JL.TUPAI 1</t>
  </si>
  <si>
    <t>ALFIAN JAIS, ST.,M.Si</t>
  </si>
  <si>
    <t>42021400310</t>
  </si>
  <si>
    <t>42021400</t>
  </si>
  <si>
    <t>Section of RKC Evaluation</t>
  </si>
  <si>
    <t>ALFIAN.JAIS@SIG.ID</t>
  </si>
  <si>
    <t>TONASA II - JL PALEM KIPAS N/3</t>
  </si>
  <si>
    <t>HAERUDDIN</t>
  </si>
  <si>
    <t>42021400410</t>
  </si>
  <si>
    <t>HAERUDDIN.5137@SIG.ID</t>
  </si>
  <si>
    <t>MUHAMMAD IQBAL</t>
  </si>
  <si>
    <t>42021400411</t>
  </si>
  <si>
    <t>MUHAMMAD.IQBAL6222@SIG.ID</t>
  </si>
  <si>
    <t>JL. MAROS 7 BLOK B NO. 117 BUMI SUDIANG PERMAI</t>
  </si>
  <si>
    <t>AHMAD ZAKY IMANI, AMD.</t>
  </si>
  <si>
    <t>42021500310</t>
  </si>
  <si>
    <t>42021500</t>
  </si>
  <si>
    <t>Section of Raw Material &amp; Cement Mill Ev</t>
  </si>
  <si>
    <t>AHMAD.IMANI@SIG.ID</t>
  </si>
  <si>
    <t>SUFRI ARGANTI SAMRA, ST.</t>
  </si>
  <si>
    <t>42021500410</t>
  </si>
  <si>
    <t>SUFRI.SAMRA@SIG.ID</t>
  </si>
  <si>
    <t>TONASA 2 - JL MACAN NO.4</t>
  </si>
  <si>
    <t>LUKMAN</t>
  </si>
  <si>
    <t>42021501410</t>
  </si>
  <si>
    <t>42021501</t>
  </si>
  <si>
    <t>Staff of Raw Material &amp; Cement Mill Eval</t>
  </si>
  <si>
    <t>LUKMAN.6018@SIG.ID</t>
  </si>
  <si>
    <t>TONASA I - JL.MAWAR NO.53</t>
  </si>
  <si>
    <t>RESTI SETIANINGRUM, ST.</t>
  </si>
  <si>
    <t>4102450100</t>
  </si>
  <si>
    <t>42022100310</t>
  </si>
  <si>
    <t>42022100</t>
  </si>
  <si>
    <t>Staff Quality Control Officer (2/3)</t>
  </si>
  <si>
    <t>Sec Quality Dev &amp; Ev</t>
  </si>
  <si>
    <t>RESTI.SETIANINGRUM@SIG.ID</t>
  </si>
  <si>
    <t>LAODE MUH.SYAFAAT</t>
  </si>
  <si>
    <t>42022102410</t>
  </si>
  <si>
    <t>42022102</t>
  </si>
  <si>
    <t>Group of Line 2/3 QC (Shift) B</t>
  </si>
  <si>
    <t>LAODE.SYAFAAT@SIG.ID</t>
  </si>
  <si>
    <t>BUTON</t>
  </si>
  <si>
    <t>IRWAN JEFRI M.</t>
  </si>
  <si>
    <t>42022103410</t>
  </si>
  <si>
    <t>42022103</t>
  </si>
  <si>
    <t>Group of Line 2/3 QC (Shift) C</t>
  </si>
  <si>
    <t>IRWAN.JEFRI@SIG.ID</t>
  </si>
  <si>
    <t>ROMYAWAN HARDJO</t>
  </si>
  <si>
    <t>42022104410</t>
  </si>
  <si>
    <t>42022104</t>
  </si>
  <si>
    <t>Group of Line 2/3 QC (Shift) D</t>
  </si>
  <si>
    <t>ROMYAWAN.HARDJO@SIG.ID</t>
  </si>
  <si>
    <t>RACHMAT AR.</t>
  </si>
  <si>
    <t>42022105410</t>
  </si>
  <si>
    <t>42022105</t>
  </si>
  <si>
    <t>Group of Water Lab Eqp</t>
  </si>
  <si>
    <t>RACHMAT.AR@SIG.ID</t>
  </si>
  <si>
    <t>DI LUAR KOMPLEKS TONASA</t>
  </si>
  <si>
    <t>GURIL MOLINDO</t>
  </si>
  <si>
    <t>42022106410</t>
  </si>
  <si>
    <t>42022106</t>
  </si>
  <si>
    <t>Group of X - Ray &amp; Analysis (2/3)</t>
  </si>
  <si>
    <t>GURIL.MOLINDO@SIG.ID</t>
  </si>
  <si>
    <t>TONASA 1 - JL.MAWAR NO.8</t>
  </si>
  <si>
    <t>MUHAMMAD NASAR</t>
  </si>
  <si>
    <t>42022106411</t>
  </si>
  <si>
    <t>MUHAMMAD.NASAR@SIG.ID</t>
  </si>
  <si>
    <t>JL. A MURI DG. LULU KEL. JAGONG KEC. PANGKAJENE</t>
  </si>
  <si>
    <t>ABD.RAHMAN.D</t>
  </si>
  <si>
    <t>42022106412</t>
  </si>
  <si>
    <t>ABD.RAHMAN4464@SIG.ID</t>
  </si>
  <si>
    <t>JUDDIN C.</t>
  </si>
  <si>
    <t>42022106413</t>
  </si>
  <si>
    <t>JUDDIN.C@SIG.ID</t>
  </si>
  <si>
    <t>ASWIN BAHAR</t>
  </si>
  <si>
    <t>42022107411</t>
  </si>
  <si>
    <t>42022107</t>
  </si>
  <si>
    <t>Group of Line 2/3 QC</t>
  </si>
  <si>
    <t>ASWIN.BAHAR@SIG.ID</t>
  </si>
  <si>
    <t>JL. MUH. YAMIN BARU LR. 19 NO.10</t>
  </si>
  <si>
    <t>M.RIZAL M., ST.</t>
  </si>
  <si>
    <t>42022200310</t>
  </si>
  <si>
    <t>42022200</t>
  </si>
  <si>
    <t>Section of Quality Control (4/5)</t>
  </si>
  <si>
    <t>M.RIZAL@SIG.ID</t>
  </si>
  <si>
    <t>BU'RUNG</t>
  </si>
  <si>
    <t>MAKASSAR-PERUM REGENCY    B12</t>
  </si>
  <si>
    <t>HERIYAWAL, S.Kom.</t>
  </si>
  <si>
    <t>42022209410</t>
  </si>
  <si>
    <t>42022209</t>
  </si>
  <si>
    <t>Group of X - Ray &amp; Analysis (4)</t>
  </si>
  <si>
    <t>HERIYAWAL@SIG.ID</t>
  </si>
  <si>
    <t>TONASA 2 - JL.TUPAI NO.4</t>
  </si>
  <si>
    <t>HAFILUDDIN</t>
  </si>
  <si>
    <t>42022209411</t>
  </si>
  <si>
    <t>HAFILUDDIN@SIG.ID</t>
  </si>
  <si>
    <t>MAROS - PERUM GRIYA BATAS KOTA BLOK D/10 NO.19</t>
  </si>
  <si>
    <t>HAMBALI KADU</t>
  </si>
  <si>
    <t>42022209412</t>
  </si>
  <si>
    <t>HAMBALI.KADU@SIG.ID</t>
  </si>
  <si>
    <t>HARJUNA</t>
  </si>
  <si>
    <t>42022209413</t>
  </si>
  <si>
    <t>HARJUNA@SIG.ID</t>
  </si>
  <si>
    <t>PANGKAJENE-JL.GELATIK NON BTN  SAMALEWA</t>
  </si>
  <si>
    <t>MUHAMMAD APRIS CAM, ST.</t>
  </si>
  <si>
    <t>42022210410</t>
  </si>
  <si>
    <t>42022210</t>
  </si>
  <si>
    <t>Group of X - Ray &amp; Analysis (5)</t>
  </si>
  <si>
    <t>MUHAMMAD.CAM@SIG.ID</t>
  </si>
  <si>
    <t>JALAN MACAN NO.27- TONASA II</t>
  </si>
  <si>
    <t>YUSTIAR YUSUF, ST.</t>
  </si>
  <si>
    <t>42022210411</t>
  </si>
  <si>
    <t>YUSTIAR.YUSUF@SIG.ID</t>
  </si>
  <si>
    <t>TONASA 2 - JALAN MACAN NO.36</t>
  </si>
  <si>
    <t>DEDI FARID RAMLI, SE.</t>
  </si>
  <si>
    <t>42022210412</t>
  </si>
  <si>
    <t>DEDI.RAMLI@SIG.ID</t>
  </si>
  <si>
    <t>JL.BANTENG NO.11 TONASA II</t>
  </si>
  <si>
    <t>REZA HENRADI, ST.</t>
  </si>
  <si>
    <t>42022210413</t>
  </si>
  <si>
    <t>REZA.HENRADI@SIG.ID</t>
  </si>
  <si>
    <t>TONASA 2 - JL. MACAN NO.13</t>
  </si>
  <si>
    <t>SYAHRUL RAMADHAN, S.Pd.</t>
  </si>
  <si>
    <t>42022211410</t>
  </si>
  <si>
    <t>42022211</t>
  </si>
  <si>
    <t>Group of Line 4/5 QC</t>
  </si>
  <si>
    <t>SYAHRUL.RAMADHAN@SIG.ID</t>
  </si>
  <si>
    <t>JL. M TAHIR DG PAWAKKA NO.51 KMP:MALELENG PANGKEP</t>
  </si>
  <si>
    <t>ZULKIPLI, ST.</t>
  </si>
  <si>
    <t>42022211411</t>
  </si>
  <si>
    <t>ZULKIPLI@SIG.ID</t>
  </si>
  <si>
    <t>JL,ANDI JALANTIK NO 57 RT002/RW002,KELURAHAN KARUWISI, KECAM</t>
  </si>
  <si>
    <t>ARMAN NAIM, S.Pd.</t>
  </si>
  <si>
    <t>42022211412</t>
  </si>
  <si>
    <t>ARMAN.NAIM@SIG.ID</t>
  </si>
  <si>
    <t>TONASA 1 - JL MANGEMBA NO.11</t>
  </si>
  <si>
    <t>AMIRUDDIN</t>
  </si>
  <si>
    <t>42022211413</t>
  </si>
  <si>
    <t>AMIRUDDIN.SIRE@SIG.ID</t>
  </si>
  <si>
    <t>TONASA I - JL MAWAR NO.3</t>
  </si>
  <si>
    <t>AGUS FIRMANTO, ST.</t>
  </si>
  <si>
    <t>4102450000</t>
  </si>
  <si>
    <t>42022400310</t>
  </si>
  <si>
    <t>42022400</t>
  </si>
  <si>
    <t>Section of Quality Development &amp; Eval.</t>
  </si>
  <si>
    <t>Unit Quality Control</t>
  </si>
  <si>
    <t>AGUS.FIRMANTO@SIG.ID</t>
  </si>
  <si>
    <t>JL.SERIGALA NO.7 TONASA II</t>
  </si>
  <si>
    <t>MUHAMMAD RUSLI, SH.</t>
  </si>
  <si>
    <t>42022401410</t>
  </si>
  <si>
    <t>42022401</t>
  </si>
  <si>
    <t>Staff of Lab Eqp</t>
  </si>
  <si>
    <t>MUHAMMAD.RUSLI6157@SIG.ID</t>
  </si>
  <si>
    <t>MONCONGBORI KEL BORIMASUNGGU PANGKEP</t>
  </si>
  <si>
    <t>ANDIKA PUTRA</t>
  </si>
  <si>
    <t>42022401411</t>
  </si>
  <si>
    <t>ANDIKA.PUTRA@SIG.ID</t>
  </si>
  <si>
    <t>BUMI TAMALANREA PERMAI BLOK AA JL. KEINDAHAN 11 NO. 147 KEL.</t>
  </si>
  <si>
    <t>ISMAIL IBRAHIM</t>
  </si>
  <si>
    <t>42022401412</t>
  </si>
  <si>
    <t>ISMAIL.IBRAHIM@SIG.ID</t>
  </si>
  <si>
    <t>JL. NURI NO.12B,SUNGGUMINASA</t>
  </si>
  <si>
    <t>SUDIRMAN</t>
  </si>
  <si>
    <t>42022402410</t>
  </si>
  <si>
    <t>42022402</t>
  </si>
  <si>
    <t>Staff of Quality Control</t>
  </si>
  <si>
    <t>SUDIRMAN@SIG.ID</t>
  </si>
  <si>
    <t>JL. SINASARRA LR. 6C NO.167</t>
  </si>
  <si>
    <t>MUHTAR A.</t>
  </si>
  <si>
    <t>42022402411</t>
  </si>
  <si>
    <t>MUHTAR.A@SIG.ID</t>
  </si>
  <si>
    <t>FERDIANSYAH ANUGRAH, ST.</t>
  </si>
  <si>
    <t>42022402412</t>
  </si>
  <si>
    <t>FERDIANSYAH.ANUGRAH@SIG.ID</t>
  </si>
  <si>
    <t>JL.TODDOPULI X KOMP.PURI TAMAN SARI BLOK KNO.17</t>
  </si>
  <si>
    <t>HASRUL AZWAR Z.</t>
  </si>
  <si>
    <t>42022402413</t>
  </si>
  <si>
    <t>HASRUL.AZWAR@SIG.ID</t>
  </si>
  <si>
    <t>TONASA 2 - JL DAHLIA NO.66</t>
  </si>
  <si>
    <t>SYAHRUN NUGRAHA, SE.</t>
  </si>
  <si>
    <t>42022402414</t>
  </si>
  <si>
    <t>SYAHRUN.NUGRAHA@SIG.ID</t>
  </si>
  <si>
    <t>BUMI TAMALAN REA PERMAI BTP BLOK L NO. 379</t>
  </si>
  <si>
    <t>IBRAHIM</t>
  </si>
  <si>
    <t>42022402415</t>
  </si>
  <si>
    <t>IBRAHIM.4920@SIG.ID</t>
  </si>
  <si>
    <t>IRSAN. ST., M.S.M</t>
  </si>
  <si>
    <t>4102140000</t>
  </si>
  <si>
    <t>42023000210</t>
  </si>
  <si>
    <t>42023000</t>
  </si>
  <si>
    <t>Unit of Production Support</t>
  </si>
  <si>
    <t>Unit Penunjang Produ</t>
  </si>
  <si>
    <t>IRSAN@SIG.ID</t>
  </si>
  <si>
    <t>BUNGENG</t>
  </si>
  <si>
    <t>TONASA 2 - JL.DAHLIA C/3</t>
  </si>
  <si>
    <t>AHMAD ZAKKI MUBAROK, ST.</t>
  </si>
  <si>
    <t>4102120100</t>
  </si>
  <si>
    <t>42023100310</t>
  </si>
  <si>
    <t>42023100</t>
  </si>
  <si>
    <t>Section of Heavy Equipment &amp; Coal Transp</t>
  </si>
  <si>
    <t>Seksi Alat Berat &amp; T</t>
  </si>
  <si>
    <t>AHMAD.ZAKKI@SIG.ID</t>
  </si>
  <si>
    <t>Ponorogo</t>
  </si>
  <si>
    <t>WAHYUDDIN TAHIR, ST.</t>
  </si>
  <si>
    <t>42023101410</t>
  </si>
  <si>
    <t>42023101</t>
  </si>
  <si>
    <t>Group of HE Support Controlling</t>
  </si>
  <si>
    <t>WAHYUDDIN.TAHIR@SIG.ID</t>
  </si>
  <si>
    <t>JL. KALIMANTAN KOMP.PU NO.20B</t>
  </si>
  <si>
    <t>MANSUR</t>
  </si>
  <si>
    <t>42023103410</t>
  </si>
  <si>
    <t>42023103</t>
  </si>
  <si>
    <t>Group of Heavy Equip &amp; Tyre Supp Maint.</t>
  </si>
  <si>
    <t>MANSUR@SIG.ID</t>
  </si>
  <si>
    <t>KAMPUNG SIANG  RT.002/RW.001 DESA BORI APPAKA BUNGORO</t>
  </si>
  <si>
    <t>ISMAIL AMIN</t>
  </si>
  <si>
    <t>42023103411</t>
  </si>
  <si>
    <t>ISMAIL.AMIN@SIG.ID</t>
  </si>
  <si>
    <t>TONASA 1 - JL.MANGGA NO.10</t>
  </si>
  <si>
    <t>M.YUSRAN ANSARI</t>
  </si>
  <si>
    <t>42023105410</t>
  </si>
  <si>
    <t>42023105</t>
  </si>
  <si>
    <t>Group of Mutation Clinker Control</t>
  </si>
  <si>
    <t>YUSRAN.ANSARI@SIG.ID</t>
  </si>
  <si>
    <t>TONASA 1 - JL.MANGEMBA NO.12</t>
  </si>
  <si>
    <t>HUSAIN.M</t>
  </si>
  <si>
    <t>42023105411</t>
  </si>
  <si>
    <t>HUSAIN.M@SIG.ID</t>
  </si>
  <si>
    <t>SAPANANG DESA SAPANANG KEC BUNGORO</t>
  </si>
  <si>
    <t>MUHAMMAD ARDIANSYAH NUR</t>
  </si>
  <si>
    <t>42023105412</t>
  </si>
  <si>
    <t>MUHAMMAD.NUR5883@SIG.ID</t>
  </si>
  <si>
    <t>JL. DAENG TATA 1 NO. 10 MAKASSAR 90224</t>
  </si>
  <si>
    <t>AGUSNADI, SE.</t>
  </si>
  <si>
    <t>42023105413</t>
  </si>
  <si>
    <t>AGUSNADI@SIG.ID</t>
  </si>
  <si>
    <t>Aceh Besar</t>
  </si>
  <si>
    <t>TONASA 2 - JL. SERIGALA NO.19</t>
  </si>
  <si>
    <t>ANGGA ADHITYA, ST.</t>
  </si>
  <si>
    <t>4102140100</t>
  </si>
  <si>
    <t>42023300310</t>
  </si>
  <si>
    <t>42023300</t>
  </si>
  <si>
    <t>Section of Utility</t>
  </si>
  <si>
    <t>Seksi Utilitas</t>
  </si>
  <si>
    <t>ANGGA.ADHITYA@SIG.ID</t>
  </si>
  <si>
    <t>ZULKARNAEN</t>
  </si>
  <si>
    <t>42023301410</t>
  </si>
  <si>
    <t>42023301</t>
  </si>
  <si>
    <t>Group of Water Treatment Maintenance</t>
  </si>
  <si>
    <t>ZULKARNAEN.5907@SIG.ID</t>
  </si>
  <si>
    <t>TONASA II - JL MACAN NO.23</t>
  </si>
  <si>
    <t>AGUS MASSERE</t>
  </si>
  <si>
    <t>42023301512</t>
  </si>
  <si>
    <t>AGUS.MASSERE@SIG.ID</t>
  </si>
  <si>
    <t>KP. CANGKOE DESA TARAWEANG RT. 02 RW. 02 KEC. LABAKKANG</t>
  </si>
  <si>
    <t>BAKRI</t>
  </si>
  <si>
    <t>42023302410</t>
  </si>
  <si>
    <t>42023302</t>
  </si>
  <si>
    <t>Group of Line 2/3/4/5 Water Treat Opn</t>
  </si>
  <si>
    <t>BAKRI.5043@SIG.ID</t>
  </si>
  <si>
    <t>BOJO</t>
  </si>
  <si>
    <t>TONASA 2 - JL TARAWEANG NO.25</t>
  </si>
  <si>
    <t>ISMAIL</t>
  </si>
  <si>
    <t>42023303410</t>
  </si>
  <si>
    <t>42023303</t>
  </si>
  <si>
    <t>Group of Tns I Water Treatmt Opn &amp; Maint</t>
  </si>
  <si>
    <t>ISMAIL.5095@SIG.ID</t>
  </si>
  <si>
    <t>BTN BUNGORO INDAH BLOK AZ/09</t>
  </si>
  <si>
    <t>FAIZAL AMIR RAZAK, SE.</t>
  </si>
  <si>
    <t>4102430200</t>
  </si>
  <si>
    <t>42023400310</t>
  </si>
  <si>
    <t>42023400</t>
  </si>
  <si>
    <t>Section of Plant Hygiene</t>
  </si>
  <si>
    <t>Seksi Kebersihan Pab</t>
  </si>
  <si>
    <t>FAIZAL.RAZAK@SIG.ID</t>
  </si>
  <si>
    <t>TONASA II - JL ANOA NO.4</t>
  </si>
  <si>
    <t>ARHAM ARDIYANTO</t>
  </si>
  <si>
    <t>42023401410</t>
  </si>
  <si>
    <t>42023401</t>
  </si>
  <si>
    <t>Group of Line 2/3 Green Services</t>
  </si>
  <si>
    <t>ARHAM.ARDIYANTO@SIG.ID</t>
  </si>
  <si>
    <t>TONASA 2- JL.ANOA NO.2</t>
  </si>
  <si>
    <t>TENRI SOMPA</t>
  </si>
  <si>
    <t>42023402410</t>
  </si>
  <si>
    <t>42023402</t>
  </si>
  <si>
    <t>Group of Line 4 Green Services</t>
  </si>
  <si>
    <t>TENRI.SOMPA@SIG.ID</t>
  </si>
  <si>
    <t>TONASA 2 - JL.SERIGALA NO.28</t>
  </si>
  <si>
    <t>M.ALIANTO M, ST.</t>
  </si>
  <si>
    <t>4102430000</t>
  </si>
  <si>
    <t>42025000210</t>
  </si>
  <si>
    <t>42025000</t>
  </si>
  <si>
    <t>Unit of OHS</t>
  </si>
  <si>
    <t>M.ALIANTO@SIG.ID</t>
  </si>
  <si>
    <t>JL.POROS BONTOA RAYA, KEC. MINASA TENE</t>
  </si>
  <si>
    <t>ASRA AZIS, S.Pd.</t>
  </si>
  <si>
    <t>42025001410</t>
  </si>
  <si>
    <t>42025001</t>
  </si>
  <si>
    <t>Group of Inspection &amp; Testing</t>
  </si>
  <si>
    <t>ASRA.AZIS@SIG.ID</t>
  </si>
  <si>
    <t>JL. COPPOTOMPONG NO. 94 KEL. TUMAMPUA PANGKEP</t>
  </si>
  <si>
    <t>SJARIFUDDIN SAID, ST.</t>
  </si>
  <si>
    <t>4102430100</t>
  </si>
  <si>
    <t>42025100310</t>
  </si>
  <si>
    <t>42025100</t>
  </si>
  <si>
    <t>Section of Plant Occupational Hea &amp; Saf.</t>
  </si>
  <si>
    <t>Sec Plant OHS</t>
  </si>
  <si>
    <t>SJARIFUDDIN.SAID@SIG.ID</t>
  </si>
  <si>
    <t>DIPARTO ALDES ABIA A.</t>
  </si>
  <si>
    <t>42025101410</t>
  </si>
  <si>
    <t>42025101</t>
  </si>
  <si>
    <t>Group of Plant OHS</t>
  </si>
  <si>
    <t>DIPARTO.ABIA@SIG.ID</t>
  </si>
  <si>
    <t>TONASA 1 - JL.NENAS NO.12</t>
  </si>
  <si>
    <t>HASRIADI</t>
  </si>
  <si>
    <t>42025101411</t>
  </si>
  <si>
    <t>HASRIADI.4609@SIG.ID</t>
  </si>
  <si>
    <t>BUNGORO-SALEBBO, KEL SAPANANG</t>
  </si>
  <si>
    <t>ERWIN IDRIS, S.KM.</t>
  </si>
  <si>
    <t>42025101412</t>
  </si>
  <si>
    <t>ERWIN.IDRIS@SIG.ID</t>
  </si>
  <si>
    <t>JJL. A.CACO BTN TUMAMPUA PERMAI BLOK C NO.7</t>
  </si>
  <si>
    <t>TAJUDDIN NUR</t>
  </si>
  <si>
    <t>42025101413</t>
  </si>
  <si>
    <t>TAJUDDIN.NUR@SIG.ID</t>
  </si>
  <si>
    <t>MAROS-JL.JAMIL D6 PABUNDU NO 157</t>
  </si>
  <si>
    <t>M.TAHA</t>
  </si>
  <si>
    <t>42025101513</t>
  </si>
  <si>
    <t>M.TAHA4553@SIG.ID</t>
  </si>
  <si>
    <t>SALEBBO</t>
  </si>
  <si>
    <t>Salebbo RT/RW 004/003 Kelurahan Sapanang Kecamatan Bungoro,</t>
  </si>
  <si>
    <t>AZIS, S.KM.</t>
  </si>
  <si>
    <t>4102430500</t>
  </si>
  <si>
    <t>42025200310</t>
  </si>
  <si>
    <t>42025200</t>
  </si>
  <si>
    <t>Section of BKS Occupational Healt &amp; Saf.</t>
  </si>
  <si>
    <t>Section of BKS OHS</t>
  </si>
  <si>
    <t>AZIS4881@SIG.ID</t>
  </si>
  <si>
    <t>TONASA II - JL.GAJAH NO.32</t>
  </si>
  <si>
    <t>MUH.RIFAI M, AMD.</t>
  </si>
  <si>
    <t>42025201410</t>
  </si>
  <si>
    <t>42025201</t>
  </si>
  <si>
    <t>Group of BKS &amp; Other Facilities OHS</t>
  </si>
  <si>
    <t>MUH.RIFAI@SIG.ID</t>
  </si>
  <si>
    <t>ANDI RAHMAN</t>
  </si>
  <si>
    <t>42025201411</t>
  </si>
  <si>
    <t>ANDI.RAHMAN@SIG.ID</t>
  </si>
  <si>
    <t>TONASA 1 - MANGGA NO.17</t>
  </si>
  <si>
    <t>42025201412</t>
  </si>
  <si>
    <t>Group of BKS Facilities OHS</t>
  </si>
  <si>
    <t>M.ALI4968@SIG.ID</t>
  </si>
  <si>
    <t>PANGKAJENE-BTN   INDAH</t>
  </si>
  <si>
    <t>YUSUF RANDE</t>
  </si>
  <si>
    <t>42025201413</t>
  </si>
  <si>
    <t>YUSUF.RANDE@SIG.ID</t>
  </si>
  <si>
    <t>TONASA 2 JL. TARAWEANG NO.47</t>
  </si>
  <si>
    <t>MUHAMMAD SAHIR</t>
  </si>
  <si>
    <t>42025201511</t>
  </si>
  <si>
    <t>MUHAMMAD.SAHIR@SIG.ID</t>
  </si>
  <si>
    <t>MATHIUS.M</t>
  </si>
  <si>
    <t>42025201512</t>
  </si>
  <si>
    <t>MATHIUS.M@SIG.ID</t>
  </si>
  <si>
    <t>TONASA 2 - JL.ANOA 36</t>
  </si>
  <si>
    <t>AMAR MARUF</t>
  </si>
  <si>
    <t>42025500</t>
  </si>
  <si>
    <t>Staff of Permit &amp; OHS Equip Maintenance</t>
  </si>
  <si>
    <t>AMAR.MARUF@SIG.ID</t>
  </si>
  <si>
    <t>JL. CUMI-CUMI NO. 11 PANGKEP</t>
  </si>
  <si>
    <t>24</t>
  </si>
  <si>
    <t>SURYANTO MANURUNG, S.KM.</t>
  </si>
  <si>
    <t>42025500410</t>
  </si>
  <si>
    <t>SURYANTO.MANURUNG@SIG.ID</t>
  </si>
  <si>
    <t>Labuhanbatu Utara</t>
  </si>
  <si>
    <t>DUSUN EMPLASMEN</t>
  </si>
  <si>
    <t>IRWAN MAHARDIKA, AMD.</t>
  </si>
  <si>
    <t>42025500411</t>
  </si>
  <si>
    <t>IRWAN.MAHARDIKA@SIG.ID</t>
  </si>
  <si>
    <t>BENTENG</t>
  </si>
  <si>
    <t>JL.PENAS VII RACHITA RESIDENCE BLOK D NO 10 PALLATEANG</t>
  </si>
  <si>
    <t>STEVANUS BODRO WIBOWO, S.Si.</t>
  </si>
  <si>
    <t>42026000210</t>
  </si>
  <si>
    <t>42026000</t>
  </si>
  <si>
    <t>Unit of AFR &amp; Energy</t>
  </si>
  <si>
    <t>STEVANUS.BODRO@SIG.ID</t>
  </si>
  <si>
    <t>M.SAHRIR, S.Sos.</t>
  </si>
  <si>
    <t>42026100310</t>
  </si>
  <si>
    <t>42026100</t>
  </si>
  <si>
    <t>Staff of Coal Mixing Officer</t>
  </si>
  <si>
    <t>M.SAHRIR@SIG.ID</t>
  </si>
  <si>
    <t>SAINUDDIN</t>
  </si>
  <si>
    <t>42026101410</t>
  </si>
  <si>
    <t>42026101</t>
  </si>
  <si>
    <t>Group of Pile Plan &amp; Control</t>
  </si>
  <si>
    <t>SAINUDDIN@SIG.ID</t>
  </si>
  <si>
    <t>JL MAPPATUWO NO 6 DESA MAPPASAILE PANGKAJENE</t>
  </si>
  <si>
    <t>MUHAMMAD ARHAM ISNAN</t>
  </si>
  <si>
    <t>42026102410</t>
  </si>
  <si>
    <t>42026102</t>
  </si>
  <si>
    <t>Group of Coal MIx Quality Control</t>
  </si>
  <si>
    <t>ARHAM.ISNAN@SIG.ID</t>
  </si>
  <si>
    <t>TONASA II - JL BANTENG NO.9</t>
  </si>
  <si>
    <t>MU'AMMAR AULADY, ST.</t>
  </si>
  <si>
    <t>42026200310</t>
  </si>
  <si>
    <t>42026200</t>
  </si>
  <si>
    <t>Staff of Energy</t>
  </si>
  <si>
    <t>MUAMMAR.AULADY@SIG.ID</t>
  </si>
  <si>
    <t>TONASA 2 - JL MACAN NO.21</t>
  </si>
  <si>
    <t>SIGIT PRIHATIN, ST.</t>
  </si>
  <si>
    <t>42026200320</t>
  </si>
  <si>
    <t>Staff of Energy Thermal</t>
  </si>
  <si>
    <t>SIGIT.PRIHATIN@SIG.ID</t>
  </si>
  <si>
    <t>GOWA-DESA TANGKE BAJENG, SUNG.MNS,</t>
  </si>
  <si>
    <t>AZTAR AZIS, ST.</t>
  </si>
  <si>
    <t>42026200330</t>
  </si>
  <si>
    <t>AZTAR.AZIS@SIG.ID</t>
  </si>
  <si>
    <t>BTN Antang Jaya ,  ,</t>
  </si>
  <si>
    <t>SYAMSUPRIADI, S.Si.</t>
  </si>
  <si>
    <t>42026300310</t>
  </si>
  <si>
    <t>42026300</t>
  </si>
  <si>
    <t>Section of AFR &amp; 3rd Material</t>
  </si>
  <si>
    <t>SYAMSUPRIADI@SIG.ID</t>
  </si>
  <si>
    <t>JL. MERDEKA</t>
  </si>
  <si>
    <t>UDIN IBRAHIM, ST.</t>
  </si>
  <si>
    <t>42026303411</t>
  </si>
  <si>
    <t>42026303</t>
  </si>
  <si>
    <t>Group of AFR &amp; 3rd Material (Shift)</t>
  </si>
  <si>
    <t>UDIN.IBRAHIM@SIG.ID</t>
  </si>
  <si>
    <t>PANGKAJENE PANGKEP</t>
  </si>
  <si>
    <t>ABD.RAHMAN.A</t>
  </si>
  <si>
    <t>42026303412</t>
  </si>
  <si>
    <t>ABD.RAHMAN4957@SIG.ID</t>
  </si>
  <si>
    <t>TONASA 1 - JL.JAMBU NO.12</t>
  </si>
  <si>
    <t>M.RIVAI.AP</t>
  </si>
  <si>
    <t>42026303413</t>
  </si>
  <si>
    <t>M.RIVAI@SIG.ID</t>
  </si>
  <si>
    <t>TONASA 1 JL. GARUDA NO.35</t>
  </si>
  <si>
    <t>ARIZAL BAKRI, ST.</t>
  </si>
  <si>
    <t>42026303510</t>
  </si>
  <si>
    <t>ARIZAL.BAKRI@SIG.ID</t>
  </si>
  <si>
    <t>TONASA 2 - JL. SERIGALA NO.64</t>
  </si>
  <si>
    <t>SUKARJONO</t>
  </si>
  <si>
    <t>42026400311</t>
  </si>
  <si>
    <t>42026400</t>
  </si>
  <si>
    <t>Staff of AFR</t>
  </si>
  <si>
    <t>SUKARJONO@SIG.ID</t>
  </si>
  <si>
    <t>JL CENDANA TIMUR RT/01/  RW01 KEL PADDOANG -DOANGAN</t>
  </si>
  <si>
    <t>NUR AZIZAH SETYARINI, AMD.</t>
  </si>
  <si>
    <t>42026400312</t>
  </si>
  <si>
    <t>NUR.AZIZAH@SIG.ID</t>
  </si>
  <si>
    <t>Kendal</t>
  </si>
  <si>
    <t>BTN Pondok Asri 1 Blok B4/2 Kel Bakung, Kec Biringkanaya</t>
  </si>
  <si>
    <t>ARI N.K. TRI MAHESTHI, ST.</t>
  </si>
  <si>
    <t>4102300000</t>
  </si>
  <si>
    <t>42030000110</t>
  </si>
  <si>
    <t>42030000</t>
  </si>
  <si>
    <t>Dept. of Clinker &amp; Cement Production</t>
  </si>
  <si>
    <t>Departemen Produksi</t>
  </si>
  <si>
    <t>ARI.MAHESTHI@SIG.ID</t>
  </si>
  <si>
    <t>TONASA 2 - JL FLAMBOYAN F/2</t>
  </si>
  <si>
    <t>MUH.MUSAFIR, ST.</t>
  </si>
  <si>
    <t>4102210000</t>
  </si>
  <si>
    <t>42031000210</t>
  </si>
  <si>
    <t>42031000</t>
  </si>
  <si>
    <t>Unit of Derivative Product  &amp; Supporting</t>
  </si>
  <si>
    <t>Unit Derivative Prod</t>
  </si>
  <si>
    <t>MUH.MUSAFIR@SIG.ID</t>
  </si>
  <si>
    <t>WIBOWO, SE.</t>
  </si>
  <si>
    <t>4102210400</t>
  </si>
  <si>
    <t>42031100310</t>
  </si>
  <si>
    <t>42031100</t>
  </si>
  <si>
    <t>Section of Product Ctr. Compliance &amp; SLA</t>
  </si>
  <si>
    <t>Sec Prod Cont Com</t>
  </si>
  <si>
    <t>WIBOWO@SIG.ID</t>
  </si>
  <si>
    <t>KADIR</t>
  </si>
  <si>
    <t>42031101410</t>
  </si>
  <si>
    <t>42031101</t>
  </si>
  <si>
    <t>Group of Clinker &amp; Cement Supporting</t>
  </si>
  <si>
    <t>KADIR@SIG.ID</t>
  </si>
  <si>
    <t>TONASA 2 - JL.GAJAH NO.3</t>
  </si>
  <si>
    <t>ARDILA BAYU FIRDAUS, SE.</t>
  </si>
  <si>
    <t>42031102410</t>
  </si>
  <si>
    <t>42031102</t>
  </si>
  <si>
    <t>Group of Clinker &amp; SLA Management</t>
  </si>
  <si>
    <t>ARDILA.FIRDAUS@SIG.ID</t>
  </si>
  <si>
    <t>TONASA 1 JL. GARUDA No. 38</t>
  </si>
  <si>
    <t>NASARUDDIN, SE.</t>
  </si>
  <si>
    <t>4102210100</t>
  </si>
  <si>
    <t>42031200310</t>
  </si>
  <si>
    <t>42031200</t>
  </si>
  <si>
    <t>Section of Derivative Prod. &amp; Opr. 2/3</t>
  </si>
  <si>
    <t>Sec Derivative Prod</t>
  </si>
  <si>
    <t>NASARUDDIN.5133@SIG.ID</t>
  </si>
  <si>
    <t>TONASA 2 - JL.MACAN NO.40</t>
  </si>
  <si>
    <t>MUSTADIR</t>
  </si>
  <si>
    <t>42031201410</t>
  </si>
  <si>
    <t>42031201</t>
  </si>
  <si>
    <t>Staff of Line 2/3 CCR RKC (Shift)</t>
  </si>
  <si>
    <t>MUSTADIR@SIG.ID</t>
  </si>
  <si>
    <t>TONASA 2 JL.SERIGALA NO.10</t>
  </si>
  <si>
    <t>42031203410</t>
  </si>
  <si>
    <t>42031203</t>
  </si>
  <si>
    <t>Group of Line 2/3 RM Field (Shift)</t>
  </si>
  <si>
    <t>BURHANUDDIN.4752@SIG.ID</t>
  </si>
  <si>
    <t>TONASA 1 - JL.DAHLIA NO.53</t>
  </si>
  <si>
    <t>ARIFIN.R</t>
  </si>
  <si>
    <t>42031204410</t>
  </si>
  <si>
    <t>42031204</t>
  </si>
  <si>
    <t>ARIFIN.R@SIG.ID</t>
  </si>
  <si>
    <t>TONASA 1- JL GARUDA NO.19</t>
  </si>
  <si>
    <t>MUH.SARWI</t>
  </si>
  <si>
    <t>42031205510</t>
  </si>
  <si>
    <t>42031205</t>
  </si>
  <si>
    <t>MUH.SARWI@SIG.ID</t>
  </si>
  <si>
    <t>MAKASSAR-JL.PACCINANG RAYA 3 NO.54C</t>
  </si>
  <si>
    <t>HAMZAH GAMMA</t>
  </si>
  <si>
    <t>42031205511</t>
  </si>
  <si>
    <t>HAMZAH.GAMMA@SIG.ID</t>
  </si>
  <si>
    <t>FAIZAL TANJUNG</t>
  </si>
  <si>
    <t>42031206510</t>
  </si>
  <si>
    <t>42031206</t>
  </si>
  <si>
    <t>Staff of Line 2/3 RKC Autonomous</t>
  </si>
  <si>
    <t>FAIZAL.TANJUNG@SIG.ID</t>
  </si>
  <si>
    <t>JL. SUKOWATI NO. 45  PANGKAJENE</t>
  </si>
  <si>
    <t>MUHSIN</t>
  </si>
  <si>
    <t>42031207410</t>
  </si>
  <si>
    <t>42031207</t>
  </si>
  <si>
    <t>Group of Operation RKC 2/3</t>
  </si>
  <si>
    <t>MUHSIN@SIG.ID</t>
  </si>
  <si>
    <t>IRWAN</t>
  </si>
  <si>
    <t>42031207413</t>
  </si>
  <si>
    <t>IRWAN@SIG.ID</t>
  </si>
  <si>
    <t>TONASA 2 - JL.GAJAH NO.52</t>
  </si>
  <si>
    <t>YOHANIS LT., AMD.</t>
  </si>
  <si>
    <t>42031208410</t>
  </si>
  <si>
    <t>42031208</t>
  </si>
  <si>
    <t>Group of Operation BIP</t>
  </si>
  <si>
    <t>YOHANIS.LT@SIG.ID</t>
  </si>
  <si>
    <t>TONASA 1 - JL.MANGGA NO.14</t>
  </si>
  <si>
    <t>SAHIDE</t>
  </si>
  <si>
    <t>42031208411</t>
  </si>
  <si>
    <t>SAHIDE@SIG.ID</t>
  </si>
  <si>
    <t>TONASA I JL.MANGEMBA</t>
  </si>
  <si>
    <t>ABD.MAJID S.</t>
  </si>
  <si>
    <t>42031208412</t>
  </si>
  <si>
    <t>ABD.MAJID@SIG.ID</t>
  </si>
  <si>
    <t>TONASA 1 - JL.DAHLIA NO.28</t>
  </si>
  <si>
    <t>MUHAMMAD DANIAL</t>
  </si>
  <si>
    <t>42031208413</t>
  </si>
  <si>
    <t>MUHAMMAD.DANIAL@SIG.ID</t>
  </si>
  <si>
    <t>BOWANG CINDEA</t>
  </si>
  <si>
    <t>BOWONG CINDEA</t>
  </si>
  <si>
    <t>MUHAMMAD ANHAR R., S.Pd.</t>
  </si>
  <si>
    <t>42031209410</t>
  </si>
  <si>
    <t>42031209</t>
  </si>
  <si>
    <t>Group of Autonomous</t>
  </si>
  <si>
    <t>MUHAMMAD.ANHAR@SIG.ID</t>
  </si>
  <si>
    <t>KEL. BALOCCI BARU KEC. BALOCCI PANGKEP</t>
  </si>
  <si>
    <t>ABRAHAM PALADANG</t>
  </si>
  <si>
    <t>42031209411</t>
  </si>
  <si>
    <t>ABRAHAM.PALADANG@SIG.ID</t>
  </si>
  <si>
    <t>PANGKAJENE-KOMP  I JL ANOA 19</t>
  </si>
  <si>
    <t>LAMASI SIGIRA</t>
  </si>
  <si>
    <t>42031211410</t>
  </si>
  <si>
    <t>42031211</t>
  </si>
  <si>
    <t>Group of Line 2/3 Kiln Field (Shift)</t>
  </si>
  <si>
    <t>LAMASI.SIGIRA@SIG.ID</t>
  </si>
  <si>
    <t>RAHA</t>
  </si>
  <si>
    <t>TONASA 1 - JL.DURIAN NO.8</t>
  </si>
  <si>
    <t>IRVAN AFANDI</t>
  </si>
  <si>
    <t>42031211510</t>
  </si>
  <si>
    <t>IRVAN.AFANDI@SIG.ID</t>
  </si>
  <si>
    <t>Bogor (kota)</t>
  </si>
  <si>
    <t>JL.CENDANA TIMUR PANGKEP</t>
  </si>
  <si>
    <t>M.RUSLI A.RASYID</t>
  </si>
  <si>
    <t>42031214510</t>
  </si>
  <si>
    <t>42031214</t>
  </si>
  <si>
    <t>Group of Line 2/3Trass (Shift)</t>
  </si>
  <si>
    <t>RUSLI.RASYID@SIG.ID</t>
  </si>
  <si>
    <t>SUKRY</t>
  </si>
  <si>
    <t>42031216410</t>
  </si>
  <si>
    <t>42031216</t>
  </si>
  <si>
    <t>Group of Line 2/3 Trass Dryer (Shift)</t>
  </si>
  <si>
    <t>M.SYUKRI@SIG.ID</t>
  </si>
  <si>
    <t>KATAPANG (BUNGORO)</t>
  </si>
  <si>
    <t>M.ALI.HS</t>
  </si>
  <si>
    <t>42031216512</t>
  </si>
  <si>
    <t>M.ALI4782@SIG.ID</t>
  </si>
  <si>
    <t>JL.CENDANA I NO. 3 MINASA TENE</t>
  </si>
  <si>
    <t>AGUS SINA</t>
  </si>
  <si>
    <t>42031216513</t>
  </si>
  <si>
    <t>AGUS.SINA@SIG.ID</t>
  </si>
  <si>
    <t>PANGKAJENE-JL.CENDRAWASIH  /21</t>
  </si>
  <si>
    <t>ALBAR BUDIMAN, ST.</t>
  </si>
  <si>
    <t>4102220000</t>
  </si>
  <si>
    <t>42032000210</t>
  </si>
  <si>
    <t>42032000</t>
  </si>
  <si>
    <t>Unit of Clinker Production</t>
  </si>
  <si>
    <t>Unit Clinker Product</t>
  </si>
  <si>
    <t>ALBAR.BUDIMAN@SIG.ID</t>
  </si>
  <si>
    <t>JL.KELAPA HIJAU O/11 - TONASA II</t>
  </si>
  <si>
    <t>WAHYU A.R., S.Sos.</t>
  </si>
  <si>
    <t>4102220200</t>
  </si>
  <si>
    <t>42032100310</t>
  </si>
  <si>
    <t>42032100</t>
  </si>
  <si>
    <t>Section of Line 4 RKC Operation</t>
  </si>
  <si>
    <t>Seksi Operasi RKC 4</t>
  </si>
  <si>
    <t>WAHYU.A@SIG.ID</t>
  </si>
  <si>
    <t>TONASA 2 - JL.GAJAH NO.1</t>
  </si>
  <si>
    <t>AHMAD.H</t>
  </si>
  <si>
    <t>42032102411</t>
  </si>
  <si>
    <t>42032102</t>
  </si>
  <si>
    <t>Group of Line 4 RM Field</t>
  </si>
  <si>
    <t>AHMAD.H@SIG.ID</t>
  </si>
  <si>
    <t>FIAM REZKA RAMADHAN</t>
  </si>
  <si>
    <t>42032102412</t>
  </si>
  <si>
    <t>FIAM.RAMADHAN@SIG.ID</t>
  </si>
  <si>
    <t>TONASA 2 - JL.MAWAR 7</t>
  </si>
  <si>
    <t>AMIRUDDIN.S</t>
  </si>
  <si>
    <t>42032102413</t>
  </si>
  <si>
    <t>AMIRUDDIN.S@SIG.ID</t>
  </si>
  <si>
    <t>SMP/Setingkat</t>
  </si>
  <si>
    <t>MAROS REGENCY CJ NO 6 RT 2/RW 2 TURIKALE</t>
  </si>
  <si>
    <t>ADE SANJAYA</t>
  </si>
  <si>
    <t>42032102414</t>
  </si>
  <si>
    <t>ADE.SANJAYA@SIG.ID</t>
  </si>
  <si>
    <t>TONASA 2 - JL TUPAI NO.20</t>
  </si>
  <si>
    <t>IBRAHIM.K</t>
  </si>
  <si>
    <t>42032102511</t>
  </si>
  <si>
    <t>IBRAHIM.K@SIG.ID</t>
  </si>
  <si>
    <t>TONASA 1 - JL.MAWAR NO.51</t>
  </si>
  <si>
    <t>ALIMUDDIN R.</t>
  </si>
  <si>
    <t>42032104511</t>
  </si>
  <si>
    <t>42032104</t>
  </si>
  <si>
    <t>Group of Line 4 RM Field C</t>
  </si>
  <si>
    <t>ALIMUDDIN.R4756@SIG.ID</t>
  </si>
  <si>
    <t>TONASA 1 - JL.MANGEMBA NO.2</t>
  </si>
  <si>
    <t>SAHABUDDIN</t>
  </si>
  <si>
    <t>42032106410</t>
  </si>
  <si>
    <t>42032106</t>
  </si>
  <si>
    <t>Group of CCR RKC &amp; Trass Dryer 4</t>
  </si>
  <si>
    <t>SAHABUDDIN.4964@SIG.ID</t>
  </si>
  <si>
    <t>BUNGORO-BTN   INDAH BARU  D2/7</t>
  </si>
  <si>
    <t>AKBAR, ST.</t>
  </si>
  <si>
    <t>42032106411</t>
  </si>
  <si>
    <t>AKBAR.6073@SIG.ID</t>
  </si>
  <si>
    <t>DUSUN MARANA DESA MARANNU, KEC LAU,KAB.MAROS</t>
  </si>
  <si>
    <t>MUHAMMAD NASRUL, S.M.</t>
  </si>
  <si>
    <t>42032106412</t>
  </si>
  <si>
    <t>MUHAMMAD.NASRUL@SIG.ID</t>
  </si>
  <si>
    <t>BALOCCI BARU RT001/RW001, KELURAHAN BALOCCI BARU,KECAMATAN B</t>
  </si>
  <si>
    <t>ISKANDAR</t>
  </si>
  <si>
    <t>42032106413</t>
  </si>
  <si>
    <t>ISKANDAR.6100@SIG.ID</t>
  </si>
  <si>
    <t>TONASA 2 - JL DAHLIA NO.62</t>
  </si>
  <si>
    <t>ISMAIL SYARIF</t>
  </si>
  <si>
    <t>42032106414</t>
  </si>
  <si>
    <t>ISMAIL.SYARIF@SIG.ID</t>
  </si>
  <si>
    <t>KP.BALANG RT001/RW004, KELURAHAN BIRING ERE, KECAMATAN BUNGO</t>
  </si>
  <si>
    <t>JUSMEIDI MUHTAR</t>
  </si>
  <si>
    <t>42032106415</t>
  </si>
  <si>
    <t>JUSMEIDI.MUHTAR@SIG.ID</t>
  </si>
  <si>
    <t>JL.LIUBULOE WEKKE E NO 78 RT001/RW003 KEL LOMPOE KEC.BACUKIK</t>
  </si>
  <si>
    <t>AHMAD IKRAM DJAYA, SE.</t>
  </si>
  <si>
    <t>42032106416</t>
  </si>
  <si>
    <t>AHMAD.DJAYA@SIG.ID</t>
  </si>
  <si>
    <t>JL. ANDI MAPPE NO. 27 PANGKAJENE</t>
  </si>
  <si>
    <t>42032106417</t>
  </si>
  <si>
    <t>MUHAMMAD.IQBAL6279@SIG.ID</t>
  </si>
  <si>
    <t>PANGKAJENE DAN KEPULAUAN</t>
  </si>
  <si>
    <t>NURHAMDI</t>
  </si>
  <si>
    <t>42032106418</t>
  </si>
  <si>
    <t>NURHAMDI@SIG.ID</t>
  </si>
  <si>
    <t>JL. DR. RATULANGI VII B NO. 18</t>
  </si>
  <si>
    <t>AAN RAMJANI DAHLAN</t>
  </si>
  <si>
    <t>42032106419</t>
  </si>
  <si>
    <t>AAN.DAHLAN@SIG.ID</t>
  </si>
  <si>
    <t>TONASA 2 - JL.MACAN NO.7</t>
  </si>
  <si>
    <t>RICHARDO LUTHER M.</t>
  </si>
  <si>
    <t>42032106420</t>
  </si>
  <si>
    <t>RICHARDO.LUTHER@SIG.ID</t>
  </si>
  <si>
    <t>TONASA II - MACAN NO.1</t>
  </si>
  <si>
    <t>WAHYUDI</t>
  </si>
  <si>
    <t>42032106421</t>
  </si>
  <si>
    <t>WAHYUDI.6273@SIG.ID</t>
  </si>
  <si>
    <t>JL. KEADILAN RT 2/ RW 3 PABUNGDUKANG</t>
  </si>
  <si>
    <t>SUDARMIN S.</t>
  </si>
  <si>
    <t>42032107411</t>
  </si>
  <si>
    <t>42032107</t>
  </si>
  <si>
    <t>Group of Line 4 Kiln Field</t>
  </si>
  <si>
    <t>SUDARMIN.S@SIG.ID</t>
  </si>
  <si>
    <t>TONASA 2 - MACAN 30</t>
  </si>
  <si>
    <t>IRIANTO</t>
  </si>
  <si>
    <t>42032107412</t>
  </si>
  <si>
    <t>IRIANTO.6274@SIG.ID</t>
  </si>
  <si>
    <t>JL. COMPO TOMPONG RT. 02 RW. 06 TUMAMPUA KEC. PANGKAJENE</t>
  </si>
  <si>
    <t>UMAR ADAM</t>
  </si>
  <si>
    <t>42032107413</t>
  </si>
  <si>
    <t>UMAR.ADAM@SIG.ID</t>
  </si>
  <si>
    <t>MINASATENE</t>
  </si>
  <si>
    <t>JL.NANGKA RT004/003 MINASATENE</t>
  </si>
  <si>
    <t>A.HENRA PRAMANA</t>
  </si>
  <si>
    <t>42032107414</t>
  </si>
  <si>
    <t>AHENRA.PRAMANA@SIG.ID</t>
  </si>
  <si>
    <t>Jalan andi caco timur no.36 kecamatan Pangkajene</t>
  </si>
  <si>
    <t>MUHAMMAD ARIEF</t>
  </si>
  <si>
    <t>42032108410</t>
  </si>
  <si>
    <t>42032108</t>
  </si>
  <si>
    <t>Group of Line 4 Kiln Field (Shift) B</t>
  </si>
  <si>
    <t>MUHAMMAD.ARIEF@SIG.ID</t>
  </si>
  <si>
    <t>NAWIR NATSIR</t>
  </si>
  <si>
    <t>42032111411</t>
  </si>
  <si>
    <t>42032111</t>
  </si>
  <si>
    <t>Group of Line 4 Coal Mill Field</t>
  </si>
  <si>
    <t>NAWIR.NATSIR@SIG.ID</t>
  </si>
  <si>
    <t>TONASA I - JALAN DAHLIA NO.45</t>
  </si>
  <si>
    <t>42032111412</t>
  </si>
  <si>
    <t>HASRIADI.6242@SIG.ID</t>
  </si>
  <si>
    <t>PANRENRENG,KEC.SEGERI</t>
  </si>
  <si>
    <t>HERMAN HIDAYAT</t>
  </si>
  <si>
    <t>42032111413</t>
  </si>
  <si>
    <t>HERMAN.HIDAYAT@SIG.ID</t>
  </si>
  <si>
    <t>JL. MAWAR 38 T.I</t>
  </si>
  <si>
    <t>JUMAING</t>
  </si>
  <si>
    <t>42032111414</t>
  </si>
  <si>
    <t>JUMAING@SIG.ID</t>
  </si>
  <si>
    <t>TONASA 2 - JL SERIGALA NO.20</t>
  </si>
  <si>
    <t>SYAMSUL</t>
  </si>
  <si>
    <t>42032116410</t>
  </si>
  <si>
    <t>42032116</t>
  </si>
  <si>
    <t>Group of Line 4 RM Field Specialist</t>
  </si>
  <si>
    <t>SYAMSUL@SIG.ID</t>
  </si>
  <si>
    <t>PABBUNDUKANG</t>
  </si>
  <si>
    <t>ASRI AZIS</t>
  </si>
  <si>
    <t>42032116411</t>
  </si>
  <si>
    <t>ASRI.AZIS@SIG.ID</t>
  </si>
  <si>
    <t>Palu</t>
  </si>
  <si>
    <t>BUNGORO-  INDAH PERMAI  A/23</t>
  </si>
  <si>
    <t>KARNADI</t>
  </si>
  <si>
    <t>42032116412</t>
  </si>
  <si>
    <t>KARNADI@SIG.ID</t>
  </si>
  <si>
    <t>SELAYAR</t>
  </si>
  <si>
    <t>TONASA 2 - JL.COPPENG NO.1</t>
  </si>
  <si>
    <t>ABDULLAH</t>
  </si>
  <si>
    <t>ABDULLAH.4892@SIG.ID</t>
  </si>
  <si>
    <t>SELA</t>
  </si>
  <si>
    <t>MUSLIMIN MUNADIR, S.M.</t>
  </si>
  <si>
    <t>42032117410</t>
  </si>
  <si>
    <t>42032117</t>
  </si>
  <si>
    <t>Group of Line 4 KCM Field Specialist</t>
  </si>
  <si>
    <t>MUSLIMIN.MUNADIR@SIG.ID</t>
  </si>
  <si>
    <t>CIELELLANG</t>
  </si>
  <si>
    <t>Jl Gajah No 7 Tonasa 2</t>
  </si>
  <si>
    <t>SYAMSUL P.</t>
  </si>
  <si>
    <t>42032117411</t>
  </si>
  <si>
    <t>SYAMSUL.P@SIG.ID</t>
  </si>
  <si>
    <t>TONASA 1 - JL.JERUK NO.7</t>
  </si>
  <si>
    <t>MARKUS SULE</t>
  </si>
  <si>
    <t>42032117412</t>
  </si>
  <si>
    <t>MARKUS.SULE@SIG.ID</t>
  </si>
  <si>
    <t>TONASA 1 - JL.GARUDA NO.49</t>
  </si>
  <si>
    <t>M.AHMADI</t>
  </si>
  <si>
    <t>42032117413</t>
  </si>
  <si>
    <t>M.AHMADI@SIG.ID</t>
  </si>
  <si>
    <t>SAFRUDDIN HAERUDDIN, ST.</t>
  </si>
  <si>
    <t>4102240000</t>
  </si>
  <si>
    <t>42033600310</t>
  </si>
  <si>
    <t>42033600</t>
  </si>
  <si>
    <t>Section of Cement Production Coach</t>
  </si>
  <si>
    <t>Unit Produksi Semen</t>
  </si>
  <si>
    <t>SAFRUDDIN.HAERUDDIN@SIG.ID</t>
  </si>
  <si>
    <t>SOROAKO</t>
  </si>
  <si>
    <t>JL. LANRAKI PERUM D PALAPA CYBER RESIDENCE BLOK 15 C</t>
  </si>
  <si>
    <t>M.YASIN FAJRIN</t>
  </si>
  <si>
    <t>4102260200</t>
  </si>
  <si>
    <t>42032201410</t>
  </si>
  <si>
    <t>42032201</t>
  </si>
  <si>
    <t>Group of CCR RKC 5</t>
  </si>
  <si>
    <t>Seksi Operasi RKC 5</t>
  </si>
  <si>
    <t>MYASIN.FAJRIN@SIG.ID</t>
  </si>
  <si>
    <t>Jakarta Barat</t>
  </si>
  <si>
    <t>JL. CUMI-CUMI NO.17 KEL JAGONG KEC. PANGKAJENE</t>
  </si>
  <si>
    <t>MURSALIM</t>
  </si>
  <si>
    <t>42032201411</t>
  </si>
  <si>
    <t>MURSALIM@SIG.ID</t>
  </si>
  <si>
    <t>TONASA 1 - JL.JAMBU NO.7</t>
  </si>
  <si>
    <t>APRIANTO</t>
  </si>
  <si>
    <t>42032201412</t>
  </si>
  <si>
    <t>APRIANTO.6176@SIG.ID</t>
  </si>
  <si>
    <t>TONASA 1 - JL.GARUDA NO.48</t>
  </si>
  <si>
    <t>NASRI</t>
  </si>
  <si>
    <t>42032201413</t>
  </si>
  <si>
    <t>NASRI@SIG.ID</t>
  </si>
  <si>
    <t>BALANG DESA BIRING ERE</t>
  </si>
  <si>
    <t>42032201414</t>
  </si>
  <si>
    <t>IRWAN.6247@SIG.ID</t>
  </si>
  <si>
    <t>JL. POROS TONASA II NO. 23 KEL. SAMALEWA KEC. BUNGORO</t>
  </si>
  <si>
    <t>MUH.ARIF HIDAYAT</t>
  </si>
  <si>
    <t>42032201415</t>
  </si>
  <si>
    <t>MUHARIF.HIDAYAT@SIG.ID</t>
  </si>
  <si>
    <t>JL. PAJJAIANG,KEL.SUDIANG RAYA</t>
  </si>
  <si>
    <t>ANGGI SULISTYO</t>
  </si>
  <si>
    <t>42032201416</t>
  </si>
  <si>
    <t>ANGGI.SULISTYO@SIG.ID</t>
  </si>
  <si>
    <t>Blitar (kabupaten)</t>
  </si>
  <si>
    <t>JL.MAWAR NO. 20 TONASA I</t>
  </si>
  <si>
    <t>HASRUL, ST.</t>
  </si>
  <si>
    <t>42032201417</t>
  </si>
  <si>
    <t>HASRUL.6026@SIG.ID</t>
  </si>
  <si>
    <t>JUSMAN</t>
  </si>
  <si>
    <t>42032217410</t>
  </si>
  <si>
    <t>42032217</t>
  </si>
  <si>
    <t>Group of Line 5 RM Field</t>
  </si>
  <si>
    <t>JUSMAN@SIG.ID</t>
  </si>
  <si>
    <t>JLN. NENAS No. 8 TONASA I</t>
  </si>
  <si>
    <t>MUHAJIR K.</t>
  </si>
  <si>
    <t>42032217411</t>
  </si>
  <si>
    <t>MUHAJIR.K@SIG.ID</t>
  </si>
  <si>
    <t>BELAE KEL. BIRAENG KEC. MINASATANE KAB. PANGKEP</t>
  </si>
  <si>
    <t>SAMSUL BAHRI</t>
  </si>
  <si>
    <t>42032217412</t>
  </si>
  <si>
    <t>SAMSUL.BAHRI@SIG.ID</t>
  </si>
  <si>
    <t>JLN.DAHLIA No. 20 T. I</t>
  </si>
  <si>
    <t>WAHYU, ST.</t>
  </si>
  <si>
    <t>42032217413</t>
  </si>
  <si>
    <t>WAHYU.6063@SIG.ID</t>
  </si>
  <si>
    <t>JL.SERIGALA NO.29 - TONASA II</t>
  </si>
  <si>
    <t>DARWIS R.</t>
  </si>
  <si>
    <t>42032218410</t>
  </si>
  <si>
    <t>42032218</t>
  </si>
  <si>
    <t>Group of Line 5 Kiln Field</t>
  </si>
  <si>
    <t>DARWIS.R@SIG.ID</t>
  </si>
  <si>
    <t>JL. MAWAR No 14</t>
  </si>
  <si>
    <t>MUHAMMAD TAKBIR HABIBI</t>
  </si>
  <si>
    <t>42032218411</t>
  </si>
  <si>
    <t>MUHAMMAD.HABIBI@SIG.ID</t>
  </si>
  <si>
    <t>PACCELANG LORONG 6 KEL. ANRONG APPAKA PANGKEP</t>
  </si>
  <si>
    <t>MUHAMMAD TAUFIQ</t>
  </si>
  <si>
    <t>42032218412</t>
  </si>
  <si>
    <t>MUHAMMAD.TAUFIQ@SIG.ID</t>
  </si>
  <si>
    <t>JL. RIAJABBINENG KEL.BONTO-BONTO, KEC.MA'RANG KAB.PANGKEP</t>
  </si>
  <si>
    <t>RISMAN</t>
  </si>
  <si>
    <t>42032218413</t>
  </si>
  <si>
    <t>RISMAN@SIG.ID</t>
  </si>
  <si>
    <t>GATTA GATTARENG RT001/RW004, KELURAHAN. TARAWEANG, KECAMATAN</t>
  </si>
  <si>
    <t>HUTPARTO</t>
  </si>
  <si>
    <t>42032219410</t>
  </si>
  <si>
    <t>42032219</t>
  </si>
  <si>
    <t>Group of Line 5 Coal Mill Field</t>
  </si>
  <si>
    <t>HUTPARTO@SIG.ID</t>
  </si>
  <si>
    <t>HERWIN HARUNA</t>
  </si>
  <si>
    <t>42032219411</t>
  </si>
  <si>
    <t>HERWIN.HARUNA@SIG.ID</t>
  </si>
  <si>
    <t>KP. PADADAE KEL. MAPPASAILE KEC. PANGKAJENE</t>
  </si>
  <si>
    <t>AMRAN</t>
  </si>
  <si>
    <t>42032219412</t>
  </si>
  <si>
    <t>AMRAN.6189@SIG.ID</t>
  </si>
  <si>
    <t>JL. CEMPAKA KEL. MINASATENE KEC. MINASATENE</t>
  </si>
  <si>
    <t>NUR IHLAS YUSUF</t>
  </si>
  <si>
    <t>42032219413</t>
  </si>
  <si>
    <t>NUR.YUSUF@SIG.ID</t>
  </si>
  <si>
    <t>TONASA 1 - JL GARUDA NO.9</t>
  </si>
  <si>
    <t>MUHAMMAD IHSAN HATTA</t>
  </si>
  <si>
    <t>42032220410</t>
  </si>
  <si>
    <t>42032220</t>
  </si>
  <si>
    <t>Group of Line 5 RM Field Specialist</t>
  </si>
  <si>
    <t>MUHAMMAD.HATTA6049@SIG.ID</t>
  </si>
  <si>
    <t>ZUL FADLI, ST.</t>
  </si>
  <si>
    <t>42032220411</t>
  </si>
  <si>
    <t>ZUL.FADLI@SIG.ID</t>
  </si>
  <si>
    <t>PANGKAJENE-JL.MATAHARI</t>
  </si>
  <si>
    <t>42032220412</t>
  </si>
  <si>
    <t>AMIRULLAH.4996@SIG.ID</t>
  </si>
  <si>
    <t>TONASA II - JALAN GAJAH NO.39</t>
  </si>
  <si>
    <t>HUSAIRI</t>
  </si>
  <si>
    <t>42032220413</t>
  </si>
  <si>
    <t>HUSAIRI@SIG.ID</t>
  </si>
  <si>
    <t>TONASA 2 - JL.ANOA NO.09</t>
  </si>
  <si>
    <t>HARIS D.</t>
  </si>
  <si>
    <t>42032221411</t>
  </si>
  <si>
    <t>42032221</t>
  </si>
  <si>
    <t>Group of Line 5 KCM Field Specialist</t>
  </si>
  <si>
    <t>HARIS.D@SIG.ID</t>
  </si>
  <si>
    <t>BIRING ERE (BUNGORO)</t>
  </si>
  <si>
    <t>ZAINUDDIN S.</t>
  </si>
  <si>
    <t>42032221412</t>
  </si>
  <si>
    <t>ZAINUDDIN.S@SIG.ID</t>
  </si>
  <si>
    <t>BANTENG TONASA 2 JL.BANTENG NO.13</t>
  </si>
  <si>
    <t>WAHYUDI SANTOSO, S.Pd.</t>
  </si>
  <si>
    <t>WAHYUDI.SANTOSO@SIG.ID</t>
  </si>
  <si>
    <t>Sragen</t>
  </si>
  <si>
    <t>JL. PASAR IKAN NO. 27 BONTOKAPETTA 2 KEL. ALLEPOLEA KEC. LAU</t>
  </si>
  <si>
    <t>ALIMUDDIN S.</t>
  </si>
  <si>
    <t>42032221413</t>
  </si>
  <si>
    <t>ALIMUDDIN.S@SIG.ID</t>
  </si>
  <si>
    <t>ANDIKA SARLY TANDIRURA, AMD.</t>
  </si>
  <si>
    <t>4102220300</t>
  </si>
  <si>
    <t>42032300310</t>
  </si>
  <si>
    <t>42032300</t>
  </si>
  <si>
    <t>Section of Kiln Production Coach</t>
  </si>
  <si>
    <t>Sec Kiln Prod Coach</t>
  </si>
  <si>
    <t>ANDIKA.TANDIRURA@SIG.ID</t>
  </si>
  <si>
    <t>NANNA'</t>
  </si>
  <si>
    <t>TONASA II - JL.BANTENG NO.2A</t>
  </si>
  <si>
    <t>KISMAN</t>
  </si>
  <si>
    <t>42032301410</t>
  </si>
  <si>
    <t>42032301</t>
  </si>
  <si>
    <t>Staff of Autonomous Kiln &amp; CM 4/5</t>
  </si>
  <si>
    <t>KISMAN@SIG.ID</t>
  </si>
  <si>
    <t>BOLANO</t>
  </si>
  <si>
    <t>TONASA 2 - JL. ANOA NO.16</t>
  </si>
  <si>
    <t>42032301411</t>
  </si>
  <si>
    <t>MANSUR.4840@SIG.ID</t>
  </si>
  <si>
    <t>KP.BARU</t>
  </si>
  <si>
    <t>BUNGORO-BIRINGKASI DALAM</t>
  </si>
  <si>
    <t>ZULKIFLI DWI SEPTIAN ARDIANSYAH, ST.</t>
  </si>
  <si>
    <t>42032301412</t>
  </si>
  <si>
    <t>ZULKIFLI.ARDIANSYAH@SIG.ID</t>
  </si>
  <si>
    <t>JL. MATAHARI RT.001 RW.004 PADOANG DOANGAN</t>
  </si>
  <si>
    <t>INCE AZHAR BASIR, S.M</t>
  </si>
  <si>
    <t>42032301413</t>
  </si>
  <si>
    <t>INCE.BASIR@SIG.ID</t>
  </si>
  <si>
    <t>KP. JENNAE KEL. SAPANANG RT 003/RW 08 KEC.BUNGORO</t>
  </si>
  <si>
    <t>AKBAR</t>
  </si>
  <si>
    <t>42032301414</t>
  </si>
  <si>
    <t>AKBAR.5882@SIG.ID</t>
  </si>
  <si>
    <t>BTN HARCO INDAH BLOK 5C/13</t>
  </si>
  <si>
    <t>REZKY KUMBARA BASO</t>
  </si>
  <si>
    <t>42032301415</t>
  </si>
  <si>
    <t>REZKY.BASO@SIG.ID</t>
  </si>
  <si>
    <t>JL. FADELI LURAN NO. 5 BIRAENG KEC MINASATENE PANGKEP</t>
  </si>
  <si>
    <t>90</t>
  </si>
  <si>
    <t>AHMAD NOHONG</t>
  </si>
  <si>
    <t>42032301417</t>
  </si>
  <si>
    <t>AHMAD.NOHONG@SIG.ID</t>
  </si>
  <si>
    <t>Jl. Balang Tonasa II ,  ,</t>
  </si>
  <si>
    <t>EKO SUDARMANTO</t>
  </si>
  <si>
    <t>42032301418</t>
  </si>
  <si>
    <t>EKO.SUDARMANTO@SIG.ID</t>
  </si>
  <si>
    <t>ABDURRAHMAN</t>
  </si>
  <si>
    <t>42032301510</t>
  </si>
  <si>
    <t>ABDURRAHMAN@SIG.ID</t>
  </si>
  <si>
    <t>PRAJA ACHMAD ALKASAT</t>
  </si>
  <si>
    <t>42032301511</t>
  </si>
  <si>
    <t>PRAJA.ALKASAT@SIG.ID</t>
  </si>
  <si>
    <t>JL. PALAWIJA TALAKA KEL. KALABBIRANG KEC. MINASATENE</t>
  </si>
  <si>
    <t>DWI KURNIAWAN, ST., M.S.M</t>
  </si>
  <si>
    <t>42033000210</t>
  </si>
  <si>
    <t>42033000</t>
  </si>
  <si>
    <t>Unit of Cement Production</t>
  </si>
  <si>
    <t>DWI.KURNIAWAN@SIG.ID</t>
  </si>
  <si>
    <t>TONASA 2 - JL.CEMARA C/20</t>
  </si>
  <si>
    <t>ANTONIUS F.H. SUKMA, AMD.</t>
  </si>
  <si>
    <t>42033100310</t>
  </si>
  <si>
    <t>42033100</t>
  </si>
  <si>
    <t>Section of Line 2/3 FM Operation</t>
  </si>
  <si>
    <t>ANTONIUS.SUKMA@SIG.ID</t>
  </si>
  <si>
    <t>TONASA II - JL.GAJAH NO.37</t>
  </si>
  <si>
    <t>ASNUR</t>
  </si>
  <si>
    <t>42033101410</t>
  </si>
  <si>
    <t>42033101</t>
  </si>
  <si>
    <t>Staff of Line 2/3 CCR FM</t>
  </si>
  <si>
    <t>ASNUR@SIG.ID</t>
  </si>
  <si>
    <t>JL. KH. RAMLI NO.1</t>
  </si>
  <si>
    <t>HASBI SYAMSUDDIN, S.KM.</t>
  </si>
  <si>
    <t>42033101411</t>
  </si>
  <si>
    <t>HASBI.SYAMSUDDIN@SIG.ID</t>
  </si>
  <si>
    <t>PERUMAHAN CENDANA ABADI  L1/13</t>
  </si>
  <si>
    <t>42033101412</t>
  </si>
  <si>
    <t>HAMKA@SIG.ID</t>
  </si>
  <si>
    <t>LEANGE RT 002/RW 007 KEL MANGALEKANA KEC LABAKKANG</t>
  </si>
  <si>
    <t>SULAEMAN</t>
  </si>
  <si>
    <t>42033101413</t>
  </si>
  <si>
    <t>SULAEMAN@SIG.ID</t>
  </si>
  <si>
    <t>TONASA 2 - JL MACAN MACAN NO.22</t>
  </si>
  <si>
    <t>SYAFRUDDIN, SE.</t>
  </si>
  <si>
    <t>42033102</t>
  </si>
  <si>
    <t>Group of Line 2/3 FM Field (Shift)</t>
  </si>
  <si>
    <t>SYAFRUDDIN.4989@SIG.ID</t>
  </si>
  <si>
    <t>MAKASSAR-BTN BPS  H1 NO.7</t>
  </si>
  <si>
    <t>42033103410</t>
  </si>
  <si>
    <t>42033103</t>
  </si>
  <si>
    <t>AMIRULLAH.4818@SIG.ID</t>
  </si>
  <si>
    <t>BADRI.S</t>
  </si>
  <si>
    <t>42033104410</t>
  </si>
  <si>
    <t>42033104</t>
  </si>
  <si>
    <t>BADRI.S@SIG.ID</t>
  </si>
  <si>
    <t>PANGKAJENE-JL.MAPATUO, KEL.PAKBUNDUKANG</t>
  </si>
  <si>
    <t>MUHAMMAD SUBAIR</t>
  </si>
  <si>
    <t>42033107410</t>
  </si>
  <si>
    <t>42033107</t>
  </si>
  <si>
    <t>Group of Line 2/3 FM Field</t>
  </si>
  <si>
    <t>MUHAMMAD.SUBAIR@SIG.ID</t>
  </si>
  <si>
    <t>JL.KH.ABDUL JALIL BONTO PERAK (PANGKEP)</t>
  </si>
  <si>
    <t>MUHAMMAD FAUSI, ST.</t>
  </si>
  <si>
    <t>42033200310</t>
  </si>
  <si>
    <t>42033200</t>
  </si>
  <si>
    <t>Section of Line 4 Finish Mill Operation</t>
  </si>
  <si>
    <t>MUHAMMAD.FAUSI@SIG.ID</t>
  </si>
  <si>
    <t>TOHIRIN</t>
  </si>
  <si>
    <t>42033201410</t>
  </si>
  <si>
    <t>42033201</t>
  </si>
  <si>
    <t>Staff of Line 4 CCR FM</t>
  </si>
  <si>
    <t>TOHIRIN@SIG.ID</t>
  </si>
  <si>
    <t>AHMAD</t>
  </si>
  <si>
    <t>42033201411</t>
  </si>
  <si>
    <t>AHMAD.5877@SIG.ID</t>
  </si>
  <si>
    <t>SELA DS MANGILU KEC. BUNGORO</t>
  </si>
  <si>
    <t>ABD.AZIS, ST.</t>
  </si>
  <si>
    <t>42033201412</t>
  </si>
  <si>
    <t>ABDAZIS@SIG.ID</t>
  </si>
  <si>
    <t>JL. ANDI TONRO 2 NO.35</t>
  </si>
  <si>
    <t>MUH.RUSLAN HT.</t>
  </si>
  <si>
    <t>42033201413</t>
  </si>
  <si>
    <t>MUHRUSLAN.HT@SIG.ID</t>
  </si>
  <si>
    <t>BULU-BULU</t>
  </si>
  <si>
    <t>BULU-BULU RT001/RW001 KELURAHAN BULU CINDEA, KECAMATAN BUNGO</t>
  </si>
  <si>
    <t>JOHN.B</t>
  </si>
  <si>
    <t>42033202410</t>
  </si>
  <si>
    <t>42033202</t>
  </si>
  <si>
    <t>Group of Line 4 FM Field</t>
  </si>
  <si>
    <t>JOHN.B@SIG.ID</t>
  </si>
  <si>
    <t>GANDANG BATU</t>
  </si>
  <si>
    <t>TONASA JL.SERIGALA NO.54 T.2</t>
  </si>
  <si>
    <t>RAMLAN</t>
  </si>
  <si>
    <t>42033203410</t>
  </si>
  <si>
    <t>42033203</t>
  </si>
  <si>
    <t>RAMLAN@SIG.ID</t>
  </si>
  <si>
    <t>TONASA 1 - JL.DURIAN NO.4</t>
  </si>
  <si>
    <t>HASBI</t>
  </si>
  <si>
    <t>42033204410</t>
  </si>
  <si>
    <t>42033204</t>
  </si>
  <si>
    <t>HASBI.5130@SIG.ID</t>
  </si>
  <si>
    <t>ABD.ASIS M.</t>
  </si>
  <si>
    <t>42033208410</t>
  </si>
  <si>
    <t>42033208</t>
  </si>
  <si>
    <t>ABD.ASIS@SIG.ID</t>
  </si>
  <si>
    <t>MUH.RISAL</t>
  </si>
  <si>
    <t>42033209410</t>
  </si>
  <si>
    <t>42033209</t>
  </si>
  <si>
    <t>Group of Drier Trass Mill 4</t>
  </si>
  <si>
    <t>MUHRISAL@SIG.ID</t>
  </si>
  <si>
    <t>TONASA 2 - JL SERIGALA NO.13</t>
  </si>
  <si>
    <t>MUCHLIS</t>
  </si>
  <si>
    <t>42033209411</t>
  </si>
  <si>
    <t>MUCHLIS.4755@SIG.ID</t>
  </si>
  <si>
    <t>MUH.ALWI S.</t>
  </si>
  <si>
    <t>42033209412</t>
  </si>
  <si>
    <t>MUHALWI.S@SIG.ID</t>
  </si>
  <si>
    <t>ASHAR AGUS RIZANDY</t>
  </si>
  <si>
    <t>42033209413</t>
  </si>
  <si>
    <t>ASHAR.RIZANDY@SIG.ID</t>
  </si>
  <si>
    <t>TONASA 2 - JL SERIGALA NO.33</t>
  </si>
  <si>
    <t>ILYASUSANTO, ST.</t>
  </si>
  <si>
    <t>42033300310</t>
  </si>
  <si>
    <t>42033300</t>
  </si>
  <si>
    <t>Section of Line 5 Finish Mill Operation</t>
  </si>
  <si>
    <t>ILYASUSANTO@SIG.ID</t>
  </si>
  <si>
    <t>TONASA 2 - JL.PALEM KOL N/5</t>
  </si>
  <si>
    <t>ASRIADI</t>
  </si>
  <si>
    <t>42033301411</t>
  </si>
  <si>
    <t>42033301</t>
  </si>
  <si>
    <t>Staff of Line 5 CCR FM</t>
  </si>
  <si>
    <t>ASRIADI.6115@SIG.ID</t>
  </si>
  <si>
    <t>TONDONGKURA</t>
  </si>
  <si>
    <t>JL. BANGAU NO. 40 BALOCCI</t>
  </si>
  <si>
    <t>FIRMAN USMAN, S.Pd.</t>
  </si>
  <si>
    <t>42033301412</t>
  </si>
  <si>
    <t>FIRMAN.USMAN@SIG.ID</t>
  </si>
  <si>
    <t>PERUMAHAN BIP KATAPANG BLOK E1 NO. 13</t>
  </si>
  <si>
    <t>BAGUS IMAM PRATOMO</t>
  </si>
  <si>
    <t>42033301413</t>
  </si>
  <si>
    <t>BAGUS.PRATOMO@SIG.ID</t>
  </si>
  <si>
    <t>JL. GARUDA NO.18 TONASA 1 KEC.BALOCCI</t>
  </si>
  <si>
    <t>ARMAN DANI UNTUNG</t>
  </si>
  <si>
    <t>42033301414</t>
  </si>
  <si>
    <t>ARMAN.UNTUNG@SIG.ID</t>
  </si>
  <si>
    <t>JL. BOLU, KEL. TUMAMPUA 1</t>
  </si>
  <si>
    <t>42033302410</t>
  </si>
  <si>
    <t>42033302</t>
  </si>
  <si>
    <t>Group of Line 5 FM Field</t>
  </si>
  <si>
    <t>ABDUL.RAHMAN5889@SIG.ID</t>
  </si>
  <si>
    <t>JL.SILORO DESA MANGILU</t>
  </si>
  <si>
    <t>YUSMAN</t>
  </si>
  <si>
    <t>42033303410</t>
  </si>
  <si>
    <t>42033303</t>
  </si>
  <si>
    <t>YUSMAN.4764@SIG.ID</t>
  </si>
  <si>
    <t>JL. SERIGALA NO.16</t>
  </si>
  <si>
    <t>SYAMSUL BAHRI S.</t>
  </si>
  <si>
    <t>42033304410</t>
  </si>
  <si>
    <t>42033304</t>
  </si>
  <si>
    <t>SYAMSUL.BAHRI4753@SIG.ID</t>
  </si>
  <si>
    <t>BTN BUNGORO INDAH BARU KEL SAMALEWA KEC BUNGORO</t>
  </si>
  <si>
    <t>RICHARDSON</t>
  </si>
  <si>
    <t>42033305410</t>
  </si>
  <si>
    <t>42033305</t>
  </si>
  <si>
    <t>RICHARDSON@SIG.ID</t>
  </si>
  <si>
    <t>TONASA 2 - JL.ANOA 42</t>
  </si>
  <si>
    <t>MUHAMMAD NUR</t>
  </si>
  <si>
    <t>42033601410</t>
  </si>
  <si>
    <t>42033601</t>
  </si>
  <si>
    <t>Staff of Autonomous Finish Mill</t>
  </si>
  <si>
    <t>MUHAMMAD.NUR6218@SIG.ID</t>
  </si>
  <si>
    <t>TONASA 2 - BANTENG 10/A</t>
  </si>
  <si>
    <t>BAHRUN</t>
  </si>
  <si>
    <t>42033601411</t>
  </si>
  <si>
    <t>BAHRUN@SIG.ID</t>
  </si>
  <si>
    <t>MUH.ANZHARI ACHSAN</t>
  </si>
  <si>
    <t>42033601412</t>
  </si>
  <si>
    <t>MUHANZHARI.ACHSAN@SIG.ID</t>
  </si>
  <si>
    <t>JL. A. BURHANUDDIN NO.31 PANGKEP</t>
  </si>
  <si>
    <t>RUSLI, AMD.</t>
  </si>
  <si>
    <t>42033601413</t>
  </si>
  <si>
    <t>RUSLI.5965@SIG.ID</t>
  </si>
  <si>
    <t>KAMP.PALLABORENG, DESA PARENRENG, KEC.SEGERI PANGKEP</t>
  </si>
  <si>
    <t>IRVAN AFIAT.ST.,MM.,CSCA</t>
  </si>
  <si>
    <t>4102320200</t>
  </si>
  <si>
    <t>42042300310</t>
  </si>
  <si>
    <t>42053100</t>
  </si>
  <si>
    <t>Section of Line 4/5 RM Machine Maint</t>
  </si>
  <si>
    <t>Seksi Pemel. Mesin R</t>
  </si>
  <si>
    <t>IRVAN.AFIAT@SIG.ID</t>
  </si>
  <si>
    <t>TONASA 2 - JL.PALEM MERAH O/4</t>
  </si>
  <si>
    <t>MANAT L.SILITONGA, ST., MM.</t>
  </si>
  <si>
    <t>4102400000</t>
  </si>
  <si>
    <t>42050000110</t>
  </si>
  <si>
    <t>42050000</t>
  </si>
  <si>
    <t>Dept. of Maintenance</t>
  </si>
  <si>
    <t>Departemen Pemelihar</t>
  </si>
  <si>
    <t>MANAT.SILITONGA@SIG.ID</t>
  </si>
  <si>
    <t>LIMAU MANIS</t>
  </si>
  <si>
    <t>TONASA 2 - JL.DAHLIA D/12</t>
  </si>
  <si>
    <t>IHRAR NUZUL AZIS, ST.</t>
  </si>
  <si>
    <t>4102412000</t>
  </si>
  <si>
    <t>42052000210</t>
  </si>
  <si>
    <t>42052000</t>
  </si>
  <si>
    <t>Unit of Machine Maintenance 1</t>
  </si>
  <si>
    <t>Unit Pemel Mesin 1</t>
  </si>
  <si>
    <t>IHRAR.AZIS@SIG.ID</t>
  </si>
  <si>
    <t>EZRA, ST.</t>
  </si>
  <si>
    <t>4102270400</t>
  </si>
  <si>
    <t>42052300311</t>
  </si>
  <si>
    <t>42052300</t>
  </si>
  <si>
    <t>Section of Line 2/3 FM Machine Maint.</t>
  </si>
  <si>
    <t>Seksi Pemel. Mesin F</t>
  </si>
  <si>
    <t>EZRA@SIG.ID</t>
  </si>
  <si>
    <t>TONASA II - JALAN BANTENG NO.5</t>
  </si>
  <si>
    <t>42052301410</t>
  </si>
  <si>
    <t>42052301</t>
  </si>
  <si>
    <t>Group of Line 2/3 FM Mach PvM</t>
  </si>
  <si>
    <t>AMIRUDDIN.4717@SIG.ID</t>
  </si>
  <si>
    <t>Pinrang</t>
  </si>
  <si>
    <t>PANGKAJENE-JL.KASSI KEBO</t>
  </si>
  <si>
    <t>ZULFIKAR</t>
  </si>
  <si>
    <t>42052302410</t>
  </si>
  <si>
    <t>42052302</t>
  </si>
  <si>
    <t>Group of 2/3 FM Mach PdM&amp;PM Schedule</t>
  </si>
  <si>
    <t>ZULFIKAR@SIG.ID</t>
  </si>
  <si>
    <t>JL. DAHLIA No. 37 T.I</t>
  </si>
  <si>
    <t>MUHAMMAD RAHMAN</t>
  </si>
  <si>
    <t>42052302411</t>
  </si>
  <si>
    <t>MUHAMMAD.RAHMAN@SIG.ID</t>
  </si>
  <si>
    <t>JL. DAHLIA NO.70 BALOCCI PANGKEP</t>
  </si>
  <si>
    <t>ABD.SALAM</t>
  </si>
  <si>
    <t>4102320400</t>
  </si>
  <si>
    <t>42052400310</t>
  </si>
  <si>
    <t>42052400</t>
  </si>
  <si>
    <t>Section of Packer Machine Maint.</t>
  </si>
  <si>
    <t>Seksi Pemeliharaan M</t>
  </si>
  <si>
    <t>ABD.SALAM5117@SIG.ID</t>
  </si>
  <si>
    <t>TONASA 1 - JL.GARUDA NO.25</t>
  </si>
  <si>
    <t>AGUS.S</t>
  </si>
  <si>
    <t>42052400411</t>
  </si>
  <si>
    <t>42052404</t>
  </si>
  <si>
    <t>Group of Big Bulk Cement Packing</t>
  </si>
  <si>
    <t>AGUS.S@SIG.ID</t>
  </si>
  <si>
    <t>PANGKAJENE-KEL SAPANANG, KEC</t>
  </si>
  <si>
    <t>JOSEPH</t>
  </si>
  <si>
    <t>42052401410</t>
  </si>
  <si>
    <t>42052401</t>
  </si>
  <si>
    <t>Group of Plant Cement Silo Mach Maint</t>
  </si>
  <si>
    <t>JOSEPH@SIG.ID</t>
  </si>
  <si>
    <t>TORAJA</t>
  </si>
  <si>
    <t>JL. GAJAH NO. 49</t>
  </si>
  <si>
    <t>MUJAHID</t>
  </si>
  <si>
    <t>42052402410</t>
  </si>
  <si>
    <t>42052402</t>
  </si>
  <si>
    <t>Group of Line 2/3 Packer Machine Maint.</t>
  </si>
  <si>
    <t>MUJAHID@SIG.ID</t>
  </si>
  <si>
    <t>TONASA II - JL.MACAN NO.28</t>
  </si>
  <si>
    <t>42052403410</t>
  </si>
  <si>
    <t>42052403</t>
  </si>
  <si>
    <t>Group of Line 5 Packer Machine Maint.</t>
  </si>
  <si>
    <t>ALIMUDDIN.R5004@SIG.ID</t>
  </si>
  <si>
    <t>SAFRI</t>
  </si>
  <si>
    <t>42052405410</t>
  </si>
  <si>
    <t>42052405</t>
  </si>
  <si>
    <t>Group of Packer Mach Maint PdM &amp; PM Schd</t>
  </si>
  <si>
    <t>SAFRI.6034@SIG.ID</t>
  </si>
  <si>
    <t>TONASA 2 - JL.SERIGALA NO.40</t>
  </si>
  <si>
    <t>FIRMAN</t>
  </si>
  <si>
    <t>42052405411</t>
  </si>
  <si>
    <t>FIRMAN.6171@SIG.ID</t>
  </si>
  <si>
    <t>SELA DESA MANGILU KEC. BUNGORO</t>
  </si>
  <si>
    <t>KAHARUDDIN, AMD.</t>
  </si>
  <si>
    <t>4102130200</t>
  </si>
  <si>
    <t>42052500310</t>
  </si>
  <si>
    <t>42052500</t>
  </si>
  <si>
    <t>Section of Crusher Machine &amp; Conv Maint.</t>
  </si>
  <si>
    <t>Sec Crusher Mach&amp;Con</t>
  </si>
  <si>
    <t>KAHARUDDIN.5292@SIG.ID</t>
  </si>
  <si>
    <t>HILA-HILA</t>
  </si>
  <si>
    <t>SUARDI</t>
  </si>
  <si>
    <t>42052504410</t>
  </si>
  <si>
    <t>42052504</t>
  </si>
  <si>
    <t>Group of Troubleshooting LS CL SC 5</t>
  </si>
  <si>
    <t>SUARDI.5892@SIG.ID</t>
  </si>
  <si>
    <t>TAMANROJA DESA BATARA KEC. LABAKKANG KAB. PANGKEP</t>
  </si>
  <si>
    <t>SETIAWAN PUTRA</t>
  </si>
  <si>
    <t>42052504411</t>
  </si>
  <si>
    <t>SETIAWAN.PUTRA@SIG.ID</t>
  </si>
  <si>
    <t>JL. PENGHIBUR MAPPASAILE</t>
  </si>
  <si>
    <t>SHUBHAN ANAS</t>
  </si>
  <si>
    <t>42052505410</t>
  </si>
  <si>
    <t>42052505</t>
  </si>
  <si>
    <t>Group of Troubleshooting LS CL SC 2/3/4</t>
  </si>
  <si>
    <t>SHUBAN.ANAS@SIG.ID</t>
  </si>
  <si>
    <t>TONASA 2 JL.SERIGALA NO.28</t>
  </si>
  <si>
    <t>ANDRE L.G.TAPILOUW</t>
  </si>
  <si>
    <t>42052505411</t>
  </si>
  <si>
    <t>ANDRE.TAPILOUW@SIG.ID</t>
  </si>
  <si>
    <t>GALESONG</t>
  </si>
  <si>
    <t>TONASA 2 - JL.MACAN NO.34</t>
  </si>
  <si>
    <t>AGUS RIFANDY</t>
  </si>
  <si>
    <t>42052506410</t>
  </si>
  <si>
    <t>42052506</t>
  </si>
  <si>
    <t>Group of LS, CL, SL 5 PvM</t>
  </si>
  <si>
    <t>AGUS.RIFANDY@SIG.ID</t>
  </si>
  <si>
    <t>TONASA 2 - JL.GAJAH NO.20</t>
  </si>
  <si>
    <t>AKMAL HATAMAN</t>
  </si>
  <si>
    <t>42052507410</t>
  </si>
  <si>
    <t>42052507</t>
  </si>
  <si>
    <t>Group of LS, CL, SL 2/3/4 PdM &amp; PM</t>
  </si>
  <si>
    <t>AKMAL.HATAMAN@SIG.ID</t>
  </si>
  <si>
    <t>JL. POROS TONASA I GALUNG BOKO DESA KABBA</t>
  </si>
  <si>
    <t>RUDI SUSANTO</t>
  </si>
  <si>
    <t>42052508410</t>
  </si>
  <si>
    <t>42052508</t>
  </si>
  <si>
    <t>Group of LS, CL, SL 2/3/4 PvM</t>
  </si>
  <si>
    <t>RUDI.SUSANTO@SIG.ID</t>
  </si>
  <si>
    <t>TONASA 2 - JL.TUPAI NO.39</t>
  </si>
  <si>
    <t>ESRA KARRA' DUA, S.M.</t>
  </si>
  <si>
    <t>42052509410</t>
  </si>
  <si>
    <t>42052509</t>
  </si>
  <si>
    <t>Group of LS, CL, SL 5 PdM &amp; PM</t>
  </si>
  <si>
    <t>ESRA.DUA@SIG.ID</t>
  </si>
  <si>
    <t>SIBUNUAN</t>
  </si>
  <si>
    <t>TONASA 2-JL.BANTENG NO.10</t>
  </si>
  <si>
    <t>H. SYAHRUDDIN, SE.</t>
  </si>
  <si>
    <t>4102230100</t>
  </si>
  <si>
    <t>42052600310</t>
  </si>
  <si>
    <t>42052600</t>
  </si>
  <si>
    <t>Section of Line 2/3 RKC Machine Maint.</t>
  </si>
  <si>
    <t>Sec 23 RKC Mach Main</t>
  </si>
  <si>
    <t>SYAHRUDDIN.5064@SIG.ID</t>
  </si>
  <si>
    <t>BTN SAMALEWA B. 2 NO 1 PANGKEP</t>
  </si>
  <si>
    <t>42052601410</t>
  </si>
  <si>
    <t>42052601</t>
  </si>
  <si>
    <t>Staff of Line 2/3 RKC Mach. PvM, PdM&amp;PM</t>
  </si>
  <si>
    <t>M.NAWIR4860@SIG.ID</t>
  </si>
  <si>
    <t>TAMAN ROJA</t>
  </si>
  <si>
    <t>JAMAL</t>
  </si>
  <si>
    <t>42052601411</t>
  </si>
  <si>
    <t>JAMAL.6111@SIG.ID</t>
  </si>
  <si>
    <t>Tonasa 2 - Jl. Serigala 34</t>
  </si>
  <si>
    <t>RIZAL TAWANI</t>
  </si>
  <si>
    <t>42053101410</t>
  </si>
  <si>
    <t>42053101</t>
  </si>
  <si>
    <t>Group of Line 4 RM Mach PdM&amp;PM Schd</t>
  </si>
  <si>
    <t>RIZAL.TAWANI@SIG.ID</t>
  </si>
  <si>
    <t>TONASA 2 - JL TARAWEANG NO.17</t>
  </si>
  <si>
    <t>MUH.ALI</t>
  </si>
  <si>
    <t>42053101411</t>
  </si>
  <si>
    <t>MUHALI@SIG.ID</t>
  </si>
  <si>
    <t>SALEBBO RT03/RW03 SAPANANG BUNGORO</t>
  </si>
  <si>
    <t>KAMARUDIN, AMD.</t>
  </si>
  <si>
    <t>42053102410</t>
  </si>
  <si>
    <t>42053102</t>
  </si>
  <si>
    <t>Group of Line 4 RM Machine PvM</t>
  </si>
  <si>
    <t>KAMARUDIN.5397@SIG.ID</t>
  </si>
  <si>
    <t>WABULA</t>
  </si>
  <si>
    <t>TONASA 2-JL.TUPAI NO.35</t>
  </si>
  <si>
    <t>FIRMAN TEGUH, S.Pd.</t>
  </si>
  <si>
    <t>42053102411</t>
  </si>
  <si>
    <t>FIRMAN.TEGUH@SIG.ID</t>
  </si>
  <si>
    <t>LEPPANGENG KEL SAPANANG KEC BUNGORO</t>
  </si>
  <si>
    <t>SAHDAN HUSAIN</t>
  </si>
  <si>
    <t>4102320300</t>
  </si>
  <si>
    <t>42053104410</t>
  </si>
  <si>
    <t>42053104</t>
  </si>
  <si>
    <t>Group of Line 5 RM Mach PvM</t>
  </si>
  <si>
    <t>SAHDAN.HUSAIN@SIG.ID</t>
  </si>
  <si>
    <t>TONASA 2- JL BANTENG 6 A</t>
  </si>
  <si>
    <t>HERMAN NUR</t>
  </si>
  <si>
    <t>42053105410</t>
  </si>
  <si>
    <t>42053105</t>
  </si>
  <si>
    <t>Group of Line 5 RM Mach PdM&amp;PM Schd</t>
  </si>
  <si>
    <t>HERMAN.NUR@SIG.ID</t>
  </si>
  <si>
    <t>Malewang Timur , 002/003 , SAMALEWA</t>
  </si>
  <si>
    <t>RIZAL FAHRIZA S.</t>
  </si>
  <si>
    <t>42053105510</t>
  </si>
  <si>
    <t>RIZAL.FAHRIZA@SIG.ID</t>
  </si>
  <si>
    <t>JL. ANDI NAPING NO. 28 MALEWANG BARAT</t>
  </si>
  <si>
    <t>RAIS</t>
  </si>
  <si>
    <t>4102240200</t>
  </si>
  <si>
    <t>42053201410</t>
  </si>
  <si>
    <t>42053201</t>
  </si>
  <si>
    <t>Group of Line 4 Kiln&amp;CM Mach PdM&amp;PM Schd</t>
  </si>
  <si>
    <t>Seksi Pemel. Mesin K</t>
  </si>
  <si>
    <t>RAIS@SIG.ID</t>
  </si>
  <si>
    <t>JL.SULTAN HASANUDDIN KEL COPPO KEC BARRU</t>
  </si>
  <si>
    <t>RUDINI</t>
  </si>
  <si>
    <t>42053201411</t>
  </si>
  <si>
    <t>RUDINI@SIG.ID</t>
  </si>
  <si>
    <t>BU'NEA, KEL. KALABBIRANG,KEC.MINASATENE</t>
  </si>
  <si>
    <t>AWAL WAHID, S.Pd.</t>
  </si>
  <si>
    <t>42053201412</t>
  </si>
  <si>
    <t>AWAL.WAHID@SIG.ID</t>
  </si>
  <si>
    <t>BIRING ERE TONASA II</t>
  </si>
  <si>
    <t>YULIUS SANDA BIN S T.</t>
  </si>
  <si>
    <t>42053202410</t>
  </si>
  <si>
    <t>42053202</t>
  </si>
  <si>
    <t>Group of Line 4 Kiln &amp; CM Machine PvM</t>
  </si>
  <si>
    <t>YULIUS.BIN@SIG.ID</t>
  </si>
  <si>
    <t>TONASA 2 - JL.SERIGALA 6</t>
  </si>
  <si>
    <t>SUHERDI</t>
  </si>
  <si>
    <t>42053203410</t>
  </si>
  <si>
    <t>42053203</t>
  </si>
  <si>
    <t>Group of Line 5 Kiln&amp;CM Mach PdM&amp;PM Schd</t>
  </si>
  <si>
    <t>SUHERDI@SIG.ID</t>
  </si>
  <si>
    <t>KAMPUNG BARU , DESA BARA BATU KEC. LABAKKANG</t>
  </si>
  <si>
    <t>42053203411</t>
  </si>
  <si>
    <t>LUKMAN.6047@SIG.ID</t>
  </si>
  <si>
    <t>BORONG UNTIA RT/RW 002/006 DESA BIRING ERE KEC BUNGORO</t>
  </si>
  <si>
    <t>MUHAMMAD AKIL</t>
  </si>
  <si>
    <t>42053203412</t>
  </si>
  <si>
    <t>MUHAMMAD.AKIL@SIG.ID</t>
  </si>
  <si>
    <t>BOTTOE</t>
  </si>
  <si>
    <t>BOTTO KEL. PUNRANGA KEC. MA'ARANG</t>
  </si>
  <si>
    <t>JASMIN</t>
  </si>
  <si>
    <t>42053203413</t>
  </si>
  <si>
    <t>JASMIN@SIG.ID</t>
  </si>
  <si>
    <t>JL. MATAHARI PERUM RACHITA</t>
  </si>
  <si>
    <t>SYARIFUDDIN</t>
  </si>
  <si>
    <t>42053204410</t>
  </si>
  <si>
    <t>42053204</t>
  </si>
  <si>
    <t>Group of Line 5 Kiln &amp; CM Mach PvM</t>
  </si>
  <si>
    <t>SYARIFUDDIN.5865@SIG.ID</t>
  </si>
  <si>
    <t>TONASA 2 - JL.TARAWEANG 43</t>
  </si>
  <si>
    <t>ZAENAL</t>
  </si>
  <si>
    <t>Group of AFR Mach Maint</t>
  </si>
  <si>
    <t>ZAENAL.5947@SIG.ID</t>
  </si>
  <si>
    <t>JL.POROS TONASA II DESA CEMPAGE, KEL SAPANANG KEC. BUNGORO</t>
  </si>
  <si>
    <t>DAVID LAMASALAS, ST.</t>
  </si>
  <si>
    <t>42053204411</t>
  </si>
  <si>
    <t>DAVID.SALAS@SIG.ID</t>
  </si>
  <si>
    <t>Pekanbaru</t>
  </si>
  <si>
    <t>TONASA 2</t>
  </si>
  <si>
    <t>AKHMAD MIFTAKHUL ULUM, AMD.</t>
  </si>
  <si>
    <t>42053300310</t>
  </si>
  <si>
    <t>42053300</t>
  </si>
  <si>
    <t>Section of Line 4/5 FM Machine Maint</t>
  </si>
  <si>
    <t>AKHMAD.ULUM@SIG.ID</t>
  </si>
  <si>
    <t>Sidoarjo</t>
  </si>
  <si>
    <t>TONASA 2 - JL ANOA NO.34</t>
  </si>
  <si>
    <t>42053301410</t>
  </si>
  <si>
    <t>42053301</t>
  </si>
  <si>
    <t>Group of Line 5 FM Mach PdM&amp;PM Schd</t>
  </si>
  <si>
    <t>ASRIADI.6137@SIG.ID</t>
  </si>
  <si>
    <t>MATTAPA RT002/RW001,KELURAHAN SAMALEWA,KECAMATAN BUNGORO</t>
  </si>
  <si>
    <t>DANDI AFRIANDI</t>
  </si>
  <si>
    <t>42053301411</t>
  </si>
  <si>
    <t>DANDI.AFRIANDI@SIG.ID</t>
  </si>
  <si>
    <t>ASRAMA KODIM 1421 BUNGORO</t>
  </si>
  <si>
    <t>MUHAMMAD YUSUF</t>
  </si>
  <si>
    <t>42053301412</t>
  </si>
  <si>
    <t>MUHAMMAD.YUSUF5987@SIG.ID</t>
  </si>
  <si>
    <t>JL. KETIMUN 1 PANGKEP</t>
  </si>
  <si>
    <t>MUHAMMAD ARKAM H.A.T., SE.</t>
  </si>
  <si>
    <t>42053302410</t>
  </si>
  <si>
    <t>42053302</t>
  </si>
  <si>
    <t>Group of Line 4 FM Machine PvM</t>
  </si>
  <si>
    <t>MUHAMMAD.HAT@SIG.ID</t>
  </si>
  <si>
    <t>TONASA 2 - BANTENG 16</t>
  </si>
  <si>
    <t>MURZID</t>
  </si>
  <si>
    <t>42053303410</t>
  </si>
  <si>
    <t>42053303</t>
  </si>
  <si>
    <t>Group of Line 5 FM Mach PvM</t>
  </si>
  <si>
    <t>MURZID@SIG.ID</t>
  </si>
  <si>
    <t>JL. SELA, DESA MANGILU KEC. BUNGORO PANGKEP</t>
  </si>
  <si>
    <t>JUPRI</t>
  </si>
  <si>
    <t>42053304411</t>
  </si>
  <si>
    <t>42053304</t>
  </si>
  <si>
    <t>Group of Line 4 FM Mach PdM&amp;PM Schd</t>
  </si>
  <si>
    <t>JUPRI@SIG.ID</t>
  </si>
  <si>
    <t>JL. KEADILAN KEL. PABUNDUKANG KEC. PANGKAJENE</t>
  </si>
  <si>
    <t>FADLY H.</t>
  </si>
  <si>
    <t>42053304412</t>
  </si>
  <si>
    <t>FADLY.H@SIG.ID</t>
  </si>
  <si>
    <t>JL. ANDI CACO BARAT KEL.TUMAMPUA</t>
  </si>
  <si>
    <t>M.TAUFIK M., ST.</t>
  </si>
  <si>
    <t>42053306410</t>
  </si>
  <si>
    <t>42053306</t>
  </si>
  <si>
    <t>Group of PdM Mach Trass Mill 4</t>
  </si>
  <si>
    <t>M.TAUFIK@SIG.ID</t>
  </si>
  <si>
    <t>ABBAS</t>
  </si>
  <si>
    <t>42053307410</t>
  </si>
  <si>
    <t>42053307</t>
  </si>
  <si>
    <t>Group of PvM Mach Trass Mill 4</t>
  </si>
  <si>
    <t>ABBAS.5949@SIG.ID</t>
  </si>
  <si>
    <t>KAMPUNG LOLOCIDI, DESA BOWONG CINDEA RT.07/04 KEC.BUNGORO</t>
  </si>
  <si>
    <t>ANDI HILMAN, Ir., ST., IPM</t>
  </si>
  <si>
    <t>4102414000</t>
  </si>
  <si>
    <t>42054000210</t>
  </si>
  <si>
    <t>42054000</t>
  </si>
  <si>
    <t>Unit of Elins Maintenance 1</t>
  </si>
  <si>
    <t>Unit Pemel Ellins 1</t>
  </si>
  <si>
    <t>ANDI.HILMAN@SIG.ID</t>
  </si>
  <si>
    <t>TONASA 2-JL. PALEM KUNING  G/12</t>
  </si>
  <si>
    <t>MOHAMMAD ANDI YUSTIAN, S.Si.</t>
  </si>
  <si>
    <t>4102330100</t>
  </si>
  <si>
    <t>42054300310</t>
  </si>
  <si>
    <t>42054300</t>
  </si>
  <si>
    <t>Section of Line 2/3 FM Elins Maintenance</t>
  </si>
  <si>
    <t>Sec 23 RKC ElinsMain</t>
  </si>
  <si>
    <t>ANDI.YUSTIAN@SIG.ID</t>
  </si>
  <si>
    <t>TONASA II - JL.KELAPA HIJAU H/8</t>
  </si>
  <si>
    <t>YULIUS DAEL</t>
  </si>
  <si>
    <t>4102130300</t>
  </si>
  <si>
    <t>42054301410</t>
  </si>
  <si>
    <t>42054301</t>
  </si>
  <si>
    <t>Gp of LS CL SL 2345 Crusher Elins PdM&amp;PM</t>
  </si>
  <si>
    <t>Sie Pem Elins Crushe</t>
  </si>
  <si>
    <t>YULIUS.DAEL@SIG.ID</t>
  </si>
  <si>
    <t>TONASA 2 - JL. TUPAI NO.27</t>
  </si>
  <si>
    <t>M.ZUBAIR AKRAM</t>
  </si>
  <si>
    <t>42054302410</t>
  </si>
  <si>
    <t>42054302</t>
  </si>
  <si>
    <t>Group of 2/3 FM Elins PdM&amp;PM Schedule</t>
  </si>
  <si>
    <t>MZUBAIR.AKRAM@SIG.ID</t>
  </si>
  <si>
    <t>JL. BONTOA RAYA NO. 58</t>
  </si>
  <si>
    <t>HAJAR ASWAR</t>
  </si>
  <si>
    <t>42054302411</t>
  </si>
  <si>
    <t>HAJAR.ASWAR@SIG.ID</t>
  </si>
  <si>
    <t>SALEBBO, JL. POROS TONASA II, KEL.SAPANANG</t>
  </si>
  <si>
    <t>IRWAN SAPARUDDIN</t>
  </si>
  <si>
    <t>4102280200</t>
  </si>
  <si>
    <t>42054400310</t>
  </si>
  <si>
    <t>42054400</t>
  </si>
  <si>
    <t>Section of Packer Elins Maint</t>
  </si>
  <si>
    <t>Seksi Pemeliharaan L</t>
  </si>
  <si>
    <t>IRWAN.SAPARUDDIN@SIG.ID</t>
  </si>
  <si>
    <t>TONASA 2 - JL.KELAPA GADING G/6</t>
  </si>
  <si>
    <t>IMAM RACHMAD GAZALIE, SE.</t>
  </si>
  <si>
    <t>42054401410</t>
  </si>
  <si>
    <t>42054401</t>
  </si>
  <si>
    <t>Group of Line 2/3 Eliins Packer Maint.</t>
  </si>
  <si>
    <t>IMAM.GAZALIE@SIG.ID</t>
  </si>
  <si>
    <t>TONASA 2 - JL.TARAWEANG NO.51</t>
  </si>
  <si>
    <t>42054402410</t>
  </si>
  <si>
    <t>42054402</t>
  </si>
  <si>
    <t>Group of Line 5 Packer Elins Maint.</t>
  </si>
  <si>
    <t>ISKANDAR.5971@SIG.ID</t>
  </si>
  <si>
    <t>JL. KELAPA TIGA GANG 2 / 18A</t>
  </si>
  <si>
    <t>MUH.LISWANDI N.</t>
  </si>
  <si>
    <t>42054403410</t>
  </si>
  <si>
    <t>42054403</t>
  </si>
  <si>
    <t>Group of Plant Cement Silo E/I Main</t>
  </si>
  <si>
    <t>MUHLISWANDI.N@SIG.ID</t>
  </si>
  <si>
    <t>TONASA 2 - JL. TARAWEANG NO. 33</t>
  </si>
  <si>
    <t>JASMAN</t>
  </si>
  <si>
    <t>42054404410</t>
  </si>
  <si>
    <t>42054404</t>
  </si>
  <si>
    <t>Group of Weigher Maintenance (DS)</t>
  </si>
  <si>
    <t>JASMAN.6198@SIG.ID</t>
  </si>
  <si>
    <t>TALAKA</t>
  </si>
  <si>
    <t>TONASA 2 - JL TUPAI NO.21</t>
  </si>
  <si>
    <t>ABD.MALIK NUR</t>
  </si>
  <si>
    <t>42054405410</t>
  </si>
  <si>
    <t>42054405</t>
  </si>
  <si>
    <t>Group of Packer Elins Maint PdM &amp; PM</t>
  </si>
  <si>
    <t>ABDMALIK.NUR@SIG.ID</t>
  </si>
  <si>
    <t>SILORO</t>
  </si>
  <si>
    <t>JL.TUPAI NO.31 - TONASA II</t>
  </si>
  <si>
    <t>IMAM SUYUTI, ST.</t>
  </si>
  <si>
    <t>42054500310</t>
  </si>
  <si>
    <t>42054500</t>
  </si>
  <si>
    <t>Section of Crusher Elins Maintenance</t>
  </si>
  <si>
    <t>IMAM.SUYUTI@SIG.ID</t>
  </si>
  <si>
    <t>Gresik</t>
  </si>
  <si>
    <t>JL.ANOA NO.20 TONASA II</t>
  </si>
  <si>
    <t>RAHMADI R.</t>
  </si>
  <si>
    <t>42054501410</t>
  </si>
  <si>
    <t>42054501</t>
  </si>
  <si>
    <t>Group of Line 2/3/4/5 Crusher Elins PvM</t>
  </si>
  <si>
    <t>RAHMADI.R@SIG.ID</t>
  </si>
  <si>
    <t>MAKASSAR-BTN ANGKASA PURA B6/11</t>
  </si>
  <si>
    <t>42054501411</t>
  </si>
  <si>
    <t>SUARDI.5961@SIG.ID</t>
  </si>
  <si>
    <t>JL BORONG UNTIA .BIRINGERE, RT/RW 003/005 KEC.BUNGORO</t>
  </si>
  <si>
    <t>ARYO SUGARWANTO, AMD.</t>
  </si>
  <si>
    <t>42054502410</t>
  </si>
  <si>
    <t>42054502</t>
  </si>
  <si>
    <t>ARYO.SUGARWANTO@SIG.ID</t>
  </si>
  <si>
    <t>42054502411</t>
  </si>
  <si>
    <t>Group of Line 2/3 FM Elins PvM</t>
  </si>
  <si>
    <t>ABDULLAH.4805@SIG.ID</t>
  </si>
  <si>
    <t>PASERU</t>
  </si>
  <si>
    <t>TONASA 2 - JL.TUPAI NO.6</t>
  </si>
  <si>
    <t>MUHAMAD ANAS</t>
  </si>
  <si>
    <t>42054503410</t>
  </si>
  <si>
    <t>42054503</t>
  </si>
  <si>
    <t>Group of Crusher Elins Repair</t>
  </si>
  <si>
    <t>MUHAMAD.ANAS@SIG.ID</t>
  </si>
  <si>
    <t>SENGKAE</t>
  </si>
  <si>
    <t>SENGKAE, KEL BORI APPAKA, KEC. BUNGORO</t>
  </si>
  <si>
    <t>EKO RIYANTO</t>
  </si>
  <si>
    <t>42054503411</t>
  </si>
  <si>
    <t>EKO.RIYANTO@SIG.ID</t>
  </si>
  <si>
    <t>JL. COPPO TOMPONG KEL. TUMAMPUA</t>
  </si>
  <si>
    <t>MUH.BASRI</t>
  </si>
  <si>
    <t>42054600310</t>
  </si>
  <si>
    <t>42054600</t>
  </si>
  <si>
    <t>Section of Line 2/3 RKC Elins Maint.</t>
  </si>
  <si>
    <t>MUH.BASRI4911@SIG.ID</t>
  </si>
  <si>
    <t>MAROS - SULAWESI SELATAN</t>
  </si>
  <si>
    <t>MUNAWAR TAIYEB</t>
  </si>
  <si>
    <t>42054601410</t>
  </si>
  <si>
    <t>42054601</t>
  </si>
  <si>
    <t>Staff of Line 2/3 RKC Elins PdM&amp;PM</t>
  </si>
  <si>
    <t>MUNAWAR.TAIYEB@SIG.ID</t>
  </si>
  <si>
    <t>TONASA 2 - JL.ANOA NO.23</t>
  </si>
  <si>
    <t>DUDUNG SUDDIN</t>
  </si>
  <si>
    <t>42054601411</t>
  </si>
  <si>
    <t>DUDUNG.SUDDIN@SIG.ID</t>
  </si>
  <si>
    <t>TONASA II - JL.MACAN NO.48</t>
  </si>
  <si>
    <t>MASMUDDIN</t>
  </si>
  <si>
    <t>42054603411</t>
  </si>
  <si>
    <t>42054603</t>
  </si>
  <si>
    <t>Staff of Line 2/3 System Control Maint.</t>
  </si>
  <si>
    <t>MASMUDDIN@SIG.ID</t>
  </si>
  <si>
    <t>JL. KASSI TONASA I</t>
  </si>
  <si>
    <t>M.SULTAN ASHARI S.</t>
  </si>
  <si>
    <t>42054603412</t>
  </si>
  <si>
    <t>MSULTAN.ASHARI@SIG.ID</t>
  </si>
  <si>
    <t>JL. BTN GRIYA MAROS INDAH BLOK D27 NO. 17</t>
  </si>
  <si>
    <t>ARDIANSYAH, S.ST</t>
  </si>
  <si>
    <t>42055000210</t>
  </si>
  <si>
    <t>42055000</t>
  </si>
  <si>
    <t>Unit of Elins Maintenance 2</t>
  </si>
  <si>
    <t>ARDIANSYAH.5384@SIG.ID</t>
  </si>
  <si>
    <t>BONE-BONE</t>
  </si>
  <si>
    <t>TONASA 2-JL.PALEM MERAH M/2</t>
  </si>
  <si>
    <t>H. ALIMUDDIN</t>
  </si>
  <si>
    <t>4102330200</t>
  </si>
  <si>
    <t>42055100310</t>
  </si>
  <si>
    <t>42055100</t>
  </si>
  <si>
    <t>Section of Line 4/5 RKC Elctr. Maint.</t>
  </si>
  <si>
    <t>Seksi Pemel. Listrik</t>
  </si>
  <si>
    <t>ALIMUDDIN.5027@SIG.ID</t>
  </si>
  <si>
    <t>ABDUL RAHIM AKIB</t>
  </si>
  <si>
    <t>42055106410</t>
  </si>
  <si>
    <t>42055106</t>
  </si>
  <si>
    <t>Group of PvM AFR</t>
  </si>
  <si>
    <t>ABDUL.AKIB@SIG.ID</t>
  </si>
  <si>
    <t>JLN.DAHLIA No. 34 T. I</t>
  </si>
  <si>
    <t>MUNAWIR</t>
  </si>
  <si>
    <t>42055107410</t>
  </si>
  <si>
    <t>42055107</t>
  </si>
  <si>
    <t>Group of Line 4 RKC Elctr PdM &amp; PM Schdl</t>
  </si>
  <si>
    <t>MUNAWIR@SIG.ID</t>
  </si>
  <si>
    <t>TONASA I - JL. MAWAR NO.09</t>
  </si>
  <si>
    <t>SYAHRIR</t>
  </si>
  <si>
    <t>42055107411</t>
  </si>
  <si>
    <t>SYAHRIR.5960@SIG.ID</t>
  </si>
  <si>
    <t>JL.PENAS 7 PERUMAHAN RACHITA 1 BLOK B NO.3</t>
  </si>
  <si>
    <t>42055108410</t>
  </si>
  <si>
    <t>42055108</t>
  </si>
  <si>
    <t>Group of Line 4 RKC Elctr PvM</t>
  </si>
  <si>
    <t>MUHAMMAD.NUR5896@SIG.ID</t>
  </si>
  <si>
    <t>JALANG</t>
  </si>
  <si>
    <t>BORONG-BORONG DESA KASSILOE KEC.LABAKKANG</t>
  </si>
  <si>
    <t>TRI NUR PACHRIADI</t>
  </si>
  <si>
    <t>42055108411</t>
  </si>
  <si>
    <t>TRI.PACHRIADI@SIG.ID</t>
  </si>
  <si>
    <t>JL.GAJAH NO 22 Perum Tonasa 2</t>
  </si>
  <si>
    <t>DIDIN AWALUDDIN Y.</t>
  </si>
  <si>
    <t>42055108510</t>
  </si>
  <si>
    <t>DIDIN.AWALUDDIN@SIG.ID</t>
  </si>
  <si>
    <t>BTN SAMALEWA BLOK B2 / 10</t>
  </si>
  <si>
    <t>WAHYU</t>
  </si>
  <si>
    <t>42055109410</t>
  </si>
  <si>
    <t>42055109</t>
  </si>
  <si>
    <t>Group of Line 5 RKC Elctr PdM &amp; PM Schd</t>
  </si>
  <si>
    <t>WAHYU.5932@SIG.ID</t>
  </si>
  <si>
    <t>LEPPANGENG RT001/RW004, KELURAHAN SAPANANG, KECAMATAN BUNGOR</t>
  </si>
  <si>
    <t>SULAIMAN</t>
  </si>
  <si>
    <t>42055109411</t>
  </si>
  <si>
    <t>SULAIMAN.5963@SIG.ID</t>
  </si>
  <si>
    <t>BTN SAMALEWA PERMAI B7/5 KECAMATAN BUNGORO</t>
  </si>
  <si>
    <t>42055110410</t>
  </si>
  <si>
    <t>42055110</t>
  </si>
  <si>
    <t>Group of Line 5 RKC PvM</t>
  </si>
  <si>
    <t>SYAHRIR.5840@SIG.ID</t>
  </si>
  <si>
    <t>TONASA 2 - JL BANTENG NO.8</t>
  </si>
  <si>
    <t>SUKIRMAN AE., AMD.</t>
  </si>
  <si>
    <t>SUKIRMAN.AE@SIG.ID</t>
  </si>
  <si>
    <t>42055110411</t>
  </si>
  <si>
    <t>IRWAN.5852@SIG.ID</t>
  </si>
  <si>
    <t>BALANG, DESA BIRING ERE</t>
  </si>
  <si>
    <t>MUHAMMAD AGENG ANOM, AMD.</t>
  </si>
  <si>
    <t>4102270100</t>
  </si>
  <si>
    <t>42055200310</t>
  </si>
  <si>
    <t>42055200</t>
  </si>
  <si>
    <t>Section of Line 4/5 RKC Instr. Maint.</t>
  </si>
  <si>
    <t>Seksi Pemel. Instrum</t>
  </si>
  <si>
    <t>MUHAMMAD.AGENG@SIG.ID</t>
  </si>
  <si>
    <t>PANGKAJENE-BTN   INDAH  AX/7 SAMALEWA</t>
  </si>
  <si>
    <t>MAULANA MUHAMMAD B. BOSSA, ST.</t>
  </si>
  <si>
    <t>42055204410</t>
  </si>
  <si>
    <t>42055204</t>
  </si>
  <si>
    <t>Group of Line 4 System Control Maint</t>
  </si>
  <si>
    <t>MAULANA.BOSSA@SIG.ID</t>
  </si>
  <si>
    <t>JL.  TANJUNG PINANG 1 NO. 28 BUKIT BARUGA-KOTA MAKASSAR</t>
  </si>
  <si>
    <t>IWAN HN.</t>
  </si>
  <si>
    <t>42055204411</t>
  </si>
  <si>
    <t>IWAN.HN@SIG.ID</t>
  </si>
  <si>
    <t>BIRING KASSI</t>
  </si>
  <si>
    <t>BIRINGKASSI DESA BULU CINDEA KEC BUNGORO</t>
  </si>
  <si>
    <t>A.AKBAR ALI Z.</t>
  </si>
  <si>
    <t>42055207410</t>
  </si>
  <si>
    <t>42055207</t>
  </si>
  <si>
    <t>Group of Line 5 System Control Maint</t>
  </si>
  <si>
    <t>AAKBAR.ALI@SIG.ID</t>
  </si>
  <si>
    <t>TONASA 2 - JL.BANTENG 25</t>
  </si>
  <si>
    <t>PANCE ASYIK, ST.</t>
  </si>
  <si>
    <t>42055207411</t>
  </si>
  <si>
    <t>PANCE.ASYIK@SIG.ID</t>
  </si>
  <si>
    <t>ARIANTO AMIR, ST.</t>
  </si>
  <si>
    <t>42055208410</t>
  </si>
  <si>
    <t>42055208</t>
  </si>
  <si>
    <t>Group of Line 4 RKCM Instr PdM &amp; PM Schd</t>
  </si>
  <si>
    <t>ARIANTO.AMIR@SIG.ID</t>
  </si>
  <si>
    <t>JL. GARUDA No. 1 TONASA I</t>
  </si>
  <si>
    <t>WAHYUDIN</t>
  </si>
  <si>
    <t>42055208411</t>
  </si>
  <si>
    <t>WAHYUDIN.5948@SIG.ID</t>
  </si>
  <si>
    <t>COPPO TOMPONG NO. 46 PANGKEP</t>
  </si>
  <si>
    <t>RAHMAT</t>
  </si>
  <si>
    <t>42055209410</t>
  </si>
  <si>
    <t>42055209</t>
  </si>
  <si>
    <t>Group of Line 4 RKCM Instr PvM</t>
  </si>
  <si>
    <t>RAHMAT.6003@SIG.ID</t>
  </si>
  <si>
    <t>JLN.DAHLIA No 16 T.I</t>
  </si>
  <si>
    <t>TOPAN MUHAMMAD RIDWAN</t>
  </si>
  <si>
    <t>42055209411</t>
  </si>
  <si>
    <t>TOPAN.RIDWAN@SIG.ID</t>
  </si>
  <si>
    <t>TONASA 2 - JL TUPAI NO.18</t>
  </si>
  <si>
    <t>ACHMAD AS'AD</t>
  </si>
  <si>
    <t>42055209412</t>
  </si>
  <si>
    <t>ACHMAD.ASAD@SIG.ID</t>
  </si>
  <si>
    <t>JL. TINUMBU NO.137 RT/05/RW3</t>
  </si>
  <si>
    <t>MUHAMMAD RAIS</t>
  </si>
  <si>
    <t>42055210410</t>
  </si>
  <si>
    <t>42055210</t>
  </si>
  <si>
    <t>Group of Line 5 RKCM Instr PdM &amp; PM Schd</t>
  </si>
  <si>
    <t>MUHAMMAD.RAIS@SIG.ID</t>
  </si>
  <si>
    <t>JUNAEDY S., ST.</t>
  </si>
  <si>
    <t>JUNAEDY.S@SIG.ID</t>
  </si>
  <si>
    <t>TONASA 2 - JL SERIGALA NO.36</t>
  </si>
  <si>
    <t>ASWANDI SYAMSUL</t>
  </si>
  <si>
    <t>42055211410</t>
  </si>
  <si>
    <t>42055211</t>
  </si>
  <si>
    <t>Group of Line 5 RKCM Instr PvM</t>
  </si>
  <si>
    <t>ASWANDI.SYAMSUL@SIG.ID</t>
  </si>
  <si>
    <t>JL. DG. NGADDE KEC TAMALATE (MAKASSAR)</t>
  </si>
  <si>
    <t>ZULKARNAIN</t>
  </si>
  <si>
    <t>42055211411</t>
  </si>
  <si>
    <t>ZULKARNAIN@SIG.ID</t>
  </si>
  <si>
    <t>ARSYAD</t>
  </si>
  <si>
    <t>42055211412</t>
  </si>
  <si>
    <t>ARSYAD@SIG.ID</t>
  </si>
  <si>
    <t>KP.BALANG.KEL.BIRING ERE KEC.BUNGORO.KAB. PANGKEP</t>
  </si>
  <si>
    <t>PUTRA ADHI SUMARYANTO, S.ST.</t>
  </si>
  <si>
    <t>4102330300</t>
  </si>
  <si>
    <t>42055300310</t>
  </si>
  <si>
    <t>42055300</t>
  </si>
  <si>
    <t>Section of Line 4/5 FM Elins Maint</t>
  </si>
  <si>
    <t>PUTRA.SUMARYANTO@SIG.ID</t>
  </si>
  <si>
    <t>Merauke</t>
  </si>
  <si>
    <t>Maros - Bulu Tanae</t>
  </si>
  <si>
    <t>SANDI</t>
  </si>
  <si>
    <t>42055302410</t>
  </si>
  <si>
    <t>42055302</t>
  </si>
  <si>
    <t>Group of Line 4 FM Elins PvM</t>
  </si>
  <si>
    <t>SANDI@SIG.ID</t>
  </si>
  <si>
    <t>TONASA 2 - JL TUPAI NO.23</t>
  </si>
  <si>
    <t>AMRAN, ST.</t>
  </si>
  <si>
    <t>42055302411</t>
  </si>
  <si>
    <t>AMRAN.6056@SIG.ID</t>
  </si>
  <si>
    <t>TONASA 2 - JL.BANTENG 28</t>
  </si>
  <si>
    <t>AHMAD MADEHAR</t>
  </si>
  <si>
    <t>42055303410</t>
  </si>
  <si>
    <t>42055303</t>
  </si>
  <si>
    <t>Group of Line 5 FM Elins PvM</t>
  </si>
  <si>
    <t>AHMAD.MADEHAR@SIG.ID</t>
  </si>
  <si>
    <t>JL.DG SORE KATAPANG,KEL.SAMALEWA,KEC.BUNGORO,</t>
  </si>
  <si>
    <t>ASWAR</t>
  </si>
  <si>
    <t>42055303411</t>
  </si>
  <si>
    <t>ASWAR@SIG.ID</t>
  </si>
  <si>
    <t>BTN BATARA UGI BLOK 3/8 DAYA MAKASSAR</t>
  </si>
  <si>
    <t>BUDI SANTOSO</t>
  </si>
  <si>
    <t>42055304410</t>
  </si>
  <si>
    <t>42055304</t>
  </si>
  <si>
    <t>Group of Line 4 Elins Trass Mill PvM</t>
  </si>
  <si>
    <t>BUDI.SANTOSO@SIG.ID</t>
  </si>
  <si>
    <t>IBRAHIM, Ir., ST., IPP</t>
  </si>
  <si>
    <t>42055305410</t>
  </si>
  <si>
    <t>42055305</t>
  </si>
  <si>
    <t>Group of Line 4 FM Elins PdM &amp; PM Schdl</t>
  </si>
  <si>
    <t>IBRAHIM.5834@SIG.ID</t>
  </si>
  <si>
    <t>TONASA 2 - JL MACAN NO.46</t>
  </si>
  <si>
    <t>MUHAMMAD ILHAM</t>
  </si>
  <si>
    <t>42055306410</t>
  </si>
  <si>
    <t>42055306</t>
  </si>
  <si>
    <t>Group of Line 5 FM Elins PdM &amp; PM Schd</t>
  </si>
  <si>
    <t>MUHAMMAD.ILHAM@SIG.ID</t>
  </si>
  <si>
    <t>JL.A.MAURAGA NO 7 PANGKEP</t>
  </si>
  <si>
    <t>MUH.SYAHRIR WODI S.</t>
  </si>
  <si>
    <t>42055307410</t>
  </si>
  <si>
    <t>42055307</t>
  </si>
  <si>
    <t>Group of Line 4/5 FM System Control Main</t>
  </si>
  <si>
    <t>MUHSYAHRIR.WODI@SIG.ID</t>
  </si>
  <si>
    <t>JL Mawar No. 6 Tonasa I</t>
  </si>
  <si>
    <t>SUDARMAN, ST.</t>
  </si>
  <si>
    <t>4102410200</t>
  </si>
  <si>
    <t>42055400310</t>
  </si>
  <si>
    <t>42055400</t>
  </si>
  <si>
    <t>Section of EP/DC Maintenance</t>
  </si>
  <si>
    <t>Sie Bgkl Ellins</t>
  </si>
  <si>
    <t>SUDARMAN@SIG.ID</t>
  </si>
  <si>
    <t>BTN Bungoro Indah</t>
  </si>
  <si>
    <t>USMAN HASAN</t>
  </si>
  <si>
    <t>42055404410</t>
  </si>
  <si>
    <t>42055404</t>
  </si>
  <si>
    <t>Group of CEMS Maintenance</t>
  </si>
  <si>
    <t>USMAN.HASAN@SIG.ID</t>
  </si>
  <si>
    <t>JL. JEND S SUKOWATI NO.25</t>
  </si>
  <si>
    <t>STANISLAUS RIZAL, AMD.</t>
  </si>
  <si>
    <t>42055405413</t>
  </si>
  <si>
    <t>42055405</t>
  </si>
  <si>
    <t>Staff of PDM EPDC</t>
  </si>
  <si>
    <t>STANISLAUS.RIZAL@SIG.ID</t>
  </si>
  <si>
    <t>WASUPONDA</t>
  </si>
  <si>
    <t>TONASA 2 - JL.TUPAI NO.41</t>
  </si>
  <si>
    <t>AHMAD JAELANI</t>
  </si>
  <si>
    <t>42055407410</t>
  </si>
  <si>
    <t>42055407</t>
  </si>
  <si>
    <t>Group of 2/3 EP/DC PvM</t>
  </si>
  <si>
    <t>AHMAD.JAELANI@SIG.ID</t>
  </si>
  <si>
    <t>TONASA 2 - JL.GAJAH NO.5</t>
  </si>
  <si>
    <t>ERVAN HARDJO</t>
  </si>
  <si>
    <t>42055408410</t>
  </si>
  <si>
    <t>42055408</t>
  </si>
  <si>
    <t>Group of 4 EP/DC Pvm</t>
  </si>
  <si>
    <t>ERVAN.HARDJO@SIG.ID</t>
  </si>
  <si>
    <t>TONASA 2 - JL.GAJAH NO.47</t>
  </si>
  <si>
    <t>SULHAM</t>
  </si>
  <si>
    <t>42055409410</t>
  </si>
  <si>
    <t>42055409</t>
  </si>
  <si>
    <t>Group of 5 EP/DC PvM</t>
  </si>
  <si>
    <t>SULHAM@SIG.ID</t>
  </si>
  <si>
    <t>TONASA II - JL. TUPAI NO.16</t>
  </si>
  <si>
    <t>MARYONO, SE.</t>
  </si>
  <si>
    <t>4102410000</t>
  </si>
  <si>
    <t>42057000210</t>
  </si>
  <si>
    <t>42057000</t>
  </si>
  <si>
    <t>Unit of Reliability Maintenance</t>
  </si>
  <si>
    <t>Unit of Workshop</t>
  </si>
  <si>
    <t>MARYONO@SIG.ID</t>
  </si>
  <si>
    <t>TONASA 2- JL.FLAMBOYAN BLOK F NO.4</t>
  </si>
  <si>
    <t>M.ALWI, ST.</t>
  </si>
  <si>
    <t>4102420200</t>
  </si>
  <si>
    <t>42057100310</t>
  </si>
  <si>
    <t>42057100</t>
  </si>
  <si>
    <t>Staff of Maintenance Inspection</t>
  </si>
  <si>
    <t>Staf Inspeksi Pemeli</t>
  </si>
  <si>
    <t>M.ALWI@SIG.ID</t>
  </si>
  <si>
    <t>TONASA 2 - JL KELAPA HIJAU M/7</t>
  </si>
  <si>
    <t>AHMAD RIFAI, ST.</t>
  </si>
  <si>
    <t>42057100311</t>
  </si>
  <si>
    <t>AHMAD.RIFAI@SIG.ID</t>
  </si>
  <si>
    <t>IRIAN JAYA</t>
  </si>
  <si>
    <t>TONASA 2 - JL.TUPAI NO.12</t>
  </si>
  <si>
    <t>SUHARTO ABDULLAH</t>
  </si>
  <si>
    <t>42057100312</t>
  </si>
  <si>
    <t>SUHARTO.ABDULLAH@SIG.ID</t>
  </si>
  <si>
    <t>MA'RANG -  RT.01 / RW.01</t>
  </si>
  <si>
    <t>M.AMRAN ARIFUDDIN, ST.</t>
  </si>
  <si>
    <t>42057100313</t>
  </si>
  <si>
    <t>AMRAN.ARIFUDDIN@SIG.ID</t>
  </si>
  <si>
    <t>VICTOR NURDIN SITOLA</t>
  </si>
  <si>
    <t>42057100410</t>
  </si>
  <si>
    <t>VICTOR.SITOLA@SIG.ID</t>
  </si>
  <si>
    <t>BUNGORO-BUMI SAMALEWA PERMAI  B7/4</t>
  </si>
  <si>
    <t>RUSLAN PAWAWOI</t>
  </si>
  <si>
    <t>42057100411</t>
  </si>
  <si>
    <t>RUSLAN.PAWAWOI@SIG.ID</t>
  </si>
  <si>
    <t>TONASA 2 - JL.TARAWEANG 21</t>
  </si>
  <si>
    <t>MUSRAN</t>
  </si>
  <si>
    <t>42057100412</t>
  </si>
  <si>
    <t>MUSRAN@SIG.ID</t>
  </si>
  <si>
    <t>TONASA I - JL.GAJAH NO.10</t>
  </si>
  <si>
    <t>MULYONO</t>
  </si>
  <si>
    <t>42057100413</t>
  </si>
  <si>
    <t>MULYONO.4821@SIG.ID</t>
  </si>
  <si>
    <t>MUH.JAMAL SYUKUR, ST.</t>
  </si>
  <si>
    <t>42057100414</t>
  </si>
  <si>
    <t>MUHJAMAL.SYUKUR@SIG.ID</t>
  </si>
  <si>
    <t>JL. MANGEMBA No. 7</t>
  </si>
  <si>
    <t>YEHEZKEL BANDOLAN</t>
  </si>
  <si>
    <t>42057100415</t>
  </si>
  <si>
    <t>YEHEZKEL.BANDOLAN@SIG.ID</t>
  </si>
  <si>
    <t>TONASA 2 - JL.ANOA 48</t>
  </si>
  <si>
    <t>HERMAN</t>
  </si>
  <si>
    <t>42057100416</t>
  </si>
  <si>
    <t>HERMAN.5863@SIG.ID</t>
  </si>
  <si>
    <t>TONASA II - JL TARAWEANG NO.23</t>
  </si>
  <si>
    <t>DYDA ADITAMA HIDAYAT</t>
  </si>
  <si>
    <t>42057100417</t>
  </si>
  <si>
    <t>DYDA.HIDAYAT@SIG.ID</t>
  </si>
  <si>
    <t>Kediri (kabupaten)</t>
  </si>
  <si>
    <t>BTN BUNGORO INDAH BLOK B3 / 17</t>
  </si>
  <si>
    <t>ILHAM</t>
  </si>
  <si>
    <t>4102600200</t>
  </si>
  <si>
    <t>42057300310</t>
  </si>
  <si>
    <t>42057300</t>
  </si>
  <si>
    <t>Staff of Troubleshooting</t>
  </si>
  <si>
    <t>Staf Troubleshooting</t>
  </si>
  <si>
    <t>ILHAM.5103@SIG.ID</t>
  </si>
  <si>
    <t>TONASA 2 - JL. ANOA NO.15</t>
  </si>
  <si>
    <t>ABD.RAHMAN P.</t>
  </si>
  <si>
    <t>42057300311</t>
  </si>
  <si>
    <t>ABD.RAHMAN4976@SIG.ID</t>
  </si>
  <si>
    <t>FACHRUDDIN</t>
  </si>
  <si>
    <t>42057300410</t>
  </si>
  <si>
    <t>FACHRUDDIN.4958@SIG.ID</t>
  </si>
  <si>
    <t>TONASA II - JALAN TUPAI NO.43</t>
  </si>
  <si>
    <t>PETRUS REMAK</t>
  </si>
  <si>
    <t>42057300411</t>
  </si>
  <si>
    <t>PETRUS.REMAK@SIG.ID</t>
  </si>
  <si>
    <t>TONASA 2 JL. MACAN NO.6</t>
  </si>
  <si>
    <t>MARJAN SISWANTO</t>
  </si>
  <si>
    <t>42057300413</t>
  </si>
  <si>
    <t>MARJAN.SISWANTO@SIG.ID</t>
  </si>
  <si>
    <t>TONASA 2 - JL.ANOA 33</t>
  </si>
  <si>
    <t>MARANG</t>
  </si>
  <si>
    <t>42057300414</t>
  </si>
  <si>
    <t>MARANG@SIG.ID</t>
  </si>
  <si>
    <t>SUFRIADI DJOJONEGORO, SE.</t>
  </si>
  <si>
    <t>42057300415</t>
  </si>
  <si>
    <t>SUFRIADI.DJOJONEGORO@SIG.ID</t>
  </si>
  <si>
    <t>Perumahan Bungoro Indah Blok D3/8 Kel.Samalewa Kec.Bungoro</t>
  </si>
  <si>
    <t>ALBERT FAISAL, ST.</t>
  </si>
  <si>
    <t>42057300416</t>
  </si>
  <si>
    <t>ALBERT.FAISAL@SIG.ID</t>
  </si>
  <si>
    <t>RUSLAN YUSUF</t>
  </si>
  <si>
    <t>42057300417</t>
  </si>
  <si>
    <t>RUSLAN.YUSUF@SIG.ID</t>
  </si>
  <si>
    <t>BUNGORO-SAMALEWA PERMAI  A1/4</t>
  </si>
  <si>
    <t>ALI AMRAN</t>
  </si>
  <si>
    <t>42057300418</t>
  </si>
  <si>
    <t>ALI.AMRAN@SIG.ID</t>
  </si>
  <si>
    <t>JL.MACAN NO.12 TONASA II</t>
  </si>
  <si>
    <t>MARCEL SAPAN</t>
  </si>
  <si>
    <t>42057300419</t>
  </si>
  <si>
    <t>MARCEL.SAPAN@SIG.ID</t>
  </si>
  <si>
    <t>TONASA 2 - JL.GAJAH NO.34</t>
  </si>
  <si>
    <t>DANIEL TANDO, ST.</t>
  </si>
  <si>
    <t>42057300420</t>
  </si>
  <si>
    <t>DANIEL.TANDO@SIG.ID</t>
  </si>
  <si>
    <t>WALENRANGO</t>
  </si>
  <si>
    <t>TONASA 2 JL.GAJAH NO.44</t>
  </si>
  <si>
    <t>MUH.NAMRIN</t>
  </si>
  <si>
    <t>42057300421</t>
  </si>
  <si>
    <t>MUH.NAMRIN@SIG.ID</t>
  </si>
  <si>
    <t>SUNGGUMINASA</t>
  </si>
  <si>
    <t>RUSLAN</t>
  </si>
  <si>
    <t>42057300422</t>
  </si>
  <si>
    <t>RUSLAN@SIG.ID</t>
  </si>
  <si>
    <t>MATTAMPA RT.02/01</t>
  </si>
  <si>
    <t>FAISAL</t>
  </si>
  <si>
    <t>42057300423</t>
  </si>
  <si>
    <t>FAISAL.6090@SIG.ID</t>
  </si>
  <si>
    <t>JL. GARUDA NO.26 TONASA I</t>
  </si>
  <si>
    <t>LUKAS</t>
  </si>
  <si>
    <t>42057300424</t>
  </si>
  <si>
    <t>LUKAS@SIG.ID</t>
  </si>
  <si>
    <t>MUHAMMAD ANWAR</t>
  </si>
  <si>
    <t>42057300425</t>
  </si>
  <si>
    <t>MUHAMMAD.ANWAR@SIG.ID</t>
  </si>
  <si>
    <t>JL. H. ZAINUDDIN WAHID KEL. BONTO PERAK PANGKEP</t>
  </si>
  <si>
    <t>RIDWAN RASYID</t>
  </si>
  <si>
    <t>42057300426</t>
  </si>
  <si>
    <t>RIDWAN.RASYID@SIG.ID</t>
  </si>
  <si>
    <t>RT.01/05 CE'LAE KEL. BALLEANGIN KEC BALOCCI PANGKEP</t>
  </si>
  <si>
    <t>IMAN SETIAWAN</t>
  </si>
  <si>
    <t>42057300427</t>
  </si>
  <si>
    <t>IMAN.SETIAWAN@SIG.ID</t>
  </si>
  <si>
    <t>BTN BUNGORO INDAH BLOK BX NO 08</t>
  </si>
  <si>
    <t>INDRA AHMAD SETIAWAN, ST.</t>
  </si>
  <si>
    <t>42057300428</t>
  </si>
  <si>
    <t>INDRA.SETIAWAN@SIG.ID</t>
  </si>
  <si>
    <t>JL.MELATI NO.2 - TONASA I</t>
  </si>
  <si>
    <t>MUHAMMAD FAISAL</t>
  </si>
  <si>
    <t>42057300429</t>
  </si>
  <si>
    <t>MUHAMMAD.FAISAL@SIG.ID</t>
  </si>
  <si>
    <t>JL. KETIMUN KEC. MINASATENE</t>
  </si>
  <si>
    <t>AL AZHAR, ST.</t>
  </si>
  <si>
    <t>42057400310</t>
  </si>
  <si>
    <t>42057400</t>
  </si>
  <si>
    <t>Staff of PGO</t>
  </si>
  <si>
    <t>AL.AZHAR@SIG.ID</t>
  </si>
  <si>
    <t>TONASA 2 - JL.MACAN NO.18</t>
  </si>
  <si>
    <t>ABD.KADIR PATTA, ST.</t>
  </si>
  <si>
    <t>42057400311</t>
  </si>
  <si>
    <t>ABD.PATTA@SIG.ID</t>
  </si>
  <si>
    <t>TONASA 2 - JL.ANOA 29</t>
  </si>
  <si>
    <t>PRI DWI HARYANTO</t>
  </si>
  <si>
    <t>42057400312</t>
  </si>
  <si>
    <t>PRI.HARYANTO@SIG.ID</t>
  </si>
  <si>
    <t>RUSLI, ST.</t>
  </si>
  <si>
    <t>42057400313</t>
  </si>
  <si>
    <t>RUSLI.4977@SIG.ID</t>
  </si>
  <si>
    <t>BONTOMANAI</t>
  </si>
  <si>
    <t>ANSAR</t>
  </si>
  <si>
    <t>42057400410</t>
  </si>
  <si>
    <t>ANSAR@SIG.ID</t>
  </si>
  <si>
    <t>SELA, DESA MANGILU</t>
  </si>
  <si>
    <t>ANDI SURIANTO</t>
  </si>
  <si>
    <t>42057400411</t>
  </si>
  <si>
    <t>ANDI.SURIANTO@SIG.ID</t>
  </si>
  <si>
    <t>Mamasa</t>
  </si>
  <si>
    <t>MAMBI,JL.BATU MEA 2 NO. 36 KEC. MAMBI</t>
  </si>
  <si>
    <t>ASKAR THALIB</t>
  </si>
  <si>
    <t>42057400412</t>
  </si>
  <si>
    <t>ASKAR.THALIB@SIG.ID</t>
  </si>
  <si>
    <t>42057400413</t>
  </si>
  <si>
    <t>LUKMAN.4830@SIG.ID</t>
  </si>
  <si>
    <t>SABBANG</t>
  </si>
  <si>
    <t>FARIS AQIL, SE.</t>
  </si>
  <si>
    <t>42057400415</t>
  </si>
  <si>
    <t>FARIS.AQIL@SIG.ID</t>
  </si>
  <si>
    <t>TONASA II - ANOA 7</t>
  </si>
  <si>
    <t>LAKASANG</t>
  </si>
  <si>
    <t>42057400416</t>
  </si>
  <si>
    <t>LAKASANG@SIG.ID</t>
  </si>
  <si>
    <t>TONASA 2 JL. TUPAI NO.8</t>
  </si>
  <si>
    <t>BAHARUDDIN.A</t>
  </si>
  <si>
    <t>42057400417</t>
  </si>
  <si>
    <t>BAHARUDDIN.A@SIG.ID</t>
  </si>
  <si>
    <t>JL.SERIGALA NO.30 - TONASA II</t>
  </si>
  <si>
    <t>ABDUL MAPPI</t>
  </si>
  <si>
    <t>42057400418</t>
  </si>
  <si>
    <t>ABDUL.MAPPI@SIG.ID</t>
  </si>
  <si>
    <t>BAHARUDDIN</t>
  </si>
  <si>
    <t>42057400419</t>
  </si>
  <si>
    <t>BAHARUDDIN.4663@SIG.ID</t>
  </si>
  <si>
    <t>MANGILU</t>
  </si>
  <si>
    <t>DESA MANGILU RT 001/RW 004</t>
  </si>
  <si>
    <t>AHMAD NUR, AMD.</t>
  </si>
  <si>
    <t>42057400420</t>
  </si>
  <si>
    <t>AHMAD.NUR@SIG.ID</t>
  </si>
  <si>
    <t>MANYIKKOAYA, RT004/004, KEL.SUDIANG</t>
  </si>
  <si>
    <t>ZULKIFLI JAMALUDDIN</t>
  </si>
  <si>
    <t>42057400421</t>
  </si>
  <si>
    <t>ZULKIFLI.JAMALUDDIN@SIG.ID</t>
  </si>
  <si>
    <t>JL.TIDUNG 4 BLOK 16/91 RT005/RW004 KELURAHAN BONTO MAKKIO, K</t>
  </si>
  <si>
    <t>SYARIFUDDIN.S, SE.</t>
  </si>
  <si>
    <t>42057400423</t>
  </si>
  <si>
    <t>SYARIFUDDIN.S@SIG.ID</t>
  </si>
  <si>
    <t>PANGKAJENE-JAGONG</t>
  </si>
  <si>
    <t>RESKI</t>
  </si>
  <si>
    <t>42057400510</t>
  </si>
  <si>
    <t>RESKI@SIG.ID</t>
  </si>
  <si>
    <t>BALANG RT001/RW004, KELURAHAN BIRINGERE, KECAMATAN BUNGORO</t>
  </si>
  <si>
    <t>DWI CATUR YANUARI, S.Si. M.M</t>
  </si>
  <si>
    <t>42057500310</t>
  </si>
  <si>
    <t>42057500</t>
  </si>
  <si>
    <t>Staff of Planning &amp; Scheduling</t>
  </si>
  <si>
    <t>DWI.YANUARI@SIG.ID</t>
  </si>
  <si>
    <t>Cilacap</t>
  </si>
  <si>
    <t>TONASA 2 - JL.PALEM MERAH O/8</t>
  </si>
  <si>
    <t>EKO UTOMO SRIANTO P.</t>
  </si>
  <si>
    <t>42057500410</t>
  </si>
  <si>
    <t>EKO.SRIANTO@SIG.ID</t>
  </si>
  <si>
    <t>JL. BTN MANGGA 3 BLOK C15 NO.32 RT2/RW11</t>
  </si>
  <si>
    <t>AWALUDDIN, AMD.</t>
  </si>
  <si>
    <t>42057500411</t>
  </si>
  <si>
    <t>AWALUDDIN.5313@SIG.ID</t>
  </si>
  <si>
    <t>MADDENRA</t>
  </si>
  <si>
    <t>TONASA 2 - GAJAH 18</t>
  </si>
  <si>
    <t>DIAN HIMAWAN, ST.</t>
  </si>
  <si>
    <t>42057500412</t>
  </si>
  <si>
    <t>DIAN.HIMAWAN@SIG.ID</t>
  </si>
  <si>
    <t>TONASA 1 - JL.MAWAR NO. 23</t>
  </si>
  <si>
    <t>ANSAR ACO, ST.</t>
  </si>
  <si>
    <t>42057500413</t>
  </si>
  <si>
    <t>ANSAR.ACO@SIG.ID</t>
  </si>
  <si>
    <t>JL BIRING KASSI BULUCINDEA BUNGORO</t>
  </si>
  <si>
    <t>MUSRIADI, S.Pd.</t>
  </si>
  <si>
    <t>42057500414</t>
  </si>
  <si>
    <t>MUSRIADI@SIG.ID</t>
  </si>
  <si>
    <t>MALLAWA</t>
  </si>
  <si>
    <t>JL. POROS PARE - MAKASSAR KM17 BARRU 90753</t>
  </si>
  <si>
    <t>BERENS TANGKUNA, SE.</t>
  </si>
  <si>
    <t>42057500415</t>
  </si>
  <si>
    <t>BERENS.TANGKUNA@SIG.ID</t>
  </si>
  <si>
    <t>Poso</t>
  </si>
  <si>
    <t>TONASA 2 - JL.GAJAH No. 35</t>
  </si>
  <si>
    <t>SURYADANI, ST.</t>
  </si>
  <si>
    <t>4102416000</t>
  </si>
  <si>
    <t>42058000210</t>
  </si>
  <si>
    <t>42058000</t>
  </si>
  <si>
    <t>Unit of Port Product Discharge Maint.</t>
  </si>
  <si>
    <t>Unit Port Prod Disch</t>
  </si>
  <si>
    <t>SURYADANI@SIG.ID</t>
  </si>
  <si>
    <t>BUNGORO-KOMP   INDAH BARU  B1/4</t>
  </si>
  <si>
    <t>KADARUDDIN, ST.</t>
  </si>
  <si>
    <t>43025300411</t>
  </si>
  <si>
    <t>43025600</t>
  </si>
  <si>
    <t>Department of Human Capital &amp; GRC</t>
  </si>
  <si>
    <t>KADARUDDIN@SIG.ID</t>
  </si>
  <si>
    <t>ULUALE</t>
  </si>
  <si>
    <t>MAKASSAR-BTN PONDOK ASRI I   A6/4</t>
  </si>
  <si>
    <t>SYAHRUL ADHAN</t>
  </si>
  <si>
    <t>42058001410</t>
  </si>
  <si>
    <t>42058001</t>
  </si>
  <si>
    <t>Staff of Port Maint PdM &amp; PM Schedule</t>
  </si>
  <si>
    <t>SYAHRUL.ADHAN@SIG.ID</t>
  </si>
  <si>
    <t>JL. LANGGAU LR 1 NO. 7</t>
  </si>
  <si>
    <t>AMIN NUR</t>
  </si>
  <si>
    <t>4102416100</t>
  </si>
  <si>
    <t>42058101411</t>
  </si>
  <si>
    <t>42058101</t>
  </si>
  <si>
    <t>Group of Troubleshooting</t>
  </si>
  <si>
    <t>Sec Facility Mach Ma</t>
  </si>
  <si>
    <t>AMIN.NUR@SIG.ID</t>
  </si>
  <si>
    <t>WAHAR E.</t>
  </si>
  <si>
    <t>42058103510</t>
  </si>
  <si>
    <t>42058103</t>
  </si>
  <si>
    <t>Group of Loader &amp; Transport Miant</t>
  </si>
  <si>
    <t>WAHAR.E@SIG.ID</t>
  </si>
  <si>
    <t>BUNGORO-PERUM SAMALEWA</t>
  </si>
  <si>
    <t>MUH.ARIEF, SE.</t>
  </si>
  <si>
    <t>42058101412</t>
  </si>
  <si>
    <t>MUH.ARIEF4945@SIG.ID</t>
  </si>
  <si>
    <t>BULUSIPONG DESA BARA BATU KEC LABAKKANG</t>
  </si>
  <si>
    <t>ISAK PAERAN P.</t>
  </si>
  <si>
    <t>42058101413</t>
  </si>
  <si>
    <t>ISAK.PAERAN@SIG.ID</t>
  </si>
  <si>
    <t>SYAMSU RIJAL</t>
  </si>
  <si>
    <t>42058102410</t>
  </si>
  <si>
    <t>42058102</t>
  </si>
  <si>
    <t>Group of Packer Port Machine Maint</t>
  </si>
  <si>
    <t>SYAMSU.RIJAL@SIG.ID</t>
  </si>
  <si>
    <t>AGUS.D</t>
  </si>
  <si>
    <t>42058103410</t>
  </si>
  <si>
    <t>AGUS.D@SIG.ID</t>
  </si>
  <si>
    <t>JL. GARUDA No 10 T. 1</t>
  </si>
  <si>
    <t>SAMPARA.H</t>
  </si>
  <si>
    <t>42058103511</t>
  </si>
  <si>
    <t>SAMPARA.H@SIG.ID</t>
  </si>
  <si>
    <t>HERMANTO KURNIAWAN</t>
  </si>
  <si>
    <t>42058104410</t>
  </si>
  <si>
    <t>42058104</t>
  </si>
  <si>
    <t>Group of Silo &amp; Jetty Mechanical Maint.</t>
  </si>
  <si>
    <t>HERMANTO.KURNIAWAN@SIG.ID</t>
  </si>
  <si>
    <t>MAKASSAR-PERUMNAS JL.TIDUNG 2,STP.2 NO64</t>
  </si>
  <si>
    <t>RAPIUDDIN</t>
  </si>
  <si>
    <t>42058105410</t>
  </si>
  <si>
    <t>42058105</t>
  </si>
  <si>
    <t>RAPIUDDIN@SIG.ID</t>
  </si>
  <si>
    <t>PADAKKI</t>
  </si>
  <si>
    <t>MZ SUKMA HASTIKA, AMD.</t>
  </si>
  <si>
    <t>4102416200</t>
  </si>
  <si>
    <t>42058200310</t>
  </si>
  <si>
    <t>42058200</t>
  </si>
  <si>
    <t>Section of Port Facility Elins Maint.</t>
  </si>
  <si>
    <t>Sec Facility Elins M</t>
  </si>
  <si>
    <t>SUKMA.HASTIKA@SIG.ID</t>
  </si>
  <si>
    <t>OTTO MARIO, ST.</t>
  </si>
  <si>
    <t>42058201410</t>
  </si>
  <si>
    <t>42058201</t>
  </si>
  <si>
    <t>Group of Packer Port Elins Maintenance</t>
  </si>
  <si>
    <t>OTTO.MARIO@SIG.ID</t>
  </si>
  <si>
    <t>TONASA 1 - JL MANGEMBA NO.13</t>
  </si>
  <si>
    <t>ISWAR</t>
  </si>
  <si>
    <t>42058201510</t>
  </si>
  <si>
    <t>ISWAR@SIG.ID</t>
  </si>
  <si>
    <t>PANGKAJENE-JL.TERMINAL BARU SAMBUNG JAWA</t>
  </si>
  <si>
    <t>HERMAN, ST.</t>
  </si>
  <si>
    <t>42058202410</t>
  </si>
  <si>
    <t>42058202</t>
  </si>
  <si>
    <t>Group of Loader &amp; Transport Elins Maint.</t>
  </si>
  <si>
    <t>HERMAN.5148@SIG.ID</t>
  </si>
  <si>
    <t>BAHTIAR B.</t>
  </si>
  <si>
    <t>42058203410</t>
  </si>
  <si>
    <t>42058203</t>
  </si>
  <si>
    <t>Group of Port Control System Prev. Maint</t>
  </si>
  <si>
    <t>BAHTIAR.B@SIG.ID</t>
  </si>
  <si>
    <t>MAJANNANG DESA BULU CINDEA KEC. BUNGORO</t>
  </si>
  <si>
    <t>RIZAL</t>
  </si>
  <si>
    <t>42058203510</t>
  </si>
  <si>
    <t>RIZAL@SIG.ID</t>
  </si>
  <si>
    <t>BELAE, KELURAHAN BIRAENG, KECAMATAN MINASA TENE</t>
  </si>
  <si>
    <t>JUMADIN</t>
  </si>
  <si>
    <t>42058204510</t>
  </si>
  <si>
    <t>42058204</t>
  </si>
  <si>
    <t>Group of Silo, Jetty &amp; Tbgan Elins Maint</t>
  </si>
  <si>
    <t>JUMADIN@SIG.ID</t>
  </si>
  <si>
    <t>SUPRIADI</t>
  </si>
  <si>
    <t>42058205410</t>
  </si>
  <si>
    <t>42058205</t>
  </si>
  <si>
    <t>Group of BKS EP/DC PvM</t>
  </si>
  <si>
    <t>SUPRIADI.6193@SIG.ID</t>
  </si>
  <si>
    <t>JLN.MAWAR No. 49 T.I</t>
  </si>
  <si>
    <t>ADI FATKHURROHMAN, ST., MSc.</t>
  </si>
  <si>
    <t>4102100000</t>
  </si>
  <si>
    <t>42060000110</t>
  </si>
  <si>
    <t>42060000</t>
  </si>
  <si>
    <t>Dept. of Mining &amp; Power Plant</t>
  </si>
  <si>
    <t>Dept. Mining&amp;Pwr Pla</t>
  </si>
  <si>
    <t>ADI.FATKHURROHMAN@SIG.ID</t>
  </si>
  <si>
    <t>TONASA 2 - KEMBANG SEPATU NO.10</t>
  </si>
  <si>
    <t>ARIFUDDIN AMIN SIKKI</t>
  </si>
  <si>
    <t>42060000412</t>
  </si>
  <si>
    <t>ARIFUDDIN.SIKKI@SIG.ID</t>
  </si>
  <si>
    <t>TONASA 1 - JL.GARUDA NO.02</t>
  </si>
  <si>
    <t>BUDI WIYONO, ST.</t>
  </si>
  <si>
    <t>4102440000</t>
  </si>
  <si>
    <t>42061000210</t>
  </si>
  <si>
    <t>42061000</t>
  </si>
  <si>
    <t>Unit of Power Plant Operation</t>
  </si>
  <si>
    <t>Unit Operasi Pembang</t>
  </si>
  <si>
    <t>BUDI.WIYONO@SIG.ID</t>
  </si>
  <si>
    <t>TONASA 2-JL.KELAPA HIJAU O/13</t>
  </si>
  <si>
    <t>WIJANARKO, SE.</t>
  </si>
  <si>
    <t>4102440100</t>
  </si>
  <si>
    <t>42061200310</t>
  </si>
  <si>
    <t>42061200</t>
  </si>
  <si>
    <t>Section of Power Plant Operation</t>
  </si>
  <si>
    <t>Section of PPO</t>
  </si>
  <si>
    <t>WIJANARKO@SIG.ID</t>
  </si>
  <si>
    <t>PAKKABATA</t>
  </si>
  <si>
    <t>BTN BUNGORO INDAH BLOK C7/07 SAMALEWA BUNGORO</t>
  </si>
  <si>
    <t>ARMIN ARSYAD</t>
  </si>
  <si>
    <t>42061201410</t>
  </si>
  <si>
    <t>42061201</t>
  </si>
  <si>
    <t>Group of Power Plant CCR</t>
  </si>
  <si>
    <t>ARMIN.ARSYAD@SIG.ID</t>
  </si>
  <si>
    <t>TONASA 1 - JL.GARUDA NO.28</t>
  </si>
  <si>
    <t>BASIR NUNTUNG</t>
  </si>
  <si>
    <t>42061201411</t>
  </si>
  <si>
    <t>BASIR.NUNTUNG@SIG.ID</t>
  </si>
  <si>
    <t>JL ANDI MAPPE MALEWANG DESA SAMALEWA BUNGORO</t>
  </si>
  <si>
    <t>AMINOLLAH AIDID</t>
  </si>
  <si>
    <t>42061201412</t>
  </si>
  <si>
    <t>AMINOLLAH.AIDID@SIG.ID</t>
  </si>
  <si>
    <t>MUHAMMAD KAMAL SIDIK, ST.</t>
  </si>
  <si>
    <t>42061201413</t>
  </si>
  <si>
    <t>MUHAMMAD.SIDIK@SIG.ID</t>
  </si>
  <si>
    <t>JL. KETIMUN NO.27 PANGKAJENE</t>
  </si>
  <si>
    <t>KARLIN</t>
  </si>
  <si>
    <t>42061201414</t>
  </si>
  <si>
    <t>KARLIN@SIG.ID</t>
  </si>
  <si>
    <t>Lamongan</t>
  </si>
  <si>
    <t>AKMAL. S.M.</t>
  </si>
  <si>
    <t>42061201415</t>
  </si>
  <si>
    <t>AKMAL.6202@SIG.ID</t>
  </si>
  <si>
    <t>BTP JLN. KERUK BARAT 18 BLOK J NO. 403 RT 07 RW 13 MAKASSAR</t>
  </si>
  <si>
    <t>RAHADIANSYAH</t>
  </si>
  <si>
    <t>42061201416</t>
  </si>
  <si>
    <t>RAHADIANSYAH@SIG.ID</t>
  </si>
  <si>
    <t>42061201417</t>
  </si>
  <si>
    <t>JAMALUDDIN.4793@SIG.ID</t>
  </si>
  <si>
    <t>TONASA 1 - JL.COPPENG NO.2</t>
  </si>
  <si>
    <t>HASNAWING</t>
  </si>
  <si>
    <t>42061201418</t>
  </si>
  <si>
    <t>HASNAWING.4937@SIG.ID</t>
  </si>
  <si>
    <t>BORONG LOWA</t>
  </si>
  <si>
    <t>SYAHRIR.HN.</t>
  </si>
  <si>
    <t>42061201419</t>
  </si>
  <si>
    <t>SYAHRIR.HN@SIG.ID</t>
  </si>
  <si>
    <t>MAKMUR BEDDU</t>
  </si>
  <si>
    <t>42061201420</t>
  </si>
  <si>
    <t>MAKMUR.BEDDU@SIG.ID</t>
  </si>
  <si>
    <t>RUSLI YUSUF</t>
  </si>
  <si>
    <t>42061201421</t>
  </si>
  <si>
    <t>RUSLI.YUSUF@SIG.ID</t>
  </si>
  <si>
    <t>BALOCCI -TONASA 1 JL. MANGGA NO.4</t>
  </si>
  <si>
    <t>ABDUL KHALIK</t>
  </si>
  <si>
    <t>42061206410</t>
  </si>
  <si>
    <t>42061206</t>
  </si>
  <si>
    <t>Group of PP Boiler Operation</t>
  </si>
  <si>
    <t>ABDUL.KHALIK@SIG.ID</t>
  </si>
  <si>
    <t>DUSUN BADDO BADDO, KEC. MANDAI</t>
  </si>
  <si>
    <t>ARHAM AZIS</t>
  </si>
  <si>
    <t>42061206411</t>
  </si>
  <si>
    <t>ARHAM.AZIS@SIG.ID</t>
  </si>
  <si>
    <t>BIRING BALANG RT 6 RW 4</t>
  </si>
  <si>
    <t>ASDARLAN, ST.</t>
  </si>
  <si>
    <t>42061206412</t>
  </si>
  <si>
    <t>ASDARLAN@SIG.ID</t>
  </si>
  <si>
    <t>JL. ASOKA-LEJANG UTARA</t>
  </si>
  <si>
    <t>42061206413</t>
  </si>
  <si>
    <t>BAHARUDDIN.6257@SIG.ID</t>
  </si>
  <si>
    <t>MAJENNANG</t>
  </si>
  <si>
    <t>MAJENNANG BULU CINDEA KEC. BUNGORO</t>
  </si>
  <si>
    <t>ILMAN</t>
  </si>
  <si>
    <t>42061207410</t>
  </si>
  <si>
    <t>42061207</t>
  </si>
  <si>
    <t>Group of PP Turbin &amp; Generator Operation</t>
  </si>
  <si>
    <t>ILMAN@SIG.ID</t>
  </si>
  <si>
    <t>JL. BIRING ERE DESA BIRING ERE</t>
  </si>
  <si>
    <t>ILHAM YUSUF, ST.</t>
  </si>
  <si>
    <t>42061207411</t>
  </si>
  <si>
    <t>ILHAM.YUSUF5953@SIG.ID</t>
  </si>
  <si>
    <t>JL. BORONG UNTIA DESA BIRING ERE</t>
  </si>
  <si>
    <t>ASGITO</t>
  </si>
  <si>
    <t>42061207412</t>
  </si>
  <si>
    <t>ASGITO@SIG.ID</t>
  </si>
  <si>
    <t>TONASA 1 JL. GARUDA No. 22</t>
  </si>
  <si>
    <t>DEDI</t>
  </si>
  <si>
    <t>42061207413</t>
  </si>
  <si>
    <t>DEDI@SIG.ID</t>
  </si>
  <si>
    <t>BIRINGKASSI DESA BULU CINDEA KECAMATAN BUNGORO KABUPATEN PAN</t>
  </si>
  <si>
    <t>DAHRI</t>
  </si>
  <si>
    <t>42061208410</t>
  </si>
  <si>
    <t>42061208</t>
  </si>
  <si>
    <t>Group of PP Coal Mill Operation</t>
  </si>
  <si>
    <t>DAHRI@SIG.ID</t>
  </si>
  <si>
    <t>ASRIADI K.</t>
  </si>
  <si>
    <t>42061208411</t>
  </si>
  <si>
    <t>ASRIADI.K@SIG.ID</t>
  </si>
  <si>
    <t>GATTA-GATTARENG,DESATARAWEANG,RT01RW04,LABAKKANG,PANGKEP</t>
  </si>
  <si>
    <t>MUHAMMAD HARIS AKMAL,AMG</t>
  </si>
  <si>
    <t>42061208412</t>
  </si>
  <si>
    <t>MUHAMMAD.AKMAL@SIG.ID</t>
  </si>
  <si>
    <t>JL.PELELANGAN NO.9, KELURAHAN TEKOLABBUA, KECAMATAN PANGKAJE</t>
  </si>
  <si>
    <t>MUH.ANSAR J.</t>
  </si>
  <si>
    <t>42061208413</t>
  </si>
  <si>
    <t>MUHANSAR.J@SIG.ID</t>
  </si>
  <si>
    <t>JL.ANDI MAPPE NO 65,KELURAHAN SAMALEWA,KECAMATAN BUNGORO</t>
  </si>
  <si>
    <t>ANDI MAPPANYOMPA PK., SE.</t>
  </si>
  <si>
    <t>42061209410</t>
  </si>
  <si>
    <t>42061209</t>
  </si>
  <si>
    <t>Staff of PP Autonomous Operation</t>
  </si>
  <si>
    <t>ANDI.MAPPANYOMPA@SIG.ID</t>
  </si>
  <si>
    <t>JL. ANDI MARUDDIN KEL.PUNDATA BAJI, KEC. LABAKKANG, PANGKEP</t>
  </si>
  <si>
    <t>SYAHARUDDIN</t>
  </si>
  <si>
    <t>42061403510</t>
  </si>
  <si>
    <t>42061403</t>
  </si>
  <si>
    <t>Group of CUS Operation B</t>
  </si>
  <si>
    <t>SYAHARUDDIN@SIG.ID</t>
  </si>
  <si>
    <t>ANDI RAHMAT</t>
  </si>
  <si>
    <t>4102510100</t>
  </si>
  <si>
    <t>42061500311</t>
  </si>
  <si>
    <t>42061500</t>
  </si>
  <si>
    <t>Section of Treatment &amp; CUS Operation</t>
  </si>
  <si>
    <t>Sec WT &amp; CUS Ops</t>
  </si>
  <si>
    <t>ANDI.RAHMAT@SIG.ID</t>
  </si>
  <si>
    <t>TONASA 2 - JL.PALEM MERAH H/5</t>
  </si>
  <si>
    <t>AMRIL AMIRUDDIN</t>
  </si>
  <si>
    <t>42061501410</t>
  </si>
  <si>
    <t>42061501</t>
  </si>
  <si>
    <t>Group of Balance of Plant &amp; Laboratory</t>
  </si>
  <si>
    <t>AMRIL.AMIRUDDIN@SIG.ID</t>
  </si>
  <si>
    <t>JL. GAGAK TONASA I</t>
  </si>
  <si>
    <t>42061501411</t>
  </si>
  <si>
    <t>ILHAM.6173@SIG.ID</t>
  </si>
  <si>
    <t>TONASA I - JL. NENAS NO.5</t>
  </si>
  <si>
    <t>FIRMAN TAMRIN</t>
  </si>
  <si>
    <t>42061501412</t>
  </si>
  <si>
    <t>FIRMAN.TAMRIN@SIG.ID</t>
  </si>
  <si>
    <t>JL. LEANG KASSI KEL. MINASATENE KEC. MINASATENE</t>
  </si>
  <si>
    <t>KARMAN MALIK</t>
  </si>
  <si>
    <t>42061501413</t>
  </si>
  <si>
    <t>KARMAN.MALIK@SIG.ID</t>
  </si>
  <si>
    <t>JL. POROS KARIANGO KM.I NO.12</t>
  </si>
  <si>
    <t>H. ARIFUDDIN HS</t>
  </si>
  <si>
    <t>42061502411</t>
  </si>
  <si>
    <t>42061502</t>
  </si>
  <si>
    <t>Group of CUS Operation</t>
  </si>
  <si>
    <t>ARIFUDDIN.HS@SIG.ID</t>
  </si>
  <si>
    <t>KASSI</t>
  </si>
  <si>
    <t>ADY YUSWANTORO</t>
  </si>
  <si>
    <t>42061502412</t>
  </si>
  <si>
    <t>ADY.YUSWANTORO@SIG.ID</t>
  </si>
  <si>
    <t>ANDI MUH.IRFAN</t>
  </si>
  <si>
    <t>42061502413</t>
  </si>
  <si>
    <t>ANDI.IRFAN@SIG.ID</t>
  </si>
  <si>
    <t>JL. MACAN NO 29 TONASA 2</t>
  </si>
  <si>
    <t>BASRI.N</t>
  </si>
  <si>
    <t>42061502510</t>
  </si>
  <si>
    <t>BASRI.N@SIG.ID</t>
  </si>
  <si>
    <t>PANGKAJENE-JL. KEADILAN CAMBA TOA</t>
  </si>
  <si>
    <t>MUH.ICHSAN STEPHEN</t>
  </si>
  <si>
    <t>42061502512</t>
  </si>
  <si>
    <t>STEVEN.KAREL@SIG.ID</t>
  </si>
  <si>
    <t>TONASA 1 - JL.MANGG NO.6</t>
  </si>
  <si>
    <t>ASRIF</t>
  </si>
  <si>
    <t>42061502513</t>
  </si>
  <si>
    <t>ASRIF@SIG.ID</t>
  </si>
  <si>
    <t>PANGKAJENE-BTN BUMI TONASA PERMAI  C/1</t>
  </si>
  <si>
    <t>IDRUS.A</t>
  </si>
  <si>
    <t>42061502514</t>
  </si>
  <si>
    <t>IDRUS.A@SIG.ID</t>
  </si>
  <si>
    <t>AMIRUDDIN G.</t>
  </si>
  <si>
    <t>42061502515</t>
  </si>
  <si>
    <t>AMIRUDDIN.G@SIG.ID</t>
  </si>
  <si>
    <t>ABDUL KADIR</t>
  </si>
  <si>
    <t>42061503410</t>
  </si>
  <si>
    <t>42061503</t>
  </si>
  <si>
    <t>Staff of Autonomous Water Treat &amp; CUS Op</t>
  </si>
  <si>
    <t>ABDUL.KADIR6238@SIG.ID</t>
  </si>
  <si>
    <t>Deli Serdang</t>
  </si>
  <si>
    <t>JL. GARUDA No. 7 TONASA I</t>
  </si>
  <si>
    <t>RONIANSYAH MALINGGI, ST.</t>
  </si>
  <si>
    <t>4102440500</t>
  </si>
  <si>
    <t>42061600310</t>
  </si>
  <si>
    <t>42061600</t>
  </si>
  <si>
    <t>Section of PP Performance &amp; Evaluation</t>
  </si>
  <si>
    <t>Sec PP Plan &amp; Eval</t>
  </si>
  <si>
    <t>RONIANSYAH.MALINGGI@SIG.ID</t>
  </si>
  <si>
    <t>Penajam Paser Utara</t>
  </si>
  <si>
    <t>BATILING KEL LABBAKANG</t>
  </si>
  <si>
    <t>AMIR</t>
  </si>
  <si>
    <t>42061601410</t>
  </si>
  <si>
    <t>42061601</t>
  </si>
  <si>
    <t>Staff of PP Performance &amp; Evaluation</t>
  </si>
  <si>
    <t>AMIR@SIG.ID</t>
  </si>
  <si>
    <t>BONTO MAKKIO</t>
  </si>
  <si>
    <t>SAFARUDDIN, SE.</t>
  </si>
  <si>
    <t>42061601411</t>
  </si>
  <si>
    <t>SAFARUDDIN.6048@SIG.ID</t>
  </si>
  <si>
    <t>LEMBANG RT002/RW003, KELURAHAN MANGALLEKANA, KEC.LABAKKANG,</t>
  </si>
  <si>
    <t>MUDASSIR SYAM, ST.</t>
  </si>
  <si>
    <t>4102460000</t>
  </si>
  <si>
    <t>42062000210</t>
  </si>
  <si>
    <t>42062000</t>
  </si>
  <si>
    <t>Unit of Power Plant Machine Maint</t>
  </si>
  <si>
    <t>Unit Pemeliharaan Me</t>
  </si>
  <si>
    <t>MUDASSIR.SYAM@SIG.ID</t>
  </si>
  <si>
    <t>POMPANUA</t>
  </si>
  <si>
    <t>TONASA 2 - JL.KELAPA HIJAU K/14</t>
  </si>
  <si>
    <t>RUBEN BONDO, SE.</t>
  </si>
  <si>
    <t>4102460200</t>
  </si>
  <si>
    <t>42062100310</t>
  </si>
  <si>
    <t>42062100</t>
  </si>
  <si>
    <t>Section of Power Plant II Machine Maint</t>
  </si>
  <si>
    <t>Sec Pwr Plant Mach M</t>
  </si>
  <si>
    <t>RUBEN.BONDO@SIG.ID</t>
  </si>
  <si>
    <t>TONASA 2 - JL.BANTENG NO.19</t>
  </si>
  <si>
    <t>AKMAL</t>
  </si>
  <si>
    <t>42062101410</t>
  </si>
  <si>
    <t>42062101</t>
  </si>
  <si>
    <t>Staff of PdM &amp; PM Schd PP Machine Maint.</t>
  </si>
  <si>
    <t>AKMAL.5914@SIG.ID</t>
  </si>
  <si>
    <t>JL. JLN.MAWAR No. 22 TONASA I</t>
  </si>
  <si>
    <t>DANIAL</t>
  </si>
  <si>
    <t>42062101411</t>
  </si>
  <si>
    <t>DANIAL@SIG.ID</t>
  </si>
  <si>
    <t>JL. SULTAN HASANUDDIN KMP. MALELENG RT02/RW04 KEL.SIBATUA. K</t>
  </si>
  <si>
    <t>PAHRUL</t>
  </si>
  <si>
    <t>42062101412</t>
  </si>
  <si>
    <t>PAHRUL@SIG.ID</t>
  </si>
  <si>
    <t>Kolaka</t>
  </si>
  <si>
    <t>JL. GARUDA No. 50 TONASA I</t>
  </si>
  <si>
    <t>DASA AGUSTRIAWAN</t>
  </si>
  <si>
    <t>4104200100</t>
  </si>
  <si>
    <t>42062200310</t>
  </si>
  <si>
    <t>42062200</t>
  </si>
  <si>
    <t>Section of CUS Maintenance</t>
  </si>
  <si>
    <t>Sec CUS Maintenance</t>
  </si>
  <si>
    <t>DASA.AGUSTRIAWAN@SIG.ID</t>
  </si>
  <si>
    <t>M.YUNUS</t>
  </si>
  <si>
    <t>42061502410</t>
  </si>
  <si>
    <t>M.YUNUS@SIG.ID</t>
  </si>
  <si>
    <t>SIDRAP</t>
  </si>
  <si>
    <t>TONASA 2 - JL.TUPAI NO.37</t>
  </si>
  <si>
    <t>MUHAMMAD RIZAL</t>
  </si>
  <si>
    <t>42062202410</t>
  </si>
  <si>
    <t>42062202</t>
  </si>
  <si>
    <t>Group of PvM CUS Elins</t>
  </si>
  <si>
    <t>MUHAMMAD.RIZAL6230@SIG.ID</t>
  </si>
  <si>
    <t>KP. BERU DUSUN CINIAYO DESA PANYANGKALANG</t>
  </si>
  <si>
    <t>ARMIN</t>
  </si>
  <si>
    <t>42062203410</t>
  </si>
  <si>
    <t>42062203</t>
  </si>
  <si>
    <t>Group of PdM &amp; PM Scdl CUS Machine</t>
  </si>
  <si>
    <t>ARMIN@SIG.ID</t>
  </si>
  <si>
    <t>MINASATE'NE</t>
  </si>
  <si>
    <t>M.AGUS</t>
  </si>
  <si>
    <t>Group PP Machine Maintenance</t>
  </si>
  <si>
    <t>MAGUS@SIG.ID</t>
  </si>
  <si>
    <t>JL. DAHLIA No. 35 T. I</t>
  </si>
  <si>
    <t>RESKI KARIM</t>
  </si>
  <si>
    <t>42062203411</t>
  </si>
  <si>
    <t>RESKI.KARIM@SIG.ID</t>
  </si>
  <si>
    <t>SELA DESA MANGILU,KEC.BUNGORO, KAB. PANGKEP</t>
  </si>
  <si>
    <t>NATAN S.</t>
  </si>
  <si>
    <t>42062203412</t>
  </si>
  <si>
    <t>NATAN.S@SIG.ID</t>
  </si>
  <si>
    <t>TONASA 1 - JL.GARUDA NO.42</t>
  </si>
  <si>
    <t>MUSABIR</t>
  </si>
  <si>
    <t>42062203413</t>
  </si>
  <si>
    <t>MUSABIR@SIG.ID</t>
  </si>
  <si>
    <t>TONASA 2 - JL GAJAH NO.18</t>
  </si>
  <si>
    <t>HARDI</t>
  </si>
  <si>
    <t>42062204410</t>
  </si>
  <si>
    <t>42062204</t>
  </si>
  <si>
    <t>Group of PvM CUS Machine</t>
  </si>
  <si>
    <t>HARDI.5871@SIG.ID</t>
  </si>
  <si>
    <t>BORONG UNTIA RT001/RW005, KELURAHAN BIRING ERE, KECAMATAN BU</t>
  </si>
  <si>
    <t>SYAIRUL TONAPA, SE.</t>
  </si>
  <si>
    <t>4102500200</t>
  </si>
  <si>
    <t>42062301410</t>
  </si>
  <si>
    <t>42062301</t>
  </si>
  <si>
    <t>Staff of PP Planning &amp; Controlling</t>
  </si>
  <si>
    <t>Sec PP Ops Plan&amp;Cont</t>
  </si>
  <si>
    <t>SYAIRUL.TONAPA@SIG.ID</t>
  </si>
  <si>
    <t>TONASA 1 - JL.COPPENG NO.3</t>
  </si>
  <si>
    <t>YUNUS PALANDONGAN</t>
  </si>
  <si>
    <t>42062301412</t>
  </si>
  <si>
    <t>YUNUS.PALANDONGAN@SIG.ID</t>
  </si>
  <si>
    <t>BUNGORO-BTN   INDAH  C4/4</t>
  </si>
  <si>
    <t>HAIRUDDIN, SE., MM.</t>
  </si>
  <si>
    <t>42062301413</t>
  </si>
  <si>
    <t>HAIRUDDIN@SIG.ID</t>
  </si>
  <si>
    <t>JL MATAHARI PERUM MARATAHARI RESIDENCE B 15</t>
  </si>
  <si>
    <t>MUHAMMAD RUSDIANTO HN, ST., MT.</t>
  </si>
  <si>
    <t>4102480000</t>
  </si>
  <si>
    <t>42063000210</t>
  </si>
  <si>
    <t>42063000</t>
  </si>
  <si>
    <t>Unit of Power Distribution</t>
  </si>
  <si>
    <t>Unit Distribusi Daya</t>
  </si>
  <si>
    <t>MUHAMMAD.RUSDIANTO@SIG.ID</t>
  </si>
  <si>
    <t>TONASA 2-JL. PALEM KUNING G/7</t>
  </si>
  <si>
    <t>LAMASI, ST.</t>
  </si>
  <si>
    <t>4102440400</t>
  </si>
  <si>
    <t>42063100310</t>
  </si>
  <si>
    <t>42063100</t>
  </si>
  <si>
    <t>Section of Electricity Load Control</t>
  </si>
  <si>
    <t>Seksi Pengaturan Beb</t>
  </si>
  <si>
    <t>LAMASI@SIG.ID</t>
  </si>
  <si>
    <t>TONASA 2 - JL.PALEM MERAH O/2</t>
  </si>
  <si>
    <t>NUR IRVANSYAH</t>
  </si>
  <si>
    <t>42063102410</t>
  </si>
  <si>
    <t>42063102</t>
  </si>
  <si>
    <t>Group of PP Electr Load Control (1)</t>
  </si>
  <si>
    <t>NUR.IRVANSYAH@SIG.ID</t>
  </si>
  <si>
    <t>KMP. BARU DESA BARA BATU RT. 02/01 KEC. LABAKKANG</t>
  </si>
  <si>
    <t>YUSUF BUDI PAKADANG, ST.</t>
  </si>
  <si>
    <t>42063107410</t>
  </si>
  <si>
    <t>42063107</t>
  </si>
  <si>
    <t>Group of PP Electr Load Ctrl (2/3/4/5)</t>
  </si>
  <si>
    <t>YUSUF.PAKADANG@SIG.ID</t>
  </si>
  <si>
    <t>JL BANTENG NO 21 TONASA II</t>
  </si>
  <si>
    <t>MUH.ABU KHAIR A.</t>
  </si>
  <si>
    <t>42063108411</t>
  </si>
  <si>
    <t>42063108</t>
  </si>
  <si>
    <t>Group of PP Troubleshooting</t>
  </si>
  <si>
    <t>MUHABU.KHAIR@SIG.ID</t>
  </si>
  <si>
    <t>JL. SULTAN HASANUDDIN, KEL TUMAMPUA KEC. PANGKAJENE</t>
  </si>
  <si>
    <t>JERRI JUSTINUS L.</t>
  </si>
  <si>
    <t>42063101410</t>
  </si>
  <si>
    <t>42063101</t>
  </si>
  <si>
    <t>JERRI.JUSTINUS@SIG.ID</t>
  </si>
  <si>
    <t>TONASA 2 - JL.ANOA NO.21</t>
  </si>
  <si>
    <t>INDRA MAULANA</t>
  </si>
  <si>
    <t>4102480100</t>
  </si>
  <si>
    <t>42063108412</t>
  </si>
  <si>
    <t>Staff of Trafo 70KV &amp; Switch Gear 6,3KV</t>
  </si>
  <si>
    <t>Sec Electrical Net M</t>
  </si>
  <si>
    <t>INDRA.MAULANA@SIG.ID</t>
  </si>
  <si>
    <t>SELA DESA MANGILU</t>
  </si>
  <si>
    <t>MUHAMMAD IKBAL</t>
  </si>
  <si>
    <t>42063108413</t>
  </si>
  <si>
    <t>MUHAMMAD.IKBAL5929@SIG.ID</t>
  </si>
  <si>
    <t>IRFAN</t>
  </si>
  <si>
    <t>42063200310</t>
  </si>
  <si>
    <t>42063200</t>
  </si>
  <si>
    <t>Section of Electrical Network Maint</t>
  </si>
  <si>
    <t>IRFAN@SIG.ID</t>
  </si>
  <si>
    <t>JL. GAJAH NO 36 PERUM LAMA TONASA 2</t>
  </si>
  <si>
    <t>BOBI HASRUDDIN</t>
  </si>
  <si>
    <t>42063202410</t>
  </si>
  <si>
    <t>42063202</t>
  </si>
  <si>
    <t>Staff of Autonomous Electr Load Control</t>
  </si>
  <si>
    <t>BOBI.HASRUDDIN@SIG.ID</t>
  </si>
  <si>
    <t>TONASA 2 - JL.MACAN NO.17</t>
  </si>
  <si>
    <t>42063203411</t>
  </si>
  <si>
    <t>42063203</t>
  </si>
  <si>
    <t>RUSLI.6027@SIG.ID</t>
  </si>
  <si>
    <t>TONASA 1 - JL MAWAR NO.25</t>
  </si>
  <si>
    <t>HENDRIK ALVIAN</t>
  </si>
  <si>
    <t>42063203412</t>
  </si>
  <si>
    <t>Group of PdM &amp; PM Schd Elect Network Mai</t>
  </si>
  <si>
    <t>HENDRIK.ALVIAN@SIG.ID</t>
  </si>
  <si>
    <t>Sukoharjo</t>
  </si>
  <si>
    <t>TONASA I - JALAN DAHLIA NO.41</t>
  </si>
  <si>
    <t>SARIFUDDIN D.</t>
  </si>
  <si>
    <t>42063203413</t>
  </si>
  <si>
    <t>Group of Trans Net 70KV &amp;Dist 22KV Maint</t>
  </si>
  <si>
    <t>SARIFUDDIN.D@SIG.ID</t>
  </si>
  <si>
    <t>TONASA 2 JL.SERIGALA NO.23</t>
  </si>
  <si>
    <t>RAHMAT YAKIN</t>
  </si>
  <si>
    <t>42063203414</t>
  </si>
  <si>
    <t>RAHMAT.YAKIN@SIG.ID</t>
  </si>
  <si>
    <t>JL.SERIGALA NO.52 TONASA II</t>
  </si>
  <si>
    <t>JOENARDY</t>
  </si>
  <si>
    <t>42063204410</t>
  </si>
  <si>
    <t>42063204</t>
  </si>
  <si>
    <t>JOENARDY@SIG.ID</t>
  </si>
  <si>
    <t>TONASA 1 - JL DAHLIA NO.43</t>
  </si>
  <si>
    <t>ABD.WAHID</t>
  </si>
  <si>
    <t>4102520000</t>
  </si>
  <si>
    <t>42064000210</t>
  </si>
  <si>
    <t>42064000</t>
  </si>
  <si>
    <t>Unit of Power Plant Elec Instr Maint</t>
  </si>
  <si>
    <t>Unit Pemeliharaan El</t>
  </si>
  <si>
    <t>ABD.WAHID5082@SIG.ID</t>
  </si>
  <si>
    <t>TONASA 2 - JL KELAPA HIJAU O/17</t>
  </si>
  <si>
    <t>MUH. DARIS DANIAL, ST.</t>
  </si>
  <si>
    <t>4102440300</t>
  </si>
  <si>
    <t>42064100310</t>
  </si>
  <si>
    <t>42064100</t>
  </si>
  <si>
    <t>Section of Power Plant Elctrical Maint.</t>
  </si>
  <si>
    <t>SiePemList Pembgkit</t>
  </si>
  <si>
    <t>MUH.DANIAL@SIG.ID</t>
  </si>
  <si>
    <t>MUH.SABRI MB.</t>
  </si>
  <si>
    <t>42064102410</t>
  </si>
  <si>
    <t>42064102</t>
  </si>
  <si>
    <t>Group of Electrical Control</t>
  </si>
  <si>
    <t>MUHSABRI.MB@SIG.ID</t>
  </si>
  <si>
    <t>tonasa 1 - jl garuda 6</t>
  </si>
  <si>
    <t>MUH.YUNUS GAUS</t>
  </si>
  <si>
    <t>42064104410</t>
  </si>
  <si>
    <t>42064104</t>
  </si>
  <si>
    <t>Group of PP Electrical</t>
  </si>
  <si>
    <t>MUHYUNUS.GAUS@SIG.ID</t>
  </si>
  <si>
    <t>BALANGERASA, KEC. BONTOTIRO,JENEPONTO</t>
  </si>
  <si>
    <t>42064104411</t>
  </si>
  <si>
    <t>SAFRI.6256@SIG.ID</t>
  </si>
  <si>
    <t>TONASA I - JL GARUDA NO.27</t>
  </si>
  <si>
    <t>SATTU LOMBI</t>
  </si>
  <si>
    <t>42064105410</t>
  </si>
  <si>
    <t>42064105</t>
  </si>
  <si>
    <t>Group of PP Elctrical (Shift)</t>
  </si>
  <si>
    <t>SATTU.LOMBI@SIG.ID</t>
  </si>
  <si>
    <t>PANA</t>
  </si>
  <si>
    <t>TONASA 2 - MACAN NO.11</t>
  </si>
  <si>
    <t>ZALDI SANJAYA</t>
  </si>
  <si>
    <t>42064105411</t>
  </si>
  <si>
    <t>Group of PP Electrical (Shift)</t>
  </si>
  <si>
    <t>ZALDI.SANJAYA@SIG.ID</t>
  </si>
  <si>
    <t>BTN CIPTA MANDAI INDAH B3/4, KEC. MANDAI, KAB. MAROS</t>
  </si>
  <si>
    <t>ARFADLY A.</t>
  </si>
  <si>
    <t>42064106410</t>
  </si>
  <si>
    <t>42064106</t>
  </si>
  <si>
    <t>Staff of PdM &amp; PM Schedule Electrical</t>
  </si>
  <si>
    <t>ARFADLY.A@SIG.ID</t>
  </si>
  <si>
    <t>JL. SULTAN HASANUDIN</t>
  </si>
  <si>
    <t>WALIYADIN TAHIR</t>
  </si>
  <si>
    <t>42064106411</t>
  </si>
  <si>
    <t>WALIYADIN.TAHIR@SIG.ID</t>
  </si>
  <si>
    <t>JL. SULTAN ALAUDDIN 2/ PA'BENTENGAN</t>
  </si>
  <si>
    <t>HENDRA RUKMANA</t>
  </si>
  <si>
    <t>42064107410</t>
  </si>
  <si>
    <t>42064107</t>
  </si>
  <si>
    <t>Group of PvM PP Electrical</t>
  </si>
  <si>
    <t>HENDRA.RUKMANA@SIG.ID</t>
  </si>
  <si>
    <t>JL. HANDAYANI LAPADDE</t>
  </si>
  <si>
    <t>JAMALUDDIN SESA</t>
  </si>
  <si>
    <t>4102460300</t>
  </si>
  <si>
    <t>42064201410</t>
  </si>
  <si>
    <t>42064201</t>
  </si>
  <si>
    <t>Group of Automation</t>
  </si>
  <si>
    <t>SiePem Inst Pembgkit</t>
  </si>
  <si>
    <t>JAMALUDDIN.SESA@SIG.ID</t>
  </si>
  <si>
    <t>MAKASSAR-BPS  E2 NO 29</t>
  </si>
  <si>
    <t>RAKHMAT HIDAYAT</t>
  </si>
  <si>
    <t>42064203410</t>
  </si>
  <si>
    <t>42064203</t>
  </si>
  <si>
    <t>Group of PP Instrument</t>
  </si>
  <si>
    <t>RAKHMAT.HIDAYAT@SIG.ID</t>
  </si>
  <si>
    <t>TONASA I - JALAN DAHLIA NO.59</t>
  </si>
  <si>
    <t>AHMAD AMIRUDDIN</t>
  </si>
  <si>
    <t>42064203411</t>
  </si>
  <si>
    <t>AHMAD.AMIRUDDIN@SIG.ID</t>
  </si>
  <si>
    <t>JL. GOA RIA KOMP. PERMATA REGENCY BLOK G.4</t>
  </si>
  <si>
    <t>NASRULLAH</t>
  </si>
  <si>
    <t>42064203412</t>
  </si>
  <si>
    <t>NASRULLAH.6114@SIG.ID</t>
  </si>
  <si>
    <t>TONASA 1 - JL.GARUDA NO.39</t>
  </si>
  <si>
    <t>RAHMAT HARUNA, S.M</t>
  </si>
  <si>
    <t>42064203413</t>
  </si>
  <si>
    <t>RAHMAT.HARUNA@SIG.ID</t>
  </si>
  <si>
    <t>JL. MAWAR No. 52 T,I</t>
  </si>
  <si>
    <t>JULHAIDIR A.</t>
  </si>
  <si>
    <t>42064204410</t>
  </si>
  <si>
    <t>42064204</t>
  </si>
  <si>
    <t>Staff of PdM &amp; PM Schedule Instrument</t>
  </si>
  <si>
    <t>JULHAIDIR.A@SIG.ID</t>
  </si>
  <si>
    <t>JL. SALEMO LR. 158 NO. 9  MAKASSAR</t>
  </si>
  <si>
    <t>ABDUL AZIS, ST.</t>
  </si>
  <si>
    <t>42064204411</t>
  </si>
  <si>
    <t>ABDUL.AZIS5940@SIG.ID</t>
  </si>
  <si>
    <t>JL. ANDI TORANG NO. 124 DESA PADANGLAMPE KEC. MA'ARANG</t>
  </si>
  <si>
    <t>A.AMIRUDDIN ALIAH, ST.</t>
  </si>
  <si>
    <t>42064205410</t>
  </si>
  <si>
    <t>42064205</t>
  </si>
  <si>
    <t>Group of PvM PP Instrument</t>
  </si>
  <si>
    <t>AAMIRUDDIN.ALIAH@SIG.ID</t>
  </si>
  <si>
    <t>BUNGORO INDAH BLOK D/2 NO.6</t>
  </si>
  <si>
    <t>IMRAN, ST., MT.</t>
  </si>
  <si>
    <t>4102110000</t>
  </si>
  <si>
    <t>42067000210</t>
  </si>
  <si>
    <t>42067000</t>
  </si>
  <si>
    <t>Unit of Mining Operation</t>
  </si>
  <si>
    <t>Unit Mining Operatio</t>
  </si>
  <si>
    <t>IMRAN@SIG.ID</t>
  </si>
  <si>
    <t>Toli-Toli</t>
  </si>
  <si>
    <t>TONASA II - JL.KELAPA HIJAU H/12</t>
  </si>
  <si>
    <t>42067103510</t>
  </si>
  <si>
    <t>42067103</t>
  </si>
  <si>
    <t>Group of Blasting</t>
  </si>
  <si>
    <t>SAHARUDDIN.4548@SIG.ID</t>
  </si>
  <si>
    <t>BASRI.G</t>
  </si>
  <si>
    <t>42067103511</t>
  </si>
  <si>
    <t>BASRI.G@SIG.ID</t>
  </si>
  <si>
    <t>KABBA</t>
  </si>
  <si>
    <t>PANGKAJENE-JL. SAMPIG KT LRH</t>
  </si>
  <si>
    <t>H. FERRY WARDANA</t>
  </si>
  <si>
    <t>4102110200</t>
  </si>
  <si>
    <t>42067200310</t>
  </si>
  <si>
    <t>42067200</t>
  </si>
  <si>
    <t>Section of Limestone Mining</t>
  </si>
  <si>
    <t>Seksi Op Tambang BK</t>
  </si>
  <si>
    <t>FERRY.WARDANA@SIG.ID</t>
  </si>
  <si>
    <t>Purworejo</t>
  </si>
  <si>
    <t>HERU YUWANTO</t>
  </si>
  <si>
    <t>42067201410</t>
  </si>
  <si>
    <t>42067201</t>
  </si>
  <si>
    <t>Group of Limestone Loading &amp; Hauling</t>
  </si>
  <si>
    <t>HERU.YUWANTO@SIG.ID</t>
  </si>
  <si>
    <t>TOMALA</t>
  </si>
  <si>
    <t>TONASA 2 - JL.MANGGA NO.12</t>
  </si>
  <si>
    <t>BAKRI SALIM</t>
  </si>
  <si>
    <t>42067201411</t>
  </si>
  <si>
    <t>BAKRI.SALIM@SIG.ID</t>
  </si>
  <si>
    <t>RACHMAD</t>
  </si>
  <si>
    <t>42067202510</t>
  </si>
  <si>
    <t>42067202</t>
  </si>
  <si>
    <t>RACHMAD@SIG.ID</t>
  </si>
  <si>
    <t>MAPILI</t>
  </si>
  <si>
    <t>PANGKAJENE-KASSI TINAMBUN</t>
  </si>
  <si>
    <t>MAKMUR</t>
  </si>
  <si>
    <t>42067203410</t>
  </si>
  <si>
    <t>42067203</t>
  </si>
  <si>
    <t>Group of Mining Sevices</t>
  </si>
  <si>
    <t>MAKMUR.5232@SIG.ID</t>
  </si>
  <si>
    <t>TONASA I - JL NENAS NO.6</t>
  </si>
  <si>
    <t>BASRI</t>
  </si>
  <si>
    <t>42067204410</t>
  </si>
  <si>
    <t>42067204</t>
  </si>
  <si>
    <t>BASRI.4873@SIG.ID</t>
  </si>
  <si>
    <t>JL.ANOA 37 TONASA II</t>
  </si>
  <si>
    <t>KAMARUDDIN, SE.</t>
  </si>
  <si>
    <t>42067205410</t>
  </si>
  <si>
    <t>42067205</t>
  </si>
  <si>
    <t>Group of Drilling &amp; Mine Development</t>
  </si>
  <si>
    <t>KAMARUDDIN.5185@SIG.ID</t>
  </si>
  <si>
    <t>KALAMESUA</t>
  </si>
  <si>
    <t>PANGKEP JL. MATAHARI</t>
  </si>
  <si>
    <t>ABD.HAMID</t>
  </si>
  <si>
    <t>4102110300</t>
  </si>
  <si>
    <t>42067301410</t>
  </si>
  <si>
    <t>42067301</t>
  </si>
  <si>
    <t>Group of Clay Mining</t>
  </si>
  <si>
    <t>Seksi Op. Penamb TL</t>
  </si>
  <si>
    <t>ABD.HAMID@SIG.ID</t>
  </si>
  <si>
    <t>UJUNG BATU</t>
  </si>
  <si>
    <t>BUNGORO-DESA MANGILU</t>
  </si>
  <si>
    <t>42067301411</t>
  </si>
  <si>
    <t>SUPRIADI@SIG.ID</t>
  </si>
  <si>
    <t>BATUKAROPA</t>
  </si>
  <si>
    <t>42067303410</t>
  </si>
  <si>
    <t>42067303</t>
  </si>
  <si>
    <t>Group of Outer Clay Quarry</t>
  </si>
  <si>
    <t>SAINUDDIN.4907@SIG.ID</t>
  </si>
  <si>
    <t>PANGKAJENE-KAMPUNG CAMBATOA, KEL</t>
  </si>
  <si>
    <t>DANANG REZKI FAJAR</t>
  </si>
  <si>
    <t>42067303411</t>
  </si>
  <si>
    <t>DANANG.FAJAR@SIG.ID</t>
  </si>
  <si>
    <t>MAKASSAR-JL.DAENG TATA I  B6/10A</t>
  </si>
  <si>
    <t>HIRWAN, AMD.</t>
  </si>
  <si>
    <t>42067303412</t>
  </si>
  <si>
    <t>HIRWAN.K@SIG.ID</t>
  </si>
  <si>
    <t>42067303413</t>
  </si>
  <si>
    <t>AMIRUDDIN.4864@SIG.ID</t>
  </si>
  <si>
    <t>YUSUF MUHAMMAD</t>
  </si>
  <si>
    <t>4102110400</t>
  </si>
  <si>
    <t>42067402510</t>
  </si>
  <si>
    <t>42067402</t>
  </si>
  <si>
    <t>Group of Plant Green Service</t>
  </si>
  <si>
    <t>Sec Mine Sefety Recl</t>
  </si>
  <si>
    <t>YUSUF.MUHAMMAD@SIG.ID</t>
  </si>
  <si>
    <t>PANGKAJENE-DS.TONDONGKURA TONDONGTALASA</t>
  </si>
  <si>
    <t>PARLINDUNGAN PARDOSI, ST.,M.S.M</t>
  </si>
  <si>
    <t>4102130000</t>
  </si>
  <si>
    <t>42068000210</t>
  </si>
  <si>
    <t>42068000</t>
  </si>
  <si>
    <t>Unit of Raw Material Management</t>
  </si>
  <si>
    <t>Unit Raw Material Mg</t>
  </si>
  <si>
    <t>PARLINDUNGAN.PARDOSI@SIG.ID</t>
  </si>
  <si>
    <t>PARSOBURAN</t>
  </si>
  <si>
    <t>T-2 JL KEMBANG SEPATU NO. 6</t>
  </si>
  <si>
    <t>SYAMSUL BAHRI</t>
  </si>
  <si>
    <t>4102130100</t>
  </si>
  <si>
    <t>42068100310</t>
  </si>
  <si>
    <t>42068100</t>
  </si>
  <si>
    <t>Section of Limestone Crusher Operation</t>
  </si>
  <si>
    <t>Sie Ops Crusher BK</t>
  </si>
  <si>
    <t>SYAMSUL.BAHRI@SIG.ID</t>
  </si>
  <si>
    <t>TONASA 2 - JL.MACAN NO.44</t>
  </si>
  <si>
    <t>MUH.HASBI AFSANI SY.</t>
  </si>
  <si>
    <t>42068103410</t>
  </si>
  <si>
    <t>42068103</t>
  </si>
  <si>
    <t>Staff of Autonomous LS Crusher</t>
  </si>
  <si>
    <t>MUHHASBI.AFSANI@SIG.ID</t>
  </si>
  <si>
    <t>TONASA II - JL SERIGALA NO.58</t>
  </si>
  <si>
    <t>AMINULLAH</t>
  </si>
  <si>
    <t>42068104410</t>
  </si>
  <si>
    <t>42068104</t>
  </si>
  <si>
    <t>Group of Line 4 Limestone Crusher</t>
  </si>
  <si>
    <t>AMINULLAH@SIG.ID</t>
  </si>
  <si>
    <t>YUSRI MUHTAR</t>
  </si>
  <si>
    <t>42068104412</t>
  </si>
  <si>
    <t>YUSRI.MUHTAR@SIG.ID</t>
  </si>
  <si>
    <t>MAKASSAR-JL.TEKUKUR I NO12 KOMP  PATOMPO</t>
  </si>
  <si>
    <t>MUH.MIFTAH EMIL A.</t>
  </si>
  <si>
    <t>42068104413</t>
  </si>
  <si>
    <t>MUH.EMIL@SIG.ID</t>
  </si>
  <si>
    <t>TONASA 2 - JL.GAJAH NO.28</t>
  </si>
  <si>
    <t>SIRAJUDDIN</t>
  </si>
  <si>
    <t>42068105410</t>
  </si>
  <si>
    <t>42068105</t>
  </si>
  <si>
    <t>Group of Control Room LS Crusher (4)</t>
  </si>
  <si>
    <t>SIRAJUDDIN@SIG.ID</t>
  </si>
  <si>
    <t>AMBON-RT01 NO27 KELURAHAN WAINITU AMBON</t>
  </si>
  <si>
    <t>M.DARUSLAN</t>
  </si>
  <si>
    <t>42068105411</t>
  </si>
  <si>
    <t>M.DARUSLAN@SIG.ID</t>
  </si>
  <si>
    <t>42068105412</t>
  </si>
  <si>
    <t>ISMAIL.4522@SIG.ID</t>
  </si>
  <si>
    <t>RASYID</t>
  </si>
  <si>
    <t>42068105413</t>
  </si>
  <si>
    <t>RASYID@SIG.ID</t>
  </si>
  <si>
    <t>42068106410</t>
  </si>
  <si>
    <t>42068106</t>
  </si>
  <si>
    <t>Group of Line 5 Limestone Crusher</t>
  </si>
  <si>
    <t>ABDULLAH@SIG.ID</t>
  </si>
  <si>
    <t>IMRAN, SE.</t>
  </si>
  <si>
    <t>42068106411</t>
  </si>
  <si>
    <t>IMRAN.5161@SIG.ID</t>
  </si>
  <si>
    <t>TONASA 2 - JL.MACAN NO.3</t>
  </si>
  <si>
    <t>AFANDY M.</t>
  </si>
  <si>
    <t>42068106413</t>
  </si>
  <si>
    <t>AFANDY.M@SIG.ID</t>
  </si>
  <si>
    <t>MA'RANG</t>
  </si>
  <si>
    <t>ALEKARAJAE DESA PADANG LAMPE KEC MA'RANG</t>
  </si>
  <si>
    <t>HAMZAH</t>
  </si>
  <si>
    <t>42068107410</t>
  </si>
  <si>
    <t>42068107</t>
  </si>
  <si>
    <t>Group of Control Room LS Crusher (5)</t>
  </si>
  <si>
    <t>HAMZAH.4905@SIG.ID</t>
  </si>
  <si>
    <t>TONASA 1 - JL.MAWAR NO.16</t>
  </si>
  <si>
    <t>MUH.ANWAR, SE.</t>
  </si>
  <si>
    <t>42068107411</t>
  </si>
  <si>
    <t>MUH.ANWAR5184@SIG.ID</t>
  </si>
  <si>
    <t>TONASA 1 - JL.JAMBU NO.4</t>
  </si>
  <si>
    <t>ABDUL MAARIF</t>
  </si>
  <si>
    <t>42068107412</t>
  </si>
  <si>
    <t>ABDUL.MAARIF@SIG.ID</t>
  </si>
  <si>
    <t>JL. MAWAR NO. 40 TONASA I KEC. BALOCCI</t>
  </si>
  <si>
    <t>42068107413</t>
  </si>
  <si>
    <t>MUH.BASRI4626@SIG.ID</t>
  </si>
  <si>
    <t>TONASA 1-JL.BANGAU NO 15</t>
  </si>
  <si>
    <t>MUHAMMAD ZUBAIR BASO, ST., MT.</t>
  </si>
  <si>
    <t>4102130400</t>
  </si>
  <si>
    <t>42068200310</t>
  </si>
  <si>
    <t>42068200</t>
  </si>
  <si>
    <t>Section of Clay Crusher Operation</t>
  </si>
  <si>
    <t>Sec Clay Crusher Op</t>
  </si>
  <si>
    <t>MUHAMMAD.BASO@SIG.ID</t>
  </si>
  <si>
    <t>TONASA 2 - JL.PALEM MERAH BLOK H NO.4</t>
  </si>
  <si>
    <t>HAERUDDIN N.</t>
  </si>
  <si>
    <t>42068201410</t>
  </si>
  <si>
    <t>42068201</t>
  </si>
  <si>
    <t>Group of Line 4/5 Silica Crusher</t>
  </si>
  <si>
    <t>HAERUDDIN.N@SIG.ID</t>
  </si>
  <si>
    <t>TONASA 1 - JL.MAWAR NO.18</t>
  </si>
  <si>
    <t>YUSBIN.Y</t>
  </si>
  <si>
    <t>42068201411</t>
  </si>
  <si>
    <t>YUSBIN.Y@SIG.ID</t>
  </si>
  <si>
    <t>ABD.HARIS</t>
  </si>
  <si>
    <t>42068206410</t>
  </si>
  <si>
    <t>42068206</t>
  </si>
  <si>
    <t>Group of Control Room Silica Crush (4/5)</t>
  </si>
  <si>
    <t>ABD.HARIS4453@SIG.ID</t>
  </si>
  <si>
    <t>TONASA 2 - JL. SERIGALA NO.2</t>
  </si>
  <si>
    <t>MAHYUDDIN</t>
  </si>
  <si>
    <t>42068207410</t>
  </si>
  <si>
    <t>42068207</t>
  </si>
  <si>
    <t>Group of Line 2/3/4/5 Clay Crusher</t>
  </si>
  <si>
    <t>MAHYUDDIN@SIG.ID</t>
  </si>
  <si>
    <t>TANDAKAN</t>
  </si>
  <si>
    <t>JL.SERIGALA NO.60 TONASA II</t>
  </si>
  <si>
    <t>MANSYUR.R</t>
  </si>
  <si>
    <t>42068207412</t>
  </si>
  <si>
    <t>MANSYUR.R@SIG.ID</t>
  </si>
  <si>
    <t>NASRUDDIN L.</t>
  </si>
  <si>
    <t>42068207413</t>
  </si>
  <si>
    <t>NASRUDDIN.L@SIG.ID</t>
  </si>
  <si>
    <t>BUJUNG</t>
  </si>
  <si>
    <t>MAKASSAR-BTN  RAYA  K/28</t>
  </si>
  <si>
    <t>BAHTIAR, AMD.</t>
  </si>
  <si>
    <t>42068207414</t>
  </si>
  <si>
    <t>BAHTIAR.5986@SIG.ID</t>
  </si>
  <si>
    <t>TONASA I - JALAN GARUDA NO.8</t>
  </si>
  <si>
    <t>42068207415</t>
  </si>
  <si>
    <t>SULAIMAN.4583@SIG.ID</t>
  </si>
  <si>
    <t>TONASA 2 - JL.TUPAI 5</t>
  </si>
  <si>
    <t>MUHAMMAD ASHAR</t>
  </si>
  <si>
    <t>42068208410</t>
  </si>
  <si>
    <t>42068208</t>
  </si>
  <si>
    <t>Group of CR Clay Crusher (2/3/4/5)</t>
  </si>
  <si>
    <t>ASHAR@SIG.ID</t>
  </si>
  <si>
    <t>PANGKAJENE-GALUNG BOKO KABBA</t>
  </si>
  <si>
    <t>42068208411</t>
  </si>
  <si>
    <t>AKMAL.5146@SIG.ID</t>
  </si>
  <si>
    <t>PANGKAJENE-DESA BONTOA, KECAMATAN ,</t>
  </si>
  <si>
    <t>MUHAMAD RIZAL</t>
  </si>
  <si>
    <t>42068208412</t>
  </si>
  <si>
    <t>MUHAMAD.RIZAL@SIG.ID</t>
  </si>
  <si>
    <t>TONASA II - JL.TUPAI NO.33</t>
  </si>
  <si>
    <t>ARDIANSYAH</t>
  </si>
  <si>
    <t>42068208413</t>
  </si>
  <si>
    <t>ARDIANSYAH.5055@SIG.ID</t>
  </si>
  <si>
    <t>TONASA 1 - JL NENAS NO.3</t>
  </si>
  <si>
    <t>SYAHRUL</t>
  </si>
  <si>
    <t>42068208414</t>
  </si>
  <si>
    <t>SYAHRUL@SIG.ID</t>
  </si>
  <si>
    <t>JL.SERIGALA NO.50 TONASA II</t>
  </si>
  <si>
    <t>YAKOBUS AMBANG</t>
  </si>
  <si>
    <t>42068208415</t>
  </si>
  <si>
    <t>YAKOBUS.AMBANG@SIG.ID</t>
  </si>
  <si>
    <t>LIMBONG</t>
  </si>
  <si>
    <t>JL. TUPAI NO.19 TONASA II</t>
  </si>
  <si>
    <t>BENYAMIN</t>
  </si>
  <si>
    <t>42068209410</t>
  </si>
  <si>
    <t>42068209</t>
  </si>
  <si>
    <t>Staff of Autonomous Clay &amp; Silica Crushe</t>
  </si>
  <si>
    <t>BENYAMIN@SIG.ID</t>
  </si>
  <si>
    <t>TONASA 2 - JL.SERIGALA NO.48</t>
  </si>
  <si>
    <t>REZKY TRI MULYONO</t>
  </si>
  <si>
    <t>4102110100</t>
  </si>
  <si>
    <t>42069100310</t>
  </si>
  <si>
    <t>42069100</t>
  </si>
  <si>
    <t>Section of Mine Planning &amp; Monitoring</t>
  </si>
  <si>
    <t>Seksi Perencanaan &amp;</t>
  </si>
  <si>
    <t>REZKY.MULYONO@SIG.ID</t>
  </si>
  <si>
    <t>TONASA 1 - JL JAMBU NO.2</t>
  </si>
  <si>
    <t>SYAMSYARIF SYAMSUAR</t>
  </si>
  <si>
    <t>42069101410</t>
  </si>
  <si>
    <t>42069101</t>
  </si>
  <si>
    <t>Staff of Mine Plan</t>
  </si>
  <si>
    <t>SYAM.SYAMSUAR@SIG.ID</t>
  </si>
  <si>
    <t>TONASA 1 - JL.COPPENG NO.4</t>
  </si>
  <si>
    <t>MUHAMMAD SYAHRUL SALEH, ST.</t>
  </si>
  <si>
    <t>42069101411</t>
  </si>
  <si>
    <t>MUHAMMAD.SALEH@SIG.ID</t>
  </si>
  <si>
    <t>JL. CENDANA TIMUR NO. 5 KEL. PADOANGDOANGANG KEC. PANGKAJENE</t>
  </si>
  <si>
    <t>MUH. ZUHAL JAYA, ST.</t>
  </si>
  <si>
    <t>42069101412</t>
  </si>
  <si>
    <t>MUH.JAYA@SIG.ID</t>
  </si>
  <si>
    <t>Jl. Mungkasa, RT 01/RW 02, Desa Salekoe, PALOPO</t>
  </si>
  <si>
    <t>MUH.NURDIANSYAH ILYAS, S.Kom.</t>
  </si>
  <si>
    <t>42069102410</t>
  </si>
  <si>
    <t>42069102</t>
  </si>
  <si>
    <t>Group of Mine Mapping &amp; Survey</t>
  </si>
  <si>
    <t>MUHNURDIANSYAH.ILYAS@SIG.ID</t>
  </si>
  <si>
    <t>JL. ANDI MAPPE KEL. SAMALEWA BUNGORO</t>
  </si>
  <si>
    <t>BAHRUL</t>
  </si>
  <si>
    <t>42069103410</t>
  </si>
  <si>
    <t>42069103</t>
  </si>
  <si>
    <t>Group of Explosive Warehouse</t>
  </si>
  <si>
    <t>BAHRUL@SIG.ID</t>
  </si>
  <si>
    <t>PANGKAJENE-JL.SERIGALA NO.40  I</t>
  </si>
  <si>
    <t>GAZALY, ST.</t>
  </si>
  <si>
    <t>42069200310</t>
  </si>
  <si>
    <t>42069200</t>
  </si>
  <si>
    <t>Section of Mine Safety Reclamation</t>
  </si>
  <si>
    <t>GAZALY@SIG.ID</t>
  </si>
  <si>
    <t>TONASA 2 - JL.PALEM MERAH K/5</t>
  </si>
  <si>
    <t>BAHRUL ULUM SYAH, S.P.</t>
  </si>
  <si>
    <t>42069201410</t>
  </si>
  <si>
    <t>42069201</t>
  </si>
  <si>
    <t>Group of Reclamation</t>
  </si>
  <si>
    <t>BAHRUL.SYAH@SIG.ID</t>
  </si>
  <si>
    <t>PERUM RACHITA 2BLOK C NO II/12</t>
  </si>
  <si>
    <t>M.SALIM SARIHUDDIN</t>
  </si>
  <si>
    <t>42069202410</t>
  </si>
  <si>
    <t>42069202</t>
  </si>
  <si>
    <t>SALIM.SARIHUDDIN@SIG.ID</t>
  </si>
  <si>
    <t>SYAMSUAR, SE.</t>
  </si>
  <si>
    <t>42069203410</t>
  </si>
  <si>
    <t>42069203</t>
  </si>
  <si>
    <t>Group of Mining Safety Supervision</t>
  </si>
  <si>
    <t>SYAMSUAR.4997@SIG.ID</t>
  </si>
  <si>
    <t>TONDONG</t>
  </si>
  <si>
    <t>RANDY APRIZAL REWAH, ST.</t>
  </si>
  <si>
    <t>42069203411</t>
  </si>
  <si>
    <t>RANDY.REWAH@SIG.ID</t>
  </si>
  <si>
    <t>PERUMAHAN ANGIN MAMIRI BLOK F/4 NO 9 KEC RAPPOCINI</t>
  </si>
  <si>
    <t>SYAFARDINO, ST.</t>
  </si>
  <si>
    <t>4102000000</t>
  </si>
  <si>
    <t>42070000110</t>
  </si>
  <si>
    <t>42070000</t>
  </si>
  <si>
    <t>Dep. of Project Mngmnt &amp; Maint. Support</t>
  </si>
  <si>
    <t>Direktur Operasi</t>
  </si>
  <si>
    <t>SYAFARDINO@SIG.ID</t>
  </si>
  <si>
    <t>SINGKI</t>
  </si>
  <si>
    <t>TONASA 2 - JL.MAWAR D/3</t>
  </si>
  <si>
    <t>ALAMSYAH, Ir., ST., IPM.</t>
  </si>
  <si>
    <t>4103210000</t>
  </si>
  <si>
    <t>42071000210</t>
  </si>
  <si>
    <t>42071000</t>
  </si>
  <si>
    <t>Unit of Engineering</t>
  </si>
  <si>
    <t>ALAMSYAH.5247@SIG.ID</t>
  </si>
  <si>
    <t>ZULFIKAR SHINDU DHARMA, SE.</t>
  </si>
  <si>
    <t>4103210100</t>
  </si>
  <si>
    <t>42071100410</t>
  </si>
  <si>
    <t>42071100</t>
  </si>
  <si>
    <t>Staff of Mechanical Design Engineer</t>
  </si>
  <si>
    <t>Staf Mech Design</t>
  </si>
  <si>
    <t>ZULFIKAR.DHARMA@SIG.ID</t>
  </si>
  <si>
    <t>TONASA II - JL.GAJAH NO.46</t>
  </si>
  <si>
    <t>ASRIYANTO NASIR, Ir., ST., MM., IPU.</t>
  </si>
  <si>
    <t>4103210300</t>
  </si>
  <si>
    <t>42071200310</t>
  </si>
  <si>
    <t>42071200</t>
  </si>
  <si>
    <t>Staff of Elins Design Engineer</t>
  </si>
  <si>
    <t>Staf Elins Design En</t>
  </si>
  <si>
    <t>ASRIYANTO.NASIR@SIG.ID</t>
  </si>
  <si>
    <t>MALILI</t>
  </si>
  <si>
    <t>KELAPA  HIJAU No. 1 TONASA II</t>
  </si>
  <si>
    <t>MUH.FAISAL</t>
  </si>
  <si>
    <t>42071200410</t>
  </si>
  <si>
    <t>MUH.FAISAL@SIG.ID</t>
  </si>
  <si>
    <t>NANI SIWI LESTARI, AMD.</t>
  </si>
  <si>
    <t>4103210200</t>
  </si>
  <si>
    <t>42071300310</t>
  </si>
  <si>
    <t>42071300</t>
  </si>
  <si>
    <t>Staff of Civil Design Engineer</t>
  </si>
  <si>
    <t>Staf Civil Design En</t>
  </si>
  <si>
    <t>NANI.LESTARI@SIG.ID</t>
  </si>
  <si>
    <t>Bantul</t>
  </si>
  <si>
    <t>TONASA 2-JL.Serigala No.32</t>
  </si>
  <si>
    <t>ARDINI ANSAR, ST.</t>
  </si>
  <si>
    <t>42071300410</t>
  </si>
  <si>
    <t>ARDINI.ANSAR@SIG.ID</t>
  </si>
  <si>
    <t>TONASA 2 - JL.MACAN 10</t>
  </si>
  <si>
    <t>CENDHIKA LARASSAYOM ESA, Ir., ST.</t>
  </si>
  <si>
    <t>4103220200</t>
  </si>
  <si>
    <t>42071400310</t>
  </si>
  <si>
    <t>42071400</t>
  </si>
  <si>
    <t>Staff of Process Design Engineer</t>
  </si>
  <si>
    <t>Staff of Proc Des En</t>
  </si>
  <si>
    <t>CENDHIKA.ESA@SIG.ID</t>
  </si>
  <si>
    <t>YATMAN SETIAWAN, ST., MM.</t>
  </si>
  <si>
    <t>4103220000</t>
  </si>
  <si>
    <t>42072000210</t>
  </si>
  <si>
    <t>42072000</t>
  </si>
  <si>
    <t>Unit of Project Management</t>
  </si>
  <si>
    <t>Unit of Project Mana</t>
  </si>
  <si>
    <t>YATMAN.SETIAWAN@SIG.ID</t>
  </si>
  <si>
    <t>Depok</t>
  </si>
  <si>
    <t>TONASA 2 - JL BERINGIN I/21</t>
  </si>
  <si>
    <t>SURAHMAN, ST.</t>
  </si>
  <si>
    <t>4103220100</t>
  </si>
  <si>
    <t>42072100310</t>
  </si>
  <si>
    <t>42072100</t>
  </si>
  <si>
    <t>Section of Project Execution (Constr.)</t>
  </si>
  <si>
    <t>Sec Proj Exec (Const</t>
  </si>
  <si>
    <t>SURAHMAN@SIG.ID</t>
  </si>
  <si>
    <t>BUA</t>
  </si>
  <si>
    <t>MAKASSAR-JL.RAPPOKALLING RAYA 29 RT5/RW4</t>
  </si>
  <si>
    <t>MUHAMMAD MASDAR HASANUDDIN</t>
  </si>
  <si>
    <t>42072101410</t>
  </si>
  <si>
    <t>42072101</t>
  </si>
  <si>
    <t>Group of Civil Infrastructure</t>
  </si>
  <si>
    <t>MUHAMMAD.HASANUDDIN@SIG.ID</t>
  </si>
  <si>
    <t>JL. MATAHARI PERUM POLRI BLOK G/ NO.15</t>
  </si>
  <si>
    <t>MADYSON MALANGUNA</t>
  </si>
  <si>
    <t>42072101411</t>
  </si>
  <si>
    <t>MADYSON.MALANGUNA@SIG.ID</t>
  </si>
  <si>
    <t>TONASA 1 - JL.JERUK NO.8</t>
  </si>
  <si>
    <t>42072102410</t>
  </si>
  <si>
    <t>42072102</t>
  </si>
  <si>
    <t>Group of Mechanical &amp; Fabrication</t>
  </si>
  <si>
    <t>SAHARUDDIN.4815@SIG.ID</t>
  </si>
  <si>
    <t>PANGKAJENE-DESA BARABATU</t>
  </si>
  <si>
    <t>IMRAN</t>
  </si>
  <si>
    <t>42072102411</t>
  </si>
  <si>
    <t>IMRAN.6138@SIG.ID</t>
  </si>
  <si>
    <t>BIRING ERE DESA BIRING ERE</t>
  </si>
  <si>
    <t>ARMAN TAHIR</t>
  </si>
  <si>
    <t>42072103410</t>
  </si>
  <si>
    <t>42072103</t>
  </si>
  <si>
    <t>Group of Elins Construction</t>
  </si>
  <si>
    <t>ARMAN.TAHIR@SIG.ID</t>
  </si>
  <si>
    <t>RAWI SALAMUN</t>
  </si>
  <si>
    <t>42072104410</t>
  </si>
  <si>
    <t>42072104</t>
  </si>
  <si>
    <t>Staff of Capex Inventory Control</t>
  </si>
  <si>
    <t>RAWI.SALAMUN@SIG.ID</t>
  </si>
  <si>
    <t>TONASA 2 - JL.MACAN NO.19</t>
  </si>
  <si>
    <t>ABD.RASAK, ST.</t>
  </si>
  <si>
    <t>4102420700</t>
  </si>
  <si>
    <t>42072200310</t>
  </si>
  <si>
    <t>42072200</t>
  </si>
  <si>
    <t>Staff of OVH Management</t>
  </si>
  <si>
    <t>Staff of OVH Mangmnt</t>
  </si>
  <si>
    <t>ABD.RASAK@SIG.ID</t>
  </si>
  <si>
    <t>TONASA 2 - JL KELAPA HIJAU K/9</t>
  </si>
  <si>
    <t>SONAL PILO, S.ST</t>
  </si>
  <si>
    <t>42072200311</t>
  </si>
  <si>
    <t>SONAL.PILO@SIG.ID</t>
  </si>
  <si>
    <t>BANGA</t>
  </si>
  <si>
    <t>TONASA 2-JL.SERIGALA NO.15</t>
  </si>
  <si>
    <t>SEMOEL EDOWARD H.</t>
  </si>
  <si>
    <t>42072200412</t>
  </si>
  <si>
    <t>SEMOEL.EDOWARD@SIG.ID</t>
  </si>
  <si>
    <t>TONASA 2 - JL SERIGALA NO. 31</t>
  </si>
  <si>
    <t>JUFRI.M</t>
  </si>
  <si>
    <t>42072200413</t>
  </si>
  <si>
    <t>JUFRI.M@SIG.ID</t>
  </si>
  <si>
    <t>TONASA 2 - JL.MACAN  NO.32</t>
  </si>
  <si>
    <t>SUAIB</t>
  </si>
  <si>
    <t>42072200414</t>
  </si>
  <si>
    <t>SUAIB@SIG.ID</t>
  </si>
  <si>
    <t>TONASA 1 - JL. MELATI NO.2</t>
  </si>
  <si>
    <t>ZYAENAL YUSUF M., ST.</t>
  </si>
  <si>
    <t>42072200415</t>
  </si>
  <si>
    <t>ZYAENAL.YUSUF@SIG.ID</t>
  </si>
  <si>
    <t>TONASA 2 - JL.TUPAI 14</t>
  </si>
  <si>
    <t>FIRDAUS RASYID, ST.</t>
  </si>
  <si>
    <t>42058001411</t>
  </si>
  <si>
    <t>FIRDAUS.RASYID@SIG.ID</t>
  </si>
  <si>
    <t>TONASA II - JL. MACAN NO.42</t>
  </si>
  <si>
    <t>SAMIRUDDIN</t>
  </si>
  <si>
    <t>42072200416</t>
  </si>
  <si>
    <t>SAMIRUDDIN@SIG.ID</t>
  </si>
  <si>
    <t>BUNGORO PANGKEP</t>
  </si>
  <si>
    <t>RUSTAM S.</t>
  </si>
  <si>
    <t>42072200417</t>
  </si>
  <si>
    <t>RUSTAM.S@SIG.ID</t>
  </si>
  <si>
    <t>SUPARDI</t>
  </si>
  <si>
    <t>42072200418</t>
  </si>
  <si>
    <t>SUPARDI.6245@SIG.ID</t>
  </si>
  <si>
    <t>JL. MATOA DARISE TIMBUSANG KEL. BONTOA KEC. MINASATENE PANGK</t>
  </si>
  <si>
    <t>MUH. ASIS ASRI, ST.</t>
  </si>
  <si>
    <t>4102411000</t>
  </si>
  <si>
    <t>42073000210</t>
  </si>
  <si>
    <t>42073000</t>
  </si>
  <si>
    <t>Unit of CAPEX Management</t>
  </si>
  <si>
    <t>Unit of CAPEX Mngmnt</t>
  </si>
  <si>
    <t>MUH.ASIS@SIG.ID</t>
  </si>
  <si>
    <t>TONASA 2 - JL.BANTENG NO.24</t>
  </si>
  <si>
    <t>ALIM WAHYU</t>
  </si>
  <si>
    <t>4102420600</t>
  </si>
  <si>
    <t>42073100410</t>
  </si>
  <si>
    <t>42073100</t>
  </si>
  <si>
    <t>Staff of CAPEX</t>
  </si>
  <si>
    <t>ALIM.WAHYU@SIG.ID</t>
  </si>
  <si>
    <t>JL. KEADILAN RT. 01 /03 KEL. PABUNDUKANG KEC. PANGKAJENE</t>
  </si>
  <si>
    <t>ASHAR ASDAR, AMD.</t>
  </si>
  <si>
    <t>42073100411</t>
  </si>
  <si>
    <t>ASHAR.ASDAR@SIG.ID</t>
  </si>
  <si>
    <t>SAEPUL, SE.</t>
  </si>
  <si>
    <t>42073100412</t>
  </si>
  <si>
    <t>SAEPUL@SIG.ID</t>
  </si>
  <si>
    <t>JL. POROS SILORO DESA MANGILU KEC. BUNGORO</t>
  </si>
  <si>
    <t>ASRIZAL, ST.</t>
  </si>
  <si>
    <t>42074000210</t>
  </si>
  <si>
    <t>42074000</t>
  </si>
  <si>
    <t>Staff of TPM Officer</t>
  </si>
  <si>
    <t>ASRIZAL@SIG.ID</t>
  </si>
  <si>
    <t>JL. KELAPA HIJAU H/10</t>
  </si>
  <si>
    <t>ANWAR, ST.</t>
  </si>
  <si>
    <t>42074000211</t>
  </si>
  <si>
    <t>ANWAR@SIG.ID</t>
  </si>
  <si>
    <t>TONASA 2 - JL KELAPA HIJAU O/14</t>
  </si>
  <si>
    <t>SAFRI MADJID</t>
  </si>
  <si>
    <t>42074000311</t>
  </si>
  <si>
    <t>Staff of TPM</t>
  </si>
  <si>
    <t>SAFRI.MADJID@SIG.ID</t>
  </si>
  <si>
    <t>TONASA 2 - JL.GAJAH NO.43</t>
  </si>
  <si>
    <t>KAMALUDDIN P, SE.</t>
  </si>
  <si>
    <t>42074000312</t>
  </si>
  <si>
    <t>KAMALUDDIN.P@SIG.ID</t>
  </si>
  <si>
    <t>JL KETIMUN II NO 19 MAPPASAILE PANGKAJENE</t>
  </si>
  <si>
    <t>SADRAKH MARTODA MASIKU</t>
  </si>
  <si>
    <t>42074000315</t>
  </si>
  <si>
    <t>SADRAKH.MASIKU@SIG.ID</t>
  </si>
  <si>
    <t>TONASA 2 - JL.BANTENG NO.29</t>
  </si>
  <si>
    <t>AHMAR, ST.</t>
  </si>
  <si>
    <t>42074000317</t>
  </si>
  <si>
    <t>AHMAR@SIG.ID</t>
  </si>
  <si>
    <t>JL MACCINI RAYA NO 51</t>
  </si>
  <si>
    <t>42074000319</t>
  </si>
  <si>
    <t>AHMAD.4924@SIG.ID</t>
  </si>
  <si>
    <t>TONASA 2 - JL.PALEM MERAH K/2</t>
  </si>
  <si>
    <t>M.HALIS</t>
  </si>
  <si>
    <t>42074000410</t>
  </si>
  <si>
    <t>M.HALIS@SIG.ID</t>
  </si>
  <si>
    <t>BATU KARAPA</t>
  </si>
  <si>
    <t>PANGKAJENE-PERUM BTN SAMALEWA JL.MERDEKA</t>
  </si>
  <si>
    <t>ZULKARNAEN NATSIR, AMD.</t>
  </si>
  <si>
    <t>42074000411</t>
  </si>
  <si>
    <t>ZULKARNAEN.NATSIR@SIG.ID</t>
  </si>
  <si>
    <t>MAKASSAR-BTN MINASA UPA  J6/16 RAPPOCINI GUNUNG SARI</t>
  </si>
  <si>
    <t>NUR ASMAL MUSTAFA, ST.</t>
  </si>
  <si>
    <t>42075000210</t>
  </si>
  <si>
    <t>42075000</t>
  </si>
  <si>
    <t>NUR.MUSTAFA@SIG.ID</t>
  </si>
  <si>
    <t>MAKASSAR-JL.PAMPANG I NO.52</t>
  </si>
  <si>
    <t>ARIF BUDIMAN, AMD.</t>
  </si>
  <si>
    <t>42075100310</t>
  </si>
  <si>
    <t>42075100</t>
  </si>
  <si>
    <t>Section of Elins Workshop</t>
  </si>
  <si>
    <t>ARIF.BUDIMAN@SIG.ID</t>
  </si>
  <si>
    <t>TONASA 2 - JL.KELAPA HIJAU K/10</t>
  </si>
  <si>
    <t>WAHYUDIN, ST.</t>
  </si>
  <si>
    <t>42075101410</t>
  </si>
  <si>
    <t>42075101</t>
  </si>
  <si>
    <t>Group of PdM Elins Workshop</t>
  </si>
  <si>
    <t>WAHYUDIN.M@SIG.ID</t>
  </si>
  <si>
    <t>JL.ANGGREK BLOK E9 NO.10 KEL.BONTOA KEC. MANDAI KAB.MAROS</t>
  </si>
  <si>
    <t>LA AMI ENTE</t>
  </si>
  <si>
    <t>42075102410</t>
  </si>
  <si>
    <t>42075102</t>
  </si>
  <si>
    <t>Group of AC Maintenance &amp; Utility</t>
  </si>
  <si>
    <t>AMI.ENTE@SIG.ID</t>
  </si>
  <si>
    <t>UNSUME</t>
  </si>
  <si>
    <t>WANUA BARUE(LABAKKANG)</t>
  </si>
  <si>
    <t>SUKRIADI TOLA</t>
  </si>
  <si>
    <t>42075103410</t>
  </si>
  <si>
    <t>42075103</t>
  </si>
  <si>
    <t>Group of Motor Rewinding</t>
  </si>
  <si>
    <t>SUKRIADI.TOLA@SIG.ID</t>
  </si>
  <si>
    <t>PANGKAJENE-PADANGLAMPE, KEC. MARANG</t>
  </si>
  <si>
    <t>SYAHARUDDIN NGEWA</t>
  </si>
  <si>
    <t>42075200310</t>
  </si>
  <si>
    <t>42075200</t>
  </si>
  <si>
    <t>Section of Machine Workshop</t>
  </si>
  <si>
    <t>SYAHRUDDIN.NGEWA@SIG.ID</t>
  </si>
  <si>
    <t>Soppeng</t>
  </si>
  <si>
    <t>TONASA 2 - JL.ANOA NO.1</t>
  </si>
  <si>
    <t>MAULANA HARJO</t>
  </si>
  <si>
    <t>4102410100</t>
  </si>
  <si>
    <t>42075201410</t>
  </si>
  <si>
    <t>42075201</t>
  </si>
  <si>
    <t>Group of Workshop</t>
  </si>
  <si>
    <t>Seksi Bengkel Mesin</t>
  </si>
  <si>
    <t>MAULANA.HARJO@SIG.ID</t>
  </si>
  <si>
    <t>TONASA II - JL.ANOA NO.38</t>
  </si>
  <si>
    <t>AGUS</t>
  </si>
  <si>
    <t>42075201411</t>
  </si>
  <si>
    <t>AGUS.6216@SIG.ID</t>
  </si>
  <si>
    <t>KAMP. BALANG RT. 01. RW. 04 DESA BIRING ERE KEC. BUNGORO</t>
  </si>
  <si>
    <t>MUH.SYUKRI, SE.</t>
  </si>
  <si>
    <t>42075202410</t>
  </si>
  <si>
    <t>42075202</t>
  </si>
  <si>
    <t>Group of Estimator &amp; Planning</t>
  </si>
  <si>
    <t>MUHSYUKRI@SIG.ID</t>
  </si>
  <si>
    <t>TONASA 2 - JL. TARAWEANG NO.27</t>
  </si>
  <si>
    <t>MUH.ADNAN, ST.</t>
  </si>
  <si>
    <t>42075203410</t>
  </si>
  <si>
    <t>42075203</t>
  </si>
  <si>
    <t>Group of Fabrication</t>
  </si>
  <si>
    <t>MUHADNAN@SIG.ID</t>
  </si>
  <si>
    <t>TONASA 1 - JL.DAHLIA 32</t>
  </si>
  <si>
    <t>A.ABUSTAN ARIFIN</t>
  </si>
  <si>
    <t>42075203411</t>
  </si>
  <si>
    <t>AABUSTAN.ARIFIN@SIG.ID</t>
  </si>
  <si>
    <t>SONY DJANUARDI</t>
  </si>
  <si>
    <t>42075300412</t>
  </si>
  <si>
    <t>42075300</t>
  </si>
  <si>
    <t>Staff of Field Supporting</t>
  </si>
  <si>
    <t>SONY.DJANUARDI@SIG.ID</t>
  </si>
  <si>
    <t>KAMP.BARU RT002/RW001, KELURAHAN BARA BATU,KECAMATAN LABAKKA</t>
  </si>
  <si>
    <t>MUH.WASI</t>
  </si>
  <si>
    <t>42075300413</t>
  </si>
  <si>
    <t>MUH.WASI@SIG.ID</t>
  </si>
  <si>
    <t>AMRANI</t>
  </si>
  <si>
    <t>42075300415</t>
  </si>
  <si>
    <t>AMRANI@SIG.ID</t>
  </si>
  <si>
    <t>PANGKAJENE-JL.POROS BIRINGKS LEMPANGAN</t>
  </si>
  <si>
    <t>NURALAM</t>
  </si>
  <si>
    <t>42075300511</t>
  </si>
  <si>
    <t>NURALAM@SIG.ID</t>
  </si>
  <si>
    <t>BOWONG</t>
  </si>
  <si>
    <t>IFNUL MUBARAK, S.Si., M.Si.</t>
  </si>
  <si>
    <t>4102420000</t>
  </si>
  <si>
    <t>42076000210</t>
  </si>
  <si>
    <t>42076000</t>
  </si>
  <si>
    <t>Unit of Maintenance Planning &amp; Eval.</t>
  </si>
  <si>
    <t>Unit Perencanaan &amp; E</t>
  </si>
  <si>
    <t>IFNUL.MUBARAK@SIG.ID</t>
  </si>
  <si>
    <t>TONASA 2-JL PALEM MERAH O/10</t>
  </si>
  <si>
    <t>42076100411</t>
  </si>
  <si>
    <t>42076100</t>
  </si>
  <si>
    <t>Staff of Maintenance Control &amp; Eval.</t>
  </si>
  <si>
    <t>AKBAR.4750@SIG.ID</t>
  </si>
  <si>
    <t>Jl. Poros Madduntu Bungoro Indah Baru (Poros Bowong Cindea).</t>
  </si>
  <si>
    <t>SAWEDIAL, SE.</t>
  </si>
  <si>
    <t>42076100412</t>
  </si>
  <si>
    <t>SAWEDIAL@SIG.ID</t>
  </si>
  <si>
    <t>SABINTANG</t>
  </si>
  <si>
    <t>TONASA 2 - JL.ANOA NO.18</t>
  </si>
  <si>
    <t>PAHMAN, AMD.</t>
  </si>
  <si>
    <t>42076100413</t>
  </si>
  <si>
    <t>PAHMAN@SIG.ID</t>
  </si>
  <si>
    <t>NUHA</t>
  </si>
  <si>
    <t>JL.MACAN NO.20 TONASA II</t>
  </si>
  <si>
    <t>MUHAMMAD ARIF, ST.</t>
  </si>
  <si>
    <t>42076200310</t>
  </si>
  <si>
    <t>42076200</t>
  </si>
  <si>
    <t>Staff of Spare Part Planning</t>
  </si>
  <si>
    <t>MUHAMMAD.ARIF@SIG.ID</t>
  </si>
  <si>
    <t>TONASA 2-JL.BANTENG NO.2</t>
  </si>
  <si>
    <t>JUSRIADI, AMD.</t>
  </si>
  <si>
    <t>42076200410</t>
  </si>
  <si>
    <t>JUSRIADI@SIG.ID</t>
  </si>
  <si>
    <t>BATU NONG</t>
  </si>
  <si>
    <t>TONASA 2 - JL.BANTENG NO.7</t>
  </si>
  <si>
    <t>ALI AKBAR</t>
  </si>
  <si>
    <t>42076200411</t>
  </si>
  <si>
    <t>ALI.AKBAR6228@SIG.ID</t>
  </si>
  <si>
    <t>PERUM BIP KATAPANG, JL DURIAN BARAT D3/20</t>
  </si>
  <si>
    <t>AGUS SALIM, ST.</t>
  </si>
  <si>
    <t>42076200412</t>
  </si>
  <si>
    <t>AGUS.SALIM5968@SIG.ID</t>
  </si>
  <si>
    <t>BANTILANG RT. 3 RW 01 DESA TEKOLABBUA KEC. PANGKAJENE</t>
  </si>
  <si>
    <t>AFRIYANTO DAHLAN</t>
  </si>
  <si>
    <t>42076200413</t>
  </si>
  <si>
    <t>AFRIYANTO.DAHLAN@SIG.ID</t>
  </si>
  <si>
    <t>BTN BUNGORO INDAH BLOK AW5 RT/RW 03/04 KEL SAMALEWA</t>
  </si>
  <si>
    <t>FANDI HAKIM, ST.</t>
  </si>
  <si>
    <t>42076200414</t>
  </si>
  <si>
    <t>FANDI.HAKIM@SIG.ID</t>
  </si>
  <si>
    <t>Griya Shifa Alamanda Blok G No ,  , Kel. Sokaraja Kulon</t>
  </si>
  <si>
    <t>YUSRIADI, S.M.</t>
  </si>
  <si>
    <t>42076200417</t>
  </si>
  <si>
    <t>YUSRIADI@SIG.ID</t>
  </si>
  <si>
    <t>JAMAL, AMD.</t>
  </si>
  <si>
    <t>42076300310</t>
  </si>
  <si>
    <t>42076300</t>
  </si>
  <si>
    <t>Staff of Service Planning</t>
  </si>
  <si>
    <t>JAMAL.5358@SIG.ID</t>
  </si>
  <si>
    <t>LOKOK</t>
  </si>
  <si>
    <t>Tonasa 2 Jl. Serigala No.42</t>
  </si>
  <si>
    <t>RAMLA AMBO TUWO</t>
  </si>
  <si>
    <t>42076300410</t>
  </si>
  <si>
    <t>RAMLA.TUWO@SIG.ID</t>
  </si>
  <si>
    <t>JL CENDANA TIMUR</t>
  </si>
  <si>
    <t>ST.ZAENAB, S.KM.</t>
  </si>
  <si>
    <t>42076300411</t>
  </si>
  <si>
    <t>STZAENAB@SIG.ID</t>
  </si>
  <si>
    <t>TONASA 2 - JL. SERIGALA NO. 46</t>
  </si>
  <si>
    <t>ANZAR R.LANTIK, AMD.</t>
  </si>
  <si>
    <t>42076300412</t>
  </si>
  <si>
    <t>ANZAR.RLANTIK@SIG.ID</t>
  </si>
  <si>
    <t>JL. PACCINANG RAYA NO. 24 RT. 003 RW. 003 KEL. TELLO BARU</t>
  </si>
  <si>
    <t>ANDI RACHMAN, ST., MM.</t>
  </si>
  <si>
    <t>4102800000</t>
  </si>
  <si>
    <t>42080000110</t>
  </si>
  <si>
    <t>42080000</t>
  </si>
  <si>
    <t>Dept. of Infrastructure</t>
  </si>
  <si>
    <t>Dept Infrastructure</t>
  </si>
  <si>
    <t>ANDI.RACHMAN@SIG.ID</t>
  </si>
  <si>
    <t>JL. RAJAWALI NO.21 TONASA 1</t>
  </si>
  <si>
    <t>WELLEM ARIANCE, S.Kom.</t>
  </si>
  <si>
    <t>4404240000</t>
  </si>
  <si>
    <t>42081000210</t>
  </si>
  <si>
    <t>42081000</t>
  </si>
  <si>
    <t>Unit of Packing Plant 1</t>
  </si>
  <si>
    <t>Unit Packing Plant 1</t>
  </si>
  <si>
    <t>WELLEM.ARIANCE@SIG.ID</t>
  </si>
  <si>
    <t>PANGKAJENE-JL POROS  I NO 38</t>
  </si>
  <si>
    <t>MATHIUS ROTA, SE.</t>
  </si>
  <si>
    <t>4404240500</t>
  </si>
  <si>
    <t>42081100310</t>
  </si>
  <si>
    <t>42081100</t>
  </si>
  <si>
    <t>Section of Makassar Packing Plant</t>
  </si>
  <si>
    <t>Seksi Pengantongan M</t>
  </si>
  <si>
    <t>MATHIUS.ROTA@SIG.ID</t>
  </si>
  <si>
    <t>TONASA 2 JL. BANTENG NO.10</t>
  </si>
  <si>
    <t>M.YUNUS YUSUF</t>
  </si>
  <si>
    <t>42081101410</t>
  </si>
  <si>
    <t>42081101</t>
  </si>
  <si>
    <t>Group of Makassar Packing Plant</t>
  </si>
  <si>
    <t>YUNUS.YUSUF@SIG.ID</t>
  </si>
  <si>
    <t>MUH.RIZAL</t>
  </si>
  <si>
    <t>42081101412</t>
  </si>
  <si>
    <t>MUH.RIZAL@SIG.ID</t>
  </si>
  <si>
    <t>PANGKAJENE-  INDAH  A5/48</t>
  </si>
  <si>
    <t>M.FACHRY RAMADHAN Y.</t>
  </si>
  <si>
    <t>42081101413</t>
  </si>
  <si>
    <t>MFACHRY.RAMADHAN@SIG.ID</t>
  </si>
  <si>
    <t>TONASA 1 - JL NENAS NO.7</t>
  </si>
  <si>
    <t>ISAK, ST.</t>
  </si>
  <si>
    <t>4404240300</t>
  </si>
  <si>
    <t>42081200310</t>
  </si>
  <si>
    <t>42081200</t>
  </si>
  <si>
    <t>Section of Samarinda Packing Plant</t>
  </si>
  <si>
    <t>Sie Pngntongn Smrnda</t>
  </si>
  <si>
    <t>ISAK@SIG.ID</t>
  </si>
  <si>
    <t>TONASA 2 - JL.ANOA NO.14</t>
  </si>
  <si>
    <t>HELMI</t>
  </si>
  <si>
    <t>42081201410</t>
  </si>
  <si>
    <t>42081201</t>
  </si>
  <si>
    <t>Group of Samarinda Packing Plant</t>
  </si>
  <si>
    <t>HELMI@SIG.ID</t>
  </si>
  <si>
    <t>JL. BTN HAMZY BLOK T2, NO.3, RT004/RW003, TAMALANREA INDAH</t>
  </si>
  <si>
    <t>RAHMAT.S</t>
  </si>
  <si>
    <t>4404241300</t>
  </si>
  <si>
    <t>42081300310</t>
  </si>
  <si>
    <t>42081300</t>
  </si>
  <si>
    <t>Section of Balikpapan Packing Plant</t>
  </si>
  <si>
    <t>Sie Pngntongn Blkppn</t>
  </si>
  <si>
    <t>RAHMAT.S@SIG.ID</t>
  </si>
  <si>
    <t>TONASA 1 - JL.DAHLIA NO.59</t>
  </si>
  <si>
    <t>A.RAHMAN JAYA, ST.</t>
  </si>
  <si>
    <t>42081301411</t>
  </si>
  <si>
    <t>42081301</t>
  </si>
  <si>
    <t>Group of Balikpapan Packing Plant</t>
  </si>
  <si>
    <t>ARAHMAN.JAYA@SIG.ID</t>
  </si>
  <si>
    <t>GRIYA BATAS KOTA MAKASSAR</t>
  </si>
  <si>
    <t>MARKUS BUNGA, SE.</t>
  </si>
  <si>
    <t>42062102410</t>
  </si>
  <si>
    <t>42062102</t>
  </si>
  <si>
    <t>Group of PvM PP Machine Maintenance</t>
  </si>
  <si>
    <t>MARKUS.BUNGA@SIG.ID</t>
  </si>
  <si>
    <t>TONASA 2 - SERIGALA 14</t>
  </si>
  <si>
    <t>HALWING</t>
  </si>
  <si>
    <t>4404240400</t>
  </si>
  <si>
    <t>42081401410</t>
  </si>
  <si>
    <t>42081401</t>
  </si>
  <si>
    <t>Group of Banjarmasin Packing Plant</t>
  </si>
  <si>
    <t>Sie Pgntongn Bnjrmsn</t>
  </si>
  <si>
    <t>HALWING@SIG.ID</t>
  </si>
  <si>
    <t>JL. MANGEMBA NO. 3 TONASA 1</t>
  </si>
  <si>
    <t>SUPRIADI JAPIS</t>
  </si>
  <si>
    <t>42081401411</t>
  </si>
  <si>
    <t>SUPRIADI.JAPIS@SIG.ID</t>
  </si>
  <si>
    <t>JL. ANDI MAPPE TIMBUSAN KEL. BONTOA KEC. MINASATENE</t>
  </si>
  <si>
    <t>AMBO MASSE., ST.</t>
  </si>
  <si>
    <t>4404250000</t>
  </si>
  <si>
    <t>42082000210</t>
  </si>
  <si>
    <t>42082000</t>
  </si>
  <si>
    <t>Unit of Packing Plant 2</t>
  </si>
  <si>
    <t>Unit Packing Plant 2</t>
  </si>
  <si>
    <t>AMBO.MASSE@SIG.ID</t>
  </si>
  <si>
    <t>JALAN PALEM MERAH BLOK H NO.1 PERUMAHAN BARU TONASA II</t>
  </si>
  <si>
    <t>HARIANTO MARZUKI, SE.</t>
  </si>
  <si>
    <t>4404241200</t>
  </si>
  <si>
    <t>42082100310</t>
  </si>
  <si>
    <t>42082100</t>
  </si>
  <si>
    <t>Section of North Maluku Packing Plant</t>
  </si>
  <si>
    <t>Sie Pngntgn Malut</t>
  </si>
  <si>
    <t>HARIANTO.MARZUKI@SIG.ID</t>
  </si>
  <si>
    <t>42082101410</t>
  </si>
  <si>
    <t>42082101</t>
  </si>
  <si>
    <t>Group of North Maluku Packing Plant</t>
  </si>
  <si>
    <t>RISAL@SIG.ID</t>
  </si>
  <si>
    <t>TONASA 2 - JL.TARAWEANG NO.41</t>
  </si>
  <si>
    <t>BACHTIAR T.</t>
  </si>
  <si>
    <t>42082101411</t>
  </si>
  <si>
    <t>BACHTIAR.T@SIG.ID</t>
  </si>
  <si>
    <t>BALOCCI JL.DURIAN NO.10 T.1</t>
  </si>
  <si>
    <t>HELTON YHONI, SE.</t>
  </si>
  <si>
    <t>4404240700</t>
  </si>
  <si>
    <t>42082200310</t>
  </si>
  <si>
    <t>42082200</t>
  </si>
  <si>
    <t>Section of Ambon Packing Plant</t>
  </si>
  <si>
    <t>Sie Pgantongan Ambon</t>
  </si>
  <si>
    <t>HELTON.YHONI@SIG.ID</t>
  </si>
  <si>
    <t>BUNGORO-  INDAH B1/11 SAMALEWA</t>
  </si>
  <si>
    <t>42082201410</t>
  </si>
  <si>
    <t>42082201</t>
  </si>
  <si>
    <t>Group of Ambon Packing Plant</t>
  </si>
  <si>
    <t>NASRULLAH.6130@SIG.ID</t>
  </si>
  <si>
    <t>Mamuju</t>
  </si>
  <si>
    <t>TONASA 1 - JL.Garuda No.15</t>
  </si>
  <si>
    <t>ANSAR MUHAJI</t>
  </si>
  <si>
    <t>42082201411</t>
  </si>
  <si>
    <t>ANSAR.MUHAJI@SIG.ID</t>
  </si>
  <si>
    <t>KP.SIANG</t>
  </si>
  <si>
    <t>ACHMAD FIRMANSJAH</t>
  </si>
  <si>
    <t>4404240100</t>
  </si>
  <si>
    <t>42082300310</t>
  </si>
  <si>
    <t>42082300</t>
  </si>
  <si>
    <t>Section of Bitung Packing Plant</t>
  </si>
  <si>
    <t>Sie Pngntongn Bitung</t>
  </si>
  <si>
    <t>ACHMAD.FIRMANSJAH@SIG.ID</t>
  </si>
  <si>
    <t>TONASA 2 - JL.SERIGALA NO.7</t>
  </si>
  <si>
    <t>IKBAR YANTO</t>
  </si>
  <si>
    <t>42082301410</t>
  </si>
  <si>
    <t>42082301</t>
  </si>
  <si>
    <t>Group of Bitung Packing Plant</t>
  </si>
  <si>
    <t>IKBAR.YANTO@SIG.ID</t>
  </si>
  <si>
    <t>BUNGIN R., ST.</t>
  </si>
  <si>
    <t>4404240900</t>
  </si>
  <si>
    <t>42082400310</t>
  </si>
  <si>
    <t>42082400</t>
  </si>
  <si>
    <t>Section of Kendari Packing Plant</t>
  </si>
  <si>
    <t>Sie Pgntongan Kndari</t>
  </si>
  <si>
    <t>BUNGIN.R@SIG.ID</t>
  </si>
  <si>
    <t>SAIKAL AR, SE.</t>
  </si>
  <si>
    <t>42082401410</t>
  </si>
  <si>
    <t>42082401</t>
  </si>
  <si>
    <t>Group of Kendari Packing Plant</t>
  </si>
  <si>
    <t>SAIKAL.AR@SIG.ID</t>
  </si>
  <si>
    <t>TONASA 1 - JL.GARUDA NO.44</t>
  </si>
  <si>
    <t>KARDIANUSTI T. BUA, AMD.</t>
  </si>
  <si>
    <t>4404240800</t>
  </si>
  <si>
    <t>42082500310</t>
  </si>
  <si>
    <t>42082500</t>
  </si>
  <si>
    <t>Section of Sorong Packing Plant</t>
  </si>
  <si>
    <t>Sie Pngntngan Sorong</t>
  </si>
  <si>
    <t>KARDIANUSTI.BUA@SIG.ID</t>
  </si>
  <si>
    <t>DILI</t>
  </si>
  <si>
    <t>42082501410</t>
  </si>
  <si>
    <t>42082501</t>
  </si>
  <si>
    <t>Group of Sorong Packing Plant</t>
  </si>
  <si>
    <t>WAHYUDI.6262@SIG.ID</t>
  </si>
  <si>
    <t>SELA RT.01/03</t>
  </si>
  <si>
    <t>JAMALUDDIN, SE.</t>
  </si>
  <si>
    <t>4404241100</t>
  </si>
  <si>
    <t>42082600310</t>
  </si>
  <si>
    <t>42082600</t>
  </si>
  <si>
    <t>Section of Mamuju Packing Plant</t>
  </si>
  <si>
    <t>Sie Pgntongan Mamuju</t>
  </si>
  <si>
    <t>JAMALUDDIN.5094@SIG.ID</t>
  </si>
  <si>
    <t>MUHAMMAD LUTHFI</t>
  </si>
  <si>
    <t>42082601410</t>
  </si>
  <si>
    <t>42082601</t>
  </si>
  <si>
    <t>Group of Mamuju Packing Plant</t>
  </si>
  <si>
    <t>MUHAMMAD.LUTHFI@SIG.ID</t>
  </si>
  <si>
    <t>TONASA 2 - JL. BANTENG NO.14</t>
  </si>
  <si>
    <t>Capt. GUNTUR EKO PRASETYO M.Mar</t>
  </si>
  <si>
    <t>4102610000</t>
  </si>
  <si>
    <t>42083000210</t>
  </si>
  <si>
    <t>42083000</t>
  </si>
  <si>
    <t>Unit of SCM Infra Port Management</t>
  </si>
  <si>
    <t>Unit Plant &amp; Port Pr</t>
  </si>
  <si>
    <t>guntur.prasetyo@sig.id </t>
  </si>
  <si>
    <t>Jakarta Timur</t>
  </si>
  <si>
    <t>Bekasi, Jawa Barat</t>
  </si>
  <si>
    <t>ZULFADLI, ST.</t>
  </si>
  <si>
    <t>42083100310</t>
  </si>
  <si>
    <t>42083100</t>
  </si>
  <si>
    <t>Staff of SCM Infra Port Management</t>
  </si>
  <si>
    <t>ZULFADLI@SIG.ID</t>
  </si>
  <si>
    <t>BTN ANGKASA PURA BLOK B3 NO.7, RT 001/RW 004, P A I</t>
  </si>
  <si>
    <t>SIMON SALEA, ST, M.Si</t>
  </si>
  <si>
    <t>42084000210</t>
  </si>
  <si>
    <t>42084000</t>
  </si>
  <si>
    <t>Unit of Plant &amp; Port Prod Discharge Opr</t>
  </si>
  <si>
    <t>SIMON.SALEA@SIG.ID</t>
  </si>
  <si>
    <t>MANGKENDEK</t>
  </si>
  <si>
    <t>JL TONASA PALARAN (SAMARINDA)</t>
  </si>
  <si>
    <t>WIRAWAN YUSUF, ST.</t>
  </si>
  <si>
    <t>4404210100</t>
  </si>
  <si>
    <t>42084100310</t>
  </si>
  <si>
    <t>42084100</t>
  </si>
  <si>
    <t>Section of Port Opr (Packer &amp; Curah)</t>
  </si>
  <si>
    <t>Sec Port Opr (Pac&amp;Cu</t>
  </si>
  <si>
    <t>WIRAWAN.YUSUF@SIG.ID</t>
  </si>
  <si>
    <t>Jl.Taraweang No.45 Tonasa 2</t>
  </si>
  <si>
    <t>MURSIDA H.</t>
  </si>
  <si>
    <t>42084101410</t>
  </si>
  <si>
    <t>42084101</t>
  </si>
  <si>
    <t>Group of Port Management System</t>
  </si>
  <si>
    <t>MURSIDA.H@SIG.ID</t>
  </si>
  <si>
    <t>MUSTAFA SUDDIN</t>
  </si>
  <si>
    <t>42084102410</t>
  </si>
  <si>
    <t>42084102</t>
  </si>
  <si>
    <t>Group of Port Operation</t>
  </si>
  <si>
    <t>MUSTAFA.SUDDIN@SIG.ID</t>
  </si>
  <si>
    <t>PANGKAJENE-JL.MATAHARI GOL. C4/25 BONTKI</t>
  </si>
  <si>
    <t>WACHYUDDIN</t>
  </si>
  <si>
    <t>42084102411</t>
  </si>
  <si>
    <t>WACHYUDDIN@SIG.ID</t>
  </si>
  <si>
    <t>42084102412</t>
  </si>
  <si>
    <t>LUKMAN.5106@SIG.ID</t>
  </si>
  <si>
    <t>M.TAHIR, SE.</t>
  </si>
  <si>
    <t>42084102413</t>
  </si>
  <si>
    <t>M.TAHIR5163@SIG.ID</t>
  </si>
  <si>
    <t>P.SAMATELLU</t>
  </si>
  <si>
    <t>PANGKAJENE-  INDAH,</t>
  </si>
  <si>
    <t>AMIR.U</t>
  </si>
  <si>
    <t>42084102414</t>
  </si>
  <si>
    <t>AMIR.U@SIG.ID</t>
  </si>
  <si>
    <t>PANGKAJENE-, DESA</t>
  </si>
  <si>
    <t>42084102415</t>
  </si>
  <si>
    <t>AKBAR.5228@SIG.ID</t>
  </si>
  <si>
    <t>PANGKAJENE-KASTIM, KEC BALOCCI, KAB</t>
  </si>
  <si>
    <t>IMRAN KASIM</t>
  </si>
  <si>
    <t>42084102416</t>
  </si>
  <si>
    <t>IMRAN.KASIM@SIG.ID</t>
  </si>
  <si>
    <t>PANGKAJENE-MARAMPA</t>
  </si>
  <si>
    <t>SOPYAN K.</t>
  </si>
  <si>
    <t>42084102417</t>
  </si>
  <si>
    <t>SOPYAN.K@SIG.ID</t>
  </si>
  <si>
    <t>BUNGORO-BALANG</t>
  </si>
  <si>
    <t>DICKY DARMAWAN</t>
  </si>
  <si>
    <t>42084103410</t>
  </si>
  <si>
    <t>42084103</t>
  </si>
  <si>
    <t>DICKY.DARMAWAN@SIG.ID</t>
  </si>
  <si>
    <t>JL. SULTAN ALAUDDIN II NO.128</t>
  </si>
  <si>
    <t>42084103510</t>
  </si>
  <si>
    <t>JAMALUDDIN.4437@SIG.ID</t>
  </si>
  <si>
    <t>AZIS ACHMAD</t>
  </si>
  <si>
    <t>42084103511</t>
  </si>
  <si>
    <t>AZIS.ACHMAD@SIG.ID</t>
  </si>
  <si>
    <t>TONASA 1 JALAN DAHLIA NO 44</t>
  </si>
  <si>
    <t>SUMARDI, ST.</t>
  </si>
  <si>
    <t>4404210300</t>
  </si>
  <si>
    <t>42084200310</t>
  </si>
  <si>
    <t>42084200</t>
  </si>
  <si>
    <t>Section of Port Opr (Silo, Aux. T &amp; SM)</t>
  </si>
  <si>
    <t>Sec Port Opr (Silo,A</t>
  </si>
  <si>
    <t>SUMARDI@SIG.ID</t>
  </si>
  <si>
    <t>SYAHRUDDIN A.</t>
  </si>
  <si>
    <t>42084201410</t>
  </si>
  <si>
    <t>42084201</t>
  </si>
  <si>
    <t>Group of Silo &amp; Jetty Operation</t>
  </si>
  <si>
    <t>SYAHRUDDIN.A@SIG.ID</t>
  </si>
  <si>
    <t>BALI-JL.PEL CEL.BAWANG GROKGAK, BULELENG</t>
  </si>
  <si>
    <t>MUHARRAM</t>
  </si>
  <si>
    <t>42084201411</t>
  </si>
  <si>
    <t>MUHARRAM@SIG.ID</t>
  </si>
  <si>
    <t>TONASA 1 JL.MANGGA NO.18</t>
  </si>
  <si>
    <t>FIRMANSAH</t>
  </si>
  <si>
    <t>42084201412</t>
  </si>
  <si>
    <t>FIRMANSAH@SIG.ID</t>
  </si>
  <si>
    <t>DARWADI, SE.</t>
  </si>
  <si>
    <t>42084201413</t>
  </si>
  <si>
    <t>DARWADI@SIG.ID</t>
  </si>
  <si>
    <t>USMAN, S.Kom.</t>
  </si>
  <si>
    <t>42084202410</t>
  </si>
  <si>
    <t>42084202</t>
  </si>
  <si>
    <t>Group of Silo, Jetty &amp; Tbngan Autonomous</t>
  </si>
  <si>
    <t>USMAN.5213@SIG.ID</t>
  </si>
  <si>
    <t>SYAFARUDDIN.P</t>
  </si>
  <si>
    <t>42084203410</t>
  </si>
  <si>
    <t>42084203</t>
  </si>
  <si>
    <t>Group of Big Bag &amp; Tbngn BKS Operation</t>
  </si>
  <si>
    <t>SYAFARUDDIN.P@SIG.ID</t>
  </si>
  <si>
    <t>ATTANGSALO</t>
  </si>
  <si>
    <t>PANGKAJENE-JL.TABO-TABO</t>
  </si>
  <si>
    <t>MASKUR RAUF, ST.</t>
  </si>
  <si>
    <t>42084203411</t>
  </si>
  <si>
    <t>MASKUR.RAUF@SIG.ID</t>
  </si>
  <si>
    <t>DEMMANGGALA RT. 03 RW. 04 KEL. BALLEANGIN KEC. BALOCCI</t>
  </si>
  <si>
    <t>MARKUS PALANDA</t>
  </si>
  <si>
    <t>42084203412</t>
  </si>
  <si>
    <t>MARKUS.PALANDA@SIG.ID</t>
  </si>
  <si>
    <t>JL. SERIGALA No. 3 TONASA II</t>
  </si>
  <si>
    <t>MUH.RUSLAN</t>
  </si>
  <si>
    <t>42084203413</t>
  </si>
  <si>
    <t>MUH.RUSLAN@SIG.ID</t>
  </si>
  <si>
    <t>PANGKAJENE-JL.BONTOKIO</t>
  </si>
  <si>
    <t>MARGIANTONIUS, S.ST</t>
  </si>
  <si>
    <t>4102610100</t>
  </si>
  <si>
    <t>42084300310</t>
  </si>
  <si>
    <t>42084300</t>
  </si>
  <si>
    <t>Section of Plant Site Packer &amp; Bulk Opr</t>
  </si>
  <si>
    <t>Sec Plant Site Pack</t>
  </si>
  <si>
    <t>MARGIANTONIUS@SIG.ID</t>
  </si>
  <si>
    <t>TONASA 2-JL.SERGALA NO.62</t>
  </si>
  <si>
    <t>RIONI TANTAYO</t>
  </si>
  <si>
    <t>42084301410</t>
  </si>
  <si>
    <t>42084301</t>
  </si>
  <si>
    <t>Group of Line 2/3 Packer &amp; Bulk Field</t>
  </si>
  <si>
    <t>RIONI.TANTAYO@SIG.ID</t>
  </si>
  <si>
    <t>BAHTIAR KUBA</t>
  </si>
  <si>
    <t>42084301411</t>
  </si>
  <si>
    <t>BAHTIAR.KUBA@SIG.ID</t>
  </si>
  <si>
    <t>SYAWALUDDIN ARBIAN HERYANTO, S.Sos.</t>
  </si>
  <si>
    <t>42084301412</t>
  </si>
  <si>
    <t>SYAWALUDDIN.HERYANTO@SIG.ID</t>
  </si>
  <si>
    <t>JL ANDI NAPING MALEWANG BARAT</t>
  </si>
  <si>
    <t>ACHMAD.S</t>
  </si>
  <si>
    <t>42084301413</t>
  </si>
  <si>
    <t>ACHMAD.S@SIG.ID</t>
  </si>
  <si>
    <t>PANGKAJENE-  JL.BANGAU NO.4</t>
  </si>
  <si>
    <t>ARFIAN RAMLI, S.Sos.</t>
  </si>
  <si>
    <t>42084302410</t>
  </si>
  <si>
    <t>42084302</t>
  </si>
  <si>
    <t>Group of Line 4 Packer &amp; Bulk Field</t>
  </si>
  <si>
    <t>ARFIAN.RAMLI@SIG.ID</t>
  </si>
  <si>
    <t>PANGKAJENE &amp; KEPULAUAN</t>
  </si>
  <si>
    <t>42084302411</t>
  </si>
  <si>
    <t>AGUS@SIG.ID</t>
  </si>
  <si>
    <t>ALUKKA</t>
  </si>
  <si>
    <t>RUSTAN</t>
  </si>
  <si>
    <t>42084302412</t>
  </si>
  <si>
    <t>RUSTAN@SIG.ID</t>
  </si>
  <si>
    <t>RW. V BONTOLABERE KEL. PABUNDUKANG PANGKEP</t>
  </si>
  <si>
    <t>IQWAN SYAH MALUDIN</t>
  </si>
  <si>
    <t>42084302413</t>
  </si>
  <si>
    <t>IQWAN.MALUDIN@SIG.ID</t>
  </si>
  <si>
    <t>TONASA 1 - JL. GARUDA NO. 36</t>
  </si>
  <si>
    <t>H. BAHAR</t>
  </si>
  <si>
    <t>42084303410</t>
  </si>
  <si>
    <t>42084303</t>
  </si>
  <si>
    <t>Group of Line 5 Packer &amp; Bulk Field</t>
  </si>
  <si>
    <t>BAHAR.4882@SIG.ID</t>
  </si>
  <si>
    <t>CENDANA TIMUR</t>
  </si>
  <si>
    <t>42084303411</t>
  </si>
  <si>
    <t>BAKRI.4897@SIG.ID</t>
  </si>
  <si>
    <t>MUH.SYAHTAR, SE.</t>
  </si>
  <si>
    <t>42084303412</t>
  </si>
  <si>
    <t>MUH.SYAHTAR@SIG.ID</t>
  </si>
  <si>
    <t>JL BODIA TALA-TALA RT01/RW03 BONTO KIO</t>
  </si>
  <si>
    <t>MASJUM</t>
  </si>
  <si>
    <t>42084303413</t>
  </si>
  <si>
    <t>MASJUM@SIG.ID</t>
  </si>
  <si>
    <t>PANGKAJENE-KAMP.TAMANGROJA,</t>
  </si>
  <si>
    <t>ASNAWI</t>
  </si>
  <si>
    <t>42084304410</t>
  </si>
  <si>
    <t>42084304</t>
  </si>
  <si>
    <t>Group of Bag Packer Plant Inspection</t>
  </si>
  <si>
    <t>ASNAWI@SIG.ID</t>
  </si>
  <si>
    <t>PANGKAJENE-LAIKANG</t>
  </si>
  <si>
    <t>DANIEL PAROMON</t>
  </si>
  <si>
    <t>42084304411</t>
  </si>
  <si>
    <t>DANIEL.4985@SIG.ID</t>
  </si>
  <si>
    <t>JL. SERIGALA NO.22 T.2</t>
  </si>
  <si>
    <t>ARMEY RAMA KURNIAWAN</t>
  </si>
  <si>
    <t>42084304412</t>
  </si>
  <si>
    <t>ARMEY.KURNIAWAN@SIG.ID</t>
  </si>
  <si>
    <t>JL. NENAS NO.9 TONASA I</t>
  </si>
  <si>
    <t>M.AKBAR</t>
  </si>
  <si>
    <t>42084304413</t>
  </si>
  <si>
    <t>M.AKBAR4745@SIG.ID</t>
  </si>
  <si>
    <t>BAHARUDDIN.AG</t>
  </si>
  <si>
    <t>42084305410</t>
  </si>
  <si>
    <t>42084305</t>
  </si>
  <si>
    <t>Group of Plant Cement Silo Operation</t>
  </si>
  <si>
    <t>BAHARUDDIN.AG@SIG.ID</t>
  </si>
  <si>
    <t>BIRING ERE RT 03/RW 05 (BUNGORO)</t>
  </si>
  <si>
    <t>RUSLI.S</t>
  </si>
  <si>
    <t>42084305411</t>
  </si>
  <si>
    <t>RUSLI.S@SIG.ID</t>
  </si>
  <si>
    <t>AKMAL SANJAYA</t>
  </si>
  <si>
    <t>42084305412</t>
  </si>
  <si>
    <t>AKMAL.SANJAYA@SIG.ID</t>
  </si>
  <si>
    <t>TONASA I JL. JAMBU NO.11</t>
  </si>
  <si>
    <t>YUSRAN YUNUS</t>
  </si>
  <si>
    <t>42084305413</t>
  </si>
  <si>
    <t>YUSRAN.YUNUS@SIG.ID</t>
  </si>
  <si>
    <t>TONASA 1 - JL.GARUDA NO.4</t>
  </si>
  <si>
    <t>ALI SOFAH</t>
  </si>
  <si>
    <t>42084306410</t>
  </si>
  <si>
    <t>42084306</t>
  </si>
  <si>
    <t>Staff of Autonomous Packer 2/3/4/5 &amp; BC</t>
  </si>
  <si>
    <t>ALI.SOFAH@SIG.ID</t>
  </si>
  <si>
    <t>ALBERTUS NOEL PASALINA</t>
  </si>
  <si>
    <t>42084306411</t>
  </si>
  <si>
    <t>ALBERTUS.PASALINA@SIG.ID</t>
  </si>
  <si>
    <t>T-2 JL SERIGALA NO. 11</t>
  </si>
  <si>
    <t>SULFITRA SULAIMAN</t>
  </si>
  <si>
    <t>42084306412</t>
  </si>
  <si>
    <t>SULFITRA.SULAIMAN@SIG.ID</t>
  </si>
  <si>
    <t>JLN.MAWAR No. 26 T.I</t>
  </si>
  <si>
    <t>MUHAMMAD IMRAN AZIS, ST.</t>
  </si>
  <si>
    <t>42084306413</t>
  </si>
  <si>
    <t>MUHAMMAD.AZIS@SIG.ID</t>
  </si>
  <si>
    <t>JL. MATAHARI PERUM. POLRI</t>
  </si>
  <si>
    <t>HAKMAL CANDRA, ST.</t>
  </si>
  <si>
    <t>4102630000</t>
  </si>
  <si>
    <t>42085000210</t>
  </si>
  <si>
    <t>42085000</t>
  </si>
  <si>
    <t>Unit of Interplant Logistic</t>
  </si>
  <si>
    <t>Unit Interplant Log</t>
  </si>
  <si>
    <t>HAKMAL.CANDRA@SIG.ID</t>
  </si>
  <si>
    <t>DUMAI</t>
  </si>
  <si>
    <t>TONASA II - JL.KELAPA SAWIT I/1</t>
  </si>
  <si>
    <t>RABENKA PALESA, ST. M.S.M</t>
  </si>
  <si>
    <t>4102630100</t>
  </si>
  <si>
    <t>42085100310</t>
  </si>
  <si>
    <t>42085100</t>
  </si>
  <si>
    <t>Section of Plan Eval &amp; Prod Distribution</t>
  </si>
  <si>
    <t>Sec Plan Eval Pro Di</t>
  </si>
  <si>
    <t>RABENKA.PALESA@SIG.ID</t>
  </si>
  <si>
    <t>TONASA II - JL.KELAPA HIJAU H/11</t>
  </si>
  <si>
    <t>WARNIANTY, SE.</t>
  </si>
  <si>
    <t>42085101410</t>
  </si>
  <si>
    <t>42085101</t>
  </si>
  <si>
    <t>Staff of Plan Eval &amp; Product Distrubtion</t>
  </si>
  <si>
    <t>WARNIANTY@SIG.ID</t>
  </si>
  <si>
    <t>ASZRIADI, SE.</t>
  </si>
  <si>
    <t>4102630200</t>
  </si>
  <si>
    <t>42085200310</t>
  </si>
  <si>
    <t>42085200</t>
  </si>
  <si>
    <t>Section of Land Interplant &amp; DEPO Mngmnt</t>
  </si>
  <si>
    <t>Sec Land Inter &amp; DEP</t>
  </si>
  <si>
    <t>ASZRIADI@SIG.ID</t>
  </si>
  <si>
    <t>JOHN PERDI.L</t>
  </si>
  <si>
    <t>42085201410</t>
  </si>
  <si>
    <t>42085201</t>
  </si>
  <si>
    <t>Staff of Land Interplant &amp; DEPO Mngmnt</t>
  </si>
  <si>
    <t>JOHN.PERDI@SIG.ID</t>
  </si>
  <si>
    <t>TONASA 2 - JL.BANTENG NO.1</t>
  </si>
  <si>
    <t>NAJIR.M</t>
  </si>
  <si>
    <t>42085201412</t>
  </si>
  <si>
    <t>NAJIR.M@SIG.ID</t>
  </si>
  <si>
    <t>ABD.HAFID</t>
  </si>
  <si>
    <t>42085201413</t>
  </si>
  <si>
    <t>ABD.HAFID@SIG.ID</t>
  </si>
  <si>
    <t>PANGKAJENE-JL.PERIN. KEMRD. 4 LRE 4 NO.2</t>
  </si>
  <si>
    <t>GIOVANNI S</t>
  </si>
  <si>
    <t>42085201414</t>
  </si>
  <si>
    <t>GIOVANNI.S@SIG.ID</t>
  </si>
  <si>
    <t>TONASA 2 - JL.TARAWEANG NO.2</t>
  </si>
  <si>
    <t>MUH.IRSYAD</t>
  </si>
  <si>
    <t>42085201511</t>
  </si>
  <si>
    <t>MUH.IRSYAD@SIG.ID</t>
  </si>
  <si>
    <t>TONASA 2-JL.TARAWEANG NO.19</t>
  </si>
  <si>
    <t>MURSALIN TAWANG, SE.</t>
  </si>
  <si>
    <t>4102630300</t>
  </si>
  <si>
    <t>42085300310</t>
  </si>
  <si>
    <t>42085300</t>
  </si>
  <si>
    <t>Section of Sea Interplant</t>
  </si>
  <si>
    <t>Sec Sea Interplant</t>
  </si>
  <si>
    <t>MURSALIM.TAWANG@SIG.ID</t>
  </si>
  <si>
    <t>42085301410</t>
  </si>
  <si>
    <t>42085301</t>
  </si>
  <si>
    <t>Staff of Sea Interplant</t>
  </si>
  <si>
    <t>SAHARUDDIN.M@SIG.ID</t>
  </si>
  <si>
    <t>T.PARANG</t>
  </si>
  <si>
    <t>JL. GARUDA NO.16</t>
  </si>
  <si>
    <t>H. MANSYUR</t>
  </si>
  <si>
    <t>42085301411</t>
  </si>
  <si>
    <t>MANSYUR@SIG.ID</t>
  </si>
  <si>
    <t>Tonasa II Jl. Anoa No.40</t>
  </si>
  <si>
    <t>SURYADI PASAMBANGI, ST.</t>
  </si>
  <si>
    <t>42104000210</t>
  </si>
  <si>
    <t>42022000</t>
  </si>
  <si>
    <t>Unit of Quality Control</t>
  </si>
  <si>
    <t>SURYADI.PASAMBANGI@SIG.ID</t>
  </si>
  <si>
    <t>TONASA 2 - JL.KELAPA GADING G/3</t>
  </si>
  <si>
    <t>FAHRUL ARIFIANTO, ST.</t>
  </si>
  <si>
    <t>42153200310</t>
  </si>
  <si>
    <t>42053200</t>
  </si>
  <si>
    <t>Section of Line 4/5 Kiln &amp; CM Mach Maint</t>
  </si>
  <si>
    <t>FAHRUL.ARIFIANTO@SIG.ID</t>
  </si>
  <si>
    <t>TONASA 2-JL.KELAPA GADING G/1</t>
  </si>
  <si>
    <t>ELDY PUTRATAMA, SE.</t>
  </si>
  <si>
    <t>4105000000</t>
  </si>
  <si>
    <t>Unit of Warehouse</t>
  </si>
  <si>
    <t>43001000210</t>
  </si>
  <si>
    <t>43001000</t>
  </si>
  <si>
    <t>Direktur Keu dan SDM</t>
  </si>
  <si>
    <t>ELDY.PUTRATAMA@SIG.ID</t>
  </si>
  <si>
    <t>PANGKAJENE-JL.PALEM SERIT No.18</t>
  </si>
  <si>
    <t>LUTHER MANGEDONG</t>
  </si>
  <si>
    <t>43001100310</t>
  </si>
  <si>
    <t>43001100</t>
  </si>
  <si>
    <t>Staff of Warehouse</t>
  </si>
  <si>
    <t>LUTHER.MANGENDONG@SIG.ID</t>
  </si>
  <si>
    <t>TONASA 2 - JL ANOA NO.11</t>
  </si>
  <si>
    <t>MAPPIARE, AMD.</t>
  </si>
  <si>
    <t>43001100413</t>
  </si>
  <si>
    <t>MAPPIARE.5924@SIG.ID</t>
  </si>
  <si>
    <t>TALAPPASA RT002/RW003, KELURAHAN BORI APPAKA, KECAMATAN BUNG</t>
  </si>
  <si>
    <t>PAHARUDDIN</t>
  </si>
  <si>
    <t>43001100417</t>
  </si>
  <si>
    <t>PAHARUDDIN@SIG.ID</t>
  </si>
  <si>
    <t>H. SURADI</t>
  </si>
  <si>
    <t>43001100514</t>
  </si>
  <si>
    <t>SURADI.5227@SIG.ID</t>
  </si>
  <si>
    <t>PANGKAJENE-BTN BONTOA PERMAI, BONTOA,</t>
  </si>
  <si>
    <t>M.NATSIR, S.Sos.</t>
  </si>
  <si>
    <t>43001100311</t>
  </si>
  <si>
    <t>M.NATSIR4796@SIG.ID</t>
  </si>
  <si>
    <t>BUNGORO-BTN   INDAH  C7/7</t>
  </si>
  <si>
    <t>MUH.RUSTAM</t>
  </si>
  <si>
    <t>43001100415</t>
  </si>
  <si>
    <t>MUH.RUSTAM@SIG.ID</t>
  </si>
  <si>
    <t>43001100411</t>
  </si>
  <si>
    <t>ILYAS.4984@SIG.ID</t>
  </si>
  <si>
    <t>PANGKAJENE-SAPANANG,</t>
  </si>
  <si>
    <t>MULYADI M.</t>
  </si>
  <si>
    <t>43001100416</t>
  </si>
  <si>
    <t>MULYADI.M@SIG.ID</t>
  </si>
  <si>
    <t>TONASA 1 - JL.MAWAR NO.45</t>
  </si>
  <si>
    <t>FIRMANSYAH HERMAN</t>
  </si>
  <si>
    <t>43001100512</t>
  </si>
  <si>
    <t>FIRMANSYAH.HERMAN@SIG.ID</t>
  </si>
  <si>
    <t>JL. GOA RIA PERUM GRAHA RIA ASRI BLOK C1 NO 32 SUDIANG</t>
  </si>
  <si>
    <t>KAMARUDDIN</t>
  </si>
  <si>
    <t>43001100515</t>
  </si>
  <si>
    <t>KAMARUDDIN.4581@SIG.ID</t>
  </si>
  <si>
    <t>MACINNA RT.15/RW.08 DESA BATARA LABAKKANG</t>
  </si>
  <si>
    <t>SAFARUDDIN</t>
  </si>
  <si>
    <t>43001100519</t>
  </si>
  <si>
    <t>SAFARUDDIN.4949@SIG.ID</t>
  </si>
  <si>
    <t>PANGKAJENE-JL.BANGAU NO.31</t>
  </si>
  <si>
    <t>M.HUSNI TAMRIN</t>
  </si>
  <si>
    <t>43001100516</t>
  </si>
  <si>
    <t>HUSNI.TAMRIN@SIG.ID</t>
  </si>
  <si>
    <t>BUNGORO-MALEWANG BARA,</t>
  </si>
  <si>
    <t>43001100414</t>
  </si>
  <si>
    <t>MUH.BASRI4771@SIG.ID</t>
  </si>
  <si>
    <t>JONJORO</t>
  </si>
  <si>
    <t>TONASA 2 - JL.GAJAH 11</t>
  </si>
  <si>
    <t>H. MUSAKKIR, SE.</t>
  </si>
  <si>
    <t>43001100513</t>
  </si>
  <si>
    <t>MUSAKKIR@SIG.ID</t>
  </si>
  <si>
    <t>PASUI</t>
  </si>
  <si>
    <t>PANGKAJENE-JL.LANGGAU, LR G/12</t>
  </si>
  <si>
    <t>MURSALIM MUIN</t>
  </si>
  <si>
    <t>43001100517</t>
  </si>
  <si>
    <t>MURSALIM.MUIN@SIG.ID</t>
  </si>
  <si>
    <t>SADRI M.NUR, ST.</t>
  </si>
  <si>
    <t>43001100312</t>
  </si>
  <si>
    <t>SADRI.MNUR@SIG.ID</t>
  </si>
  <si>
    <t>JL. MATAHARI RESIDENCE PERUM C 29, RT 003/RW 001, BONTO KIO</t>
  </si>
  <si>
    <t>RUSTAM EFENDI, SE.</t>
  </si>
  <si>
    <t>43001100418</t>
  </si>
  <si>
    <t>RUSTAM.EFENDI@SIG.ID</t>
  </si>
  <si>
    <t>KP. CANGKOE RT 003 RW 002 DS TARAWEANG LABAKKANG</t>
  </si>
  <si>
    <t>ABUBAKAR</t>
  </si>
  <si>
    <t>43001100410</t>
  </si>
  <si>
    <t>ABUBAKAR@SIG.ID</t>
  </si>
  <si>
    <t>BUNGORO-BTN   INDAH  AZ/10</t>
  </si>
  <si>
    <t>RUSTAM AZIS</t>
  </si>
  <si>
    <t>43001100518</t>
  </si>
  <si>
    <t>RUSTAM.AZIS@SIG.ID</t>
  </si>
  <si>
    <t>BUNGORO INDAH PERMAI - KATAPANG SAMALEWA BUNGORO</t>
  </si>
  <si>
    <t>Hj. JUMRIAH HAFID, SE, M.Ak</t>
  </si>
  <si>
    <t>4105110000</t>
  </si>
  <si>
    <t>43011000210</t>
  </si>
  <si>
    <t>43011000</t>
  </si>
  <si>
    <t>Unit of Finance</t>
  </si>
  <si>
    <t>Unit Keuangan</t>
  </si>
  <si>
    <t>JUMRIAH.HAFID@SIG.ID</t>
  </si>
  <si>
    <t>Jl. Sultan Hasanuddin</t>
  </si>
  <si>
    <t>MUH.RIFQI SANUDDIN, SE.</t>
  </si>
  <si>
    <t>4105110100</t>
  </si>
  <si>
    <t>43011100310</t>
  </si>
  <si>
    <t>43011100</t>
  </si>
  <si>
    <t>Section of Treasury</t>
  </si>
  <si>
    <t>Staf Bendahara</t>
  </si>
  <si>
    <t>MUHRIFQI.SANUDDIN@SIG.ID</t>
  </si>
  <si>
    <t>JL. SERIGALA NO. 26 TONASA II</t>
  </si>
  <si>
    <t>YUNI ASTINA</t>
  </si>
  <si>
    <t>43011100411</t>
  </si>
  <si>
    <t>YUNI.ASTINA@SIG.ID</t>
  </si>
  <si>
    <t>BTN BUNGORO INDAH BLOK B4 /5</t>
  </si>
  <si>
    <t>TASMIR</t>
  </si>
  <si>
    <t>43025300510</t>
  </si>
  <si>
    <t>43025300</t>
  </si>
  <si>
    <t>TASMIR@SIG.ID</t>
  </si>
  <si>
    <t>SUPARDY, SE.</t>
  </si>
  <si>
    <t>4105130200</t>
  </si>
  <si>
    <t>43011200310</t>
  </si>
  <si>
    <t>43011200</t>
  </si>
  <si>
    <t>Staff of Insurance</t>
  </si>
  <si>
    <t>Staf Asuransi</t>
  </si>
  <si>
    <t>SUPARDY@SIG.ID</t>
  </si>
  <si>
    <t>TONASA 2 - PALEM KIPAS N/4</t>
  </si>
  <si>
    <t>43011200410</t>
  </si>
  <si>
    <t>IRWAN.5835@SIG.ID</t>
  </si>
  <si>
    <t>TONASA 2 - JL. MACAN NO.17</t>
  </si>
  <si>
    <t>MISNAWATI, SE.</t>
  </si>
  <si>
    <t>4105130100</t>
  </si>
  <si>
    <t>43013400310</t>
  </si>
  <si>
    <t>43013400</t>
  </si>
  <si>
    <t>Staff of Taxation</t>
  </si>
  <si>
    <t>Staf Perpajakan</t>
  </si>
  <si>
    <t>MISNAWATI@SIG.ID</t>
  </si>
  <si>
    <t>KEL BORI BELLAYA KEC TURIKALE</t>
  </si>
  <si>
    <t>MUH.SALEH, SE.</t>
  </si>
  <si>
    <t>43013400410</t>
  </si>
  <si>
    <t>MUHSALEH@SIG.ID</t>
  </si>
  <si>
    <t>JL. KASUARANG 84 PACCELANG KEL. ANRONG APPAKA KEC. PANGKAJEN</t>
  </si>
  <si>
    <t>EUNIKE YULINAH S, SE., MM.</t>
  </si>
  <si>
    <t>4105210000</t>
  </si>
  <si>
    <t>43012000210</t>
  </si>
  <si>
    <t>43012000</t>
  </si>
  <si>
    <t>Unit of Budgeting &amp; Performance</t>
  </si>
  <si>
    <t>Unit Anggaran &amp; Kine</t>
  </si>
  <si>
    <t>EUNIKE.YULINAH@SIG.ID</t>
  </si>
  <si>
    <t>TONASA 2 - KELAPA HIJAU K/11</t>
  </si>
  <si>
    <t>A. MUHAMMAD ATTHARIQ, SE.</t>
  </si>
  <si>
    <t>4105220100</t>
  </si>
  <si>
    <t>43012100411</t>
  </si>
  <si>
    <t>43012100</t>
  </si>
  <si>
    <t>Staff of Budgeting</t>
  </si>
  <si>
    <t>Staf Anggaran</t>
  </si>
  <si>
    <t>A.ATTHARIQ@SIG.ID</t>
  </si>
  <si>
    <t>BTN ANTARA BLOK D5 NO. 8 RT/RW 004/003 MAKASSAR</t>
  </si>
  <si>
    <t>MUH.SAIFULLAH, SE.</t>
  </si>
  <si>
    <t>43012100410</t>
  </si>
  <si>
    <t>MUHSAIFULLAH@SIG.ID</t>
  </si>
  <si>
    <t>FIRDAUS, SE.</t>
  </si>
  <si>
    <t>43012200310</t>
  </si>
  <si>
    <t>43012200</t>
  </si>
  <si>
    <t>Staff of Performance Evaluation</t>
  </si>
  <si>
    <t>FIRDAUS.5982@SIG.ID</t>
  </si>
  <si>
    <t>TONASA 2 - JL.MACAN NO.2</t>
  </si>
  <si>
    <t>LOVELY OCTAVIOLENDY, SE.</t>
  </si>
  <si>
    <t>43012400410</t>
  </si>
  <si>
    <t>43012400</t>
  </si>
  <si>
    <t>LOVELY.OCTAVIOLENDY@SIG.ID</t>
  </si>
  <si>
    <t>JLN. P. JAWA II RT.009 RW .003 KEL. GEBANGREJO.</t>
  </si>
  <si>
    <t>MUH.FACHREZA NUGRAHA, SE.</t>
  </si>
  <si>
    <t>43012400310</t>
  </si>
  <si>
    <t>Section of Cost Accounting</t>
  </si>
  <si>
    <t>FACHREZA.NUGRAHA@SIG.ID</t>
  </si>
  <si>
    <t>KEL ANTANG KEC MANGGALA</t>
  </si>
  <si>
    <t>MUHAMMAD AGUS, SE.</t>
  </si>
  <si>
    <t>43013100411</t>
  </si>
  <si>
    <t>43013100</t>
  </si>
  <si>
    <t>MUHAMMAD.AGUS@SIG.ID</t>
  </si>
  <si>
    <t>TONASA 2 - JL TUPAI NO.15</t>
  </si>
  <si>
    <t>FARDIANSYAH</t>
  </si>
  <si>
    <t>43012210411</t>
  </si>
  <si>
    <t>Section of Taxation</t>
  </si>
  <si>
    <t>FARDIANSYAH@SIG.ID</t>
  </si>
  <si>
    <t>JL.POROS TONASA II SALEBBO,KEL.SAPANANG,KEC.BUNGORO,KAB.PANG</t>
  </si>
  <si>
    <t>AMIRUDDIN SAID, SE.</t>
  </si>
  <si>
    <t>4105220000</t>
  </si>
  <si>
    <t>43013000210</t>
  </si>
  <si>
    <t>43013000</t>
  </si>
  <si>
    <t>Unit of Accounting</t>
  </si>
  <si>
    <t>Unit Akuntansi</t>
  </si>
  <si>
    <t>AMIRUDDIN.SAID@SIG.ID</t>
  </si>
  <si>
    <t>TONASA 2 - JL MAWAR D/04</t>
  </si>
  <si>
    <t>ALAMSYAH, S.M.</t>
  </si>
  <si>
    <t>4105210100</t>
  </si>
  <si>
    <t>43013100310</t>
  </si>
  <si>
    <t>Staff of Financial Accounting</t>
  </si>
  <si>
    <t>Staf Akuntansi Keuan</t>
  </si>
  <si>
    <t>ALAMSYAH.5855@SIG.ID</t>
  </si>
  <si>
    <t>JL. JAMBU MAPPASAILE</t>
  </si>
  <si>
    <t>KHAERIL ILYAS, SE, M.Ak</t>
  </si>
  <si>
    <t>43013400411</t>
  </si>
  <si>
    <t>Section of Financial Accounting</t>
  </si>
  <si>
    <t>KHAERIL.ILYAS@SIG.ID</t>
  </si>
  <si>
    <t>TONASA 2 - JL. TARAWEANG NO.39</t>
  </si>
  <si>
    <t>MUHAMMAD FATWATUL HAQ, S. Tr. Ak.</t>
  </si>
  <si>
    <t>4105120100</t>
  </si>
  <si>
    <t>43011300310</t>
  </si>
  <si>
    <t>43011300</t>
  </si>
  <si>
    <t>Staff of AP/AR Management</t>
  </si>
  <si>
    <t>Staf Pengelolaan AP/</t>
  </si>
  <si>
    <t>MUH.FATWATUL@SIG.ID</t>
  </si>
  <si>
    <t>JL. PENDIDIKAN NO. 1 TONASA 1</t>
  </si>
  <si>
    <t>HADIJAH</t>
  </si>
  <si>
    <t>43011300510</t>
  </si>
  <si>
    <t>Staff of AP / AR Management</t>
  </si>
  <si>
    <t>HADIJAH@SIG.ID</t>
  </si>
  <si>
    <t>WONOMULYO</t>
  </si>
  <si>
    <t>KATAPANG RT02/RW04 KEL SAMALEWA KEC.BUNGORO KAB PANGKEP</t>
  </si>
  <si>
    <t>4105210300</t>
  </si>
  <si>
    <t>43013100311</t>
  </si>
  <si>
    <t>Section of Verification</t>
  </si>
  <si>
    <t>Staf Verifikasi</t>
  </si>
  <si>
    <t>ZAENAL.6001@SIG.ID</t>
  </si>
  <si>
    <t>JALAN SERIGALA NO.27 - TONASA II</t>
  </si>
  <si>
    <t>DEASY PRAGAWATI, S.Sos.</t>
  </si>
  <si>
    <t>43013300410</t>
  </si>
  <si>
    <t>43013300</t>
  </si>
  <si>
    <t>Staff of Verification</t>
  </si>
  <si>
    <t>DEASY.PRAGAWATI@SIG.ID</t>
  </si>
  <si>
    <t>MAGFIRATUR RAHMA, SE.</t>
  </si>
  <si>
    <t>43013300411</t>
  </si>
  <si>
    <t>MAGFIRATUR.RAHMA@SIG.ID</t>
  </si>
  <si>
    <t>JL. POROS TONASA I NO.138 PANGKEP</t>
  </si>
  <si>
    <t>RUSTAM</t>
  </si>
  <si>
    <t>43013300412</t>
  </si>
  <si>
    <t>RUSTAM.4975@SIG.ID</t>
  </si>
  <si>
    <t>PANGKAJENE-JL.KEADILAN</t>
  </si>
  <si>
    <t>MAULANA F.HIDAYATULLAH, SE, CAPM, CGRCP</t>
  </si>
  <si>
    <t>43025300311</t>
  </si>
  <si>
    <t>Staff of Fin. Policy &amp; Standardization</t>
  </si>
  <si>
    <t>MAULANA.HIDAYATULLAH@SIG.ID</t>
  </si>
  <si>
    <t>MUH.AKHDHARISA SJ, SH. MH, CLA.CGP., DR.</t>
  </si>
  <si>
    <t>43020000110</t>
  </si>
  <si>
    <t>43020000</t>
  </si>
  <si>
    <t>MUH.AKHDARISA@SIG.ID</t>
  </si>
  <si>
    <t>MALINO</t>
  </si>
  <si>
    <t>Strata 3</t>
  </si>
  <si>
    <t>HIKMATILLAH</t>
  </si>
  <si>
    <t>43020000311</t>
  </si>
  <si>
    <t>HIKMATILLAH@SIG.ID</t>
  </si>
  <si>
    <t>Majalengka</t>
  </si>
  <si>
    <t>TONASA 2 JL.PALEM MERAH BLOK O NO.6</t>
  </si>
  <si>
    <t>H. BUDIJANTO, SE.</t>
  </si>
  <si>
    <t>43020000314</t>
  </si>
  <si>
    <t>BUDIJANTO@SIG.ID</t>
  </si>
  <si>
    <t>CAKKE</t>
  </si>
  <si>
    <t>TONASA 2 - JL.PALEM SERITI L/13</t>
  </si>
  <si>
    <t>A.BASO MAPPINCARA, ST.</t>
  </si>
  <si>
    <t>43020000411</t>
  </si>
  <si>
    <t>ABASO.MAPPINCARA@SIG.ID</t>
  </si>
  <si>
    <t>JL. ABD FATTAH DG. NUNTUNG NO. 169 SEGERI</t>
  </si>
  <si>
    <t>ANDI AHMAD ILHAM, SE.</t>
  </si>
  <si>
    <t>43020001411</t>
  </si>
  <si>
    <t>43020001</t>
  </si>
  <si>
    <t>Staff of Human Capital</t>
  </si>
  <si>
    <t>ANDI.ILHAM@SIG.ID</t>
  </si>
  <si>
    <t>25</t>
  </si>
  <si>
    <t>EDO BAGUS SAJIWO</t>
  </si>
  <si>
    <t>43020002410</t>
  </si>
  <si>
    <t>43020002</t>
  </si>
  <si>
    <t>Mgt / Tech Trainee</t>
  </si>
  <si>
    <t>edo.sajiwo@sig.id </t>
  </si>
  <si>
    <t>BELUM</t>
  </si>
  <si>
    <t>KEL. PROTOMULYO KALIWUNGU KENDAL JAWA TENGAH</t>
  </si>
  <si>
    <t>SABIQAH ZATA AMANI QUDSI</t>
  </si>
  <si>
    <t>sabiqah.zata@sig.id </t>
  </si>
  <si>
    <t>Jember</t>
  </si>
  <si>
    <t>JL. FLAMBOYAN 6, KEL. LOWOKWARU, KEC. LOWOKWARU</t>
  </si>
  <si>
    <t>AHMAD GHAZALI BASIR, DR.</t>
  </si>
  <si>
    <t>4105330000</t>
  </si>
  <si>
    <t>43023000210</t>
  </si>
  <si>
    <t>43023000</t>
  </si>
  <si>
    <t>Unit of Health Serv &amp; Industrial Hygiene</t>
  </si>
  <si>
    <t>Unit STMC Management</t>
  </si>
  <si>
    <t>AHMAD.BASIR@SIG.ID</t>
  </si>
  <si>
    <t>TONASA 2 - JL.GAJAH 13</t>
  </si>
  <si>
    <t>03</t>
  </si>
  <si>
    <t>SAFARUDDIN, S.KM.</t>
  </si>
  <si>
    <t>4105330100</t>
  </si>
  <si>
    <t>43023100310</t>
  </si>
  <si>
    <t>43023100</t>
  </si>
  <si>
    <t>Staff of Med. Support &amp; Industrial Hygie</t>
  </si>
  <si>
    <t>Staff Med.Support</t>
  </si>
  <si>
    <t>SAFARUDDIN@SIG.ID</t>
  </si>
  <si>
    <t>JL. MANGGA NO.1 TONASA 1 PANGKEP</t>
  </si>
  <si>
    <t>ASIPA</t>
  </si>
  <si>
    <t>43023100410</t>
  </si>
  <si>
    <t>ASIPA@SIG.ID</t>
  </si>
  <si>
    <t>PANGKAJENE-  INDAH BARU  C1/6</t>
  </si>
  <si>
    <t>Hj. DARWATI ASNAR</t>
  </si>
  <si>
    <t>43020001410</t>
  </si>
  <si>
    <t>DARWATI.ASNAR@SIG.ID</t>
  </si>
  <si>
    <t>MAKASSAR-PERUM REGENCY  A4/6</t>
  </si>
  <si>
    <t>HASRAWATI, S.HI</t>
  </si>
  <si>
    <t>43023100412</t>
  </si>
  <si>
    <t>HASRAWATI@SIG.ID</t>
  </si>
  <si>
    <t>BUNGORO-PERUM BIP  A1 KATAPANG-</t>
  </si>
  <si>
    <t>NURBAYA</t>
  </si>
  <si>
    <t>43023100413</t>
  </si>
  <si>
    <t>NURBAYA@SIG.ID</t>
  </si>
  <si>
    <t>HEDAR</t>
  </si>
  <si>
    <t>43023100417</t>
  </si>
  <si>
    <t>HEDAR@SIG.ID</t>
  </si>
  <si>
    <t>TONASA 2 - JL.BANTENG NO.22</t>
  </si>
  <si>
    <t>MARLINA DUMA, A.Md.Kep</t>
  </si>
  <si>
    <t>43023200310</t>
  </si>
  <si>
    <t>43023200</t>
  </si>
  <si>
    <t>Staff of Service &amp; Nursing</t>
  </si>
  <si>
    <t>MARLINA.DUMA@SIG.ID</t>
  </si>
  <si>
    <t>MAKASSAR-JL.A.PETTARANI VIII/19</t>
  </si>
  <si>
    <t>SITTI ZAKIAH</t>
  </si>
  <si>
    <t>43023200411</t>
  </si>
  <si>
    <t>SITTI.ZAKIAH@SIG.ID</t>
  </si>
  <si>
    <t>TONASA II - JL.BANTENG NO.38</t>
  </si>
  <si>
    <t>NURHIDAYAH</t>
  </si>
  <si>
    <t>43023200412</t>
  </si>
  <si>
    <t>NURHIDAYAH@SIG.ID</t>
  </si>
  <si>
    <t>PANGKAJENE-JL.PENDIDIKAN KAS-TIM NO.3</t>
  </si>
  <si>
    <t>92</t>
  </si>
  <si>
    <t>SYAMSUDDIN, AMD.KES</t>
  </si>
  <si>
    <t>43023200413</t>
  </si>
  <si>
    <t>SYAMSUDDIN.4812@SIG.ID</t>
  </si>
  <si>
    <t>TONASA 2 - JL.GAJAH NO.42</t>
  </si>
  <si>
    <t>FATMA HAERANI, S.AP.</t>
  </si>
  <si>
    <t>43025000210</t>
  </si>
  <si>
    <t>43025000</t>
  </si>
  <si>
    <t>Unit of HC Planning &amp; Development</t>
  </si>
  <si>
    <t>FATMA.HAERANI@SIG.ID</t>
  </si>
  <si>
    <t>TONASA 2 - KEMBANG SEPATU NO.11</t>
  </si>
  <si>
    <t>AHMAD, S.Pd.</t>
  </si>
  <si>
    <t>43021500310</t>
  </si>
  <si>
    <t>43021500</t>
  </si>
  <si>
    <t>Section of HC OD &amp; Career Management</t>
  </si>
  <si>
    <t>AHMAD.5936@SIG.ID</t>
  </si>
  <si>
    <t>TONASA II - JL.BANTENG NO.26</t>
  </si>
  <si>
    <t>ZULFAHRI</t>
  </si>
  <si>
    <t>43021200413</t>
  </si>
  <si>
    <t>43021200</t>
  </si>
  <si>
    <t>ZULFAHRI@SIG.ID</t>
  </si>
  <si>
    <t>TONASA 2 - JL.BANTENG NO.4A</t>
  </si>
  <si>
    <t>SURADI</t>
  </si>
  <si>
    <t>43025200410</t>
  </si>
  <si>
    <t>43025200</t>
  </si>
  <si>
    <t>SURADI@SIG.ID</t>
  </si>
  <si>
    <t>GESI</t>
  </si>
  <si>
    <t>Jalan Ketimun ,  ,</t>
  </si>
  <si>
    <t>ANDIKA MARGAWAN AS, ST.</t>
  </si>
  <si>
    <t>43024200310</t>
  </si>
  <si>
    <t>43024200</t>
  </si>
  <si>
    <t>Section of Performance &amp; Talent Mgmt</t>
  </si>
  <si>
    <t>ANDIKA.MARGAWAN@SIG.ID</t>
  </si>
  <si>
    <t>PERUMAHAN LAGOOSI VILLAGE JL.BOUVARDIA II NO.1 KEC MANDAI</t>
  </si>
  <si>
    <t>NUR AMALINI</t>
  </si>
  <si>
    <t>43021200411</t>
  </si>
  <si>
    <t>NUR.AMALINI@SIG.ID</t>
  </si>
  <si>
    <t>BORONG UNTIA RT001/RW007,KELURAHAN BIRING ERE KECAMATAN BUNG</t>
  </si>
  <si>
    <t>ANI RISNA S</t>
  </si>
  <si>
    <t>43011100410</t>
  </si>
  <si>
    <t>ANI.RISNA@SIG.ID</t>
  </si>
  <si>
    <t>TONASA 2 - TARAWEANG NO.31</t>
  </si>
  <si>
    <t>IRWAN, S.Sos.</t>
  </si>
  <si>
    <t>43020000313</t>
  </si>
  <si>
    <t>Section of Learning &amp; Development</t>
  </si>
  <si>
    <t>IRWAN.5202@SIG.ID</t>
  </si>
  <si>
    <t>MUH.ILYAS S., SE.</t>
  </si>
  <si>
    <t>43024101410</t>
  </si>
  <si>
    <t>43024101</t>
  </si>
  <si>
    <t>Staff of L &amp; D Design &amp; Evaluation</t>
  </si>
  <si>
    <t>MUH.ILYAS@SIG.ID</t>
  </si>
  <si>
    <t>TONASA 2 - JL.GAJAH 14</t>
  </si>
  <si>
    <t>HASAN BASRI, S.Kom.</t>
  </si>
  <si>
    <t>43024200510</t>
  </si>
  <si>
    <t>Staff of Learning Operation &amp; KM</t>
  </si>
  <si>
    <t>HASAN.BASRI@SIG.ID</t>
  </si>
  <si>
    <t>WIDYA KURNIASARI RAHIM, ST.</t>
  </si>
  <si>
    <t>4105310000</t>
  </si>
  <si>
    <t>43021000210</t>
  </si>
  <si>
    <t>43021000</t>
  </si>
  <si>
    <t>Unit of HC Operational</t>
  </si>
  <si>
    <t>Unit HC Operasional</t>
  </si>
  <si>
    <t>WIDYA.RAHIM@SIG.ID</t>
  </si>
  <si>
    <t>Jl. Beringin, Perum. Cendana R ,  ,</t>
  </si>
  <si>
    <t>FIQIH KARTIKA PS., SE.</t>
  </si>
  <si>
    <t>43021200412</t>
  </si>
  <si>
    <t>FIQIH.KARTIKA@SIG.ID</t>
  </si>
  <si>
    <t>JL. MATAHARI PERUM POLRI BLOK D NO. 11 KEL. BONTOKIO</t>
  </si>
  <si>
    <t>ASRIL GAZALI</t>
  </si>
  <si>
    <t>4105310100</t>
  </si>
  <si>
    <t>43021100310</t>
  </si>
  <si>
    <t>43021100</t>
  </si>
  <si>
    <t>Section of PA &amp; Comp. Benefit</t>
  </si>
  <si>
    <t>HC Operation &amp; Perfo</t>
  </si>
  <si>
    <t>ASRIL.GAZALI@SIG.ID</t>
  </si>
  <si>
    <t>Kupang (kota)</t>
  </si>
  <si>
    <t>BTN TODDOPULI BLOK E/8 KEL. BULU TEMPE KEC. TANETE RIATTANG</t>
  </si>
  <si>
    <t>LISNA PURNAMA WAHID, SE.</t>
  </si>
  <si>
    <t>43021100410</t>
  </si>
  <si>
    <t>LISNA.WAHID@SIG.ID</t>
  </si>
  <si>
    <t>JL. A MAPPE-BONTO GELANG</t>
  </si>
  <si>
    <t>ARIATI ARIANDARI</t>
  </si>
  <si>
    <t>43021100414</t>
  </si>
  <si>
    <t>ARIATI.ARIANDARI@SIG.ID</t>
  </si>
  <si>
    <t>Salatiga</t>
  </si>
  <si>
    <t>BTN BUNGORO INDAH BLOK C7 NO 7</t>
  </si>
  <si>
    <t>ROBI ERWIN, ST</t>
  </si>
  <si>
    <t>43021300310</t>
  </si>
  <si>
    <t>43021300</t>
  </si>
  <si>
    <t>Section of Employee Facility</t>
  </si>
  <si>
    <t>ROBI.AMD@SIG.ID</t>
  </si>
  <si>
    <t>TONASA 2 - JL.MACAN 38</t>
  </si>
  <si>
    <t>IGNASIUS LANDE</t>
  </si>
  <si>
    <t>43020000410</t>
  </si>
  <si>
    <t>IGNASIUS.LANDE@SIG.ID</t>
  </si>
  <si>
    <t>JLN. STO RAYA B3. NO.93 TELKOMAS DESA RAKKANG KEC. BIRINGKAN</t>
  </si>
  <si>
    <t>MUCHLIS L., ST.</t>
  </si>
  <si>
    <t>43021300410</t>
  </si>
  <si>
    <t>MUCHLIS.L@SIG.ID</t>
  </si>
  <si>
    <t>JL. NENAS NO.5 TONASA 1</t>
  </si>
  <si>
    <t>DJUMHARI</t>
  </si>
  <si>
    <t>43021500211</t>
  </si>
  <si>
    <t>Staff of HC Partner &amp; Corp Culture</t>
  </si>
  <si>
    <t>DJUMHARI@SIG.ID</t>
  </si>
  <si>
    <t>ANWAR</t>
  </si>
  <si>
    <t>43021100413</t>
  </si>
  <si>
    <t>ANWAR.4646@SIG.ID</t>
  </si>
  <si>
    <t>TONASA 1 - JL.MELATI NO.7</t>
  </si>
  <si>
    <t>SUDARJO KATU, ST., MSc.</t>
  </si>
  <si>
    <t>41050000211</t>
  </si>
  <si>
    <t>Unit of Business &amp; System Development</t>
  </si>
  <si>
    <t>SUDARJO.KATU@SIG.ID</t>
  </si>
  <si>
    <t>TONASA II - JL.KEMBANG SEPATU NO.12</t>
  </si>
  <si>
    <t>NELAWANI ANGELIA SANGGARIA, AMD.</t>
  </si>
  <si>
    <t>43020000312</t>
  </si>
  <si>
    <t>Staff of Bus Dev Bus Process IC &amp; ICOFR</t>
  </si>
  <si>
    <t>NELAWANI.SANGGARIA@SIG.ID</t>
  </si>
  <si>
    <t>WIRYAWAN BATARA KENCANA, ST.</t>
  </si>
  <si>
    <t>43025100311</t>
  </si>
  <si>
    <t>43025100</t>
  </si>
  <si>
    <t>WIRYAWAN.KENCANA@SIG.ID</t>
  </si>
  <si>
    <t>Jl. Stadion No.2 (Samping TVRI ,  , Kel Mariso</t>
  </si>
  <si>
    <t>H. M.RUSLI</t>
  </si>
  <si>
    <t>43025200510</t>
  </si>
  <si>
    <t>43025500</t>
  </si>
  <si>
    <t>M.RUSLI@SIG.ID</t>
  </si>
  <si>
    <t>BUJUNG TANGAYA DESA BULU CINDEA BUNGORO</t>
  </si>
  <si>
    <t>ANDINI LANDAWE, SE.</t>
  </si>
  <si>
    <t>43025200310</t>
  </si>
  <si>
    <t>Staff of System Development</t>
  </si>
  <si>
    <t>ANDINI.LANDAWE@SIG.ID</t>
  </si>
  <si>
    <t>BTN BUNGORO INDAH BLOK D3/08 , 003/004 , SAMALEWA</t>
  </si>
  <si>
    <t>M.ARIFIN AR.</t>
  </si>
  <si>
    <t>41048401412</t>
  </si>
  <si>
    <t>M.ARIFIN@SIG.ID</t>
  </si>
  <si>
    <t>TONASA 2 - JL.TUPAI NO.11</t>
  </si>
  <si>
    <t>JUSMAN ARSYAD, ST.</t>
  </si>
  <si>
    <t>43020000310</t>
  </si>
  <si>
    <t>Staff of Innovation</t>
  </si>
  <si>
    <t>JUSMAN.ARSYAD@SIG.ID</t>
  </si>
  <si>
    <t>PANGKAJENE KEPULAUAN</t>
  </si>
  <si>
    <t>ISMAIL, S.Pd.</t>
  </si>
  <si>
    <t>43021100412</t>
  </si>
  <si>
    <t>ISMAIL.6158@SIG.ID</t>
  </si>
  <si>
    <t>TONASA II - JL.BANTENG NO.12</t>
  </si>
  <si>
    <t>ANANTYO PRADHANA PUTRO, ST., MM.</t>
  </si>
  <si>
    <t>Unit of GRC Management</t>
  </si>
  <si>
    <t>ANANTYO.PRADHANA@SIG.ID</t>
  </si>
  <si>
    <t>Surakarta</t>
  </si>
  <si>
    <t>PALEM HIJAU H 9 TONASA II</t>
  </si>
  <si>
    <t>LUKMAN RAZAK, ST.</t>
  </si>
  <si>
    <t>43025100312</t>
  </si>
  <si>
    <t>Staff of Risk Management &amp; BCM</t>
  </si>
  <si>
    <t>LUKMAN.RAZAK@SIG.ID</t>
  </si>
  <si>
    <t>JL BANGKALA DALAM 8 NO 73 RT01/RW08 KEC MANGGALA</t>
  </si>
  <si>
    <t>WIWIED, SE.</t>
  </si>
  <si>
    <t>43025100310</t>
  </si>
  <si>
    <t>43025400</t>
  </si>
  <si>
    <t>WIWIED@SIG.ID</t>
  </si>
  <si>
    <t>DESA BIRING ERE BUNGORO PANGKEP</t>
  </si>
  <si>
    <t>MOH.JERRYNINDRA, ST.,S.I.Kom., M.I.Kom.</t>
  </si>
  <si>
    <t>43025300310</t>
  </si>
  <si>
    <t>MOH.JERRYNINDRA@SIG.ID</t>
  </si>
  <si>
    <t>TONASA 2 - JL.PALEM MERAH H/2</t>
  </si>
  <si>
    <t>SOFYANA, SE.</t>
  </si>
  <si>
    <t>43025100411</t>
  </si>
  <si>
    <t>SOFYANA@SIG.ID</t>
  </si>
  <si>
    <t>BALANG-BIRING ERE</t>
  </si>
  <si>
    <t>YOSEF ARIS, S.Kom.</t>
  </si>
  <si>
    <t>43025200311</t>
  </si>
  <si>
    <t>Staff of Governance Compliance &amp; ESG</t>
  </si>
  <si>
    <t>YOSEF.ARIS@SIG.ID</t>
  </si>
  <si>
    <t>BTN MANGGA TIGA BLOK E7/17 PACCERAKKANG BIRING KANAYA</t>
  </si>
  <si>
    <t>MARDIYAH L, AM., KEB</t>
  </si>
  <si>
    <t>43024100310</t>
  </si>
  <si>
    <t>43024100</t>
  </si>
  <si>
    <t>MARDIYAH.L@SIG.ID</t>
  </si>
  <si>
    <t>TONASA 2 - JL.KELAPA SAWIT I/1</t>
  </si>
  <si>
    <t>sap</t>
  </si>
  <si>
    <t>Position id</t>
  </si>
  <si>
    <t>Masa Kontrak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</si>
</sst>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2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3" borderId="2" xfId="0" applyFill="1" applyBorder="1"/>
    <xf numFmtId="1" fontId="2" fillId="3" borderId="0" xfId="0" applyNumberFormat="1" applyFont="1" applyFill="1" applyAlignment="1">
      <alignment horizontal="center" vertical="center"/>
    </xf>
    <xf numFmtId="2" fontId="4" fillId="3" borderId="2" xfId="2" applyNumberFormat="1" applyFont="1" applyFill="1" applyBorder="1" applyAlignment="1">
      <alignment horizontal="center" vertical="center"/>
    </xf>
    <xf numFmtId="14" fontId="4" fillId="3" borderId="2" xfId="2" applyNumberFormat="1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/>
    </xf>
    <xf numFmtId="14" fontId="0" fillId="0" borderId="0" xfId="0" applyNumberFormat="1" applyAlignment="1">
      <alignment horizontal="center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1" fillId="0" borderId="0" xfId="1" applyAlignment="1">
      <alignment horizontal="left"/>
    </xf>
    <xf numFmtId="14" fontId="5" fillId="0" borderId="0" xfId="0" applyNumberFormat="1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5" borderId="0" xfId="0" applyFont="1" applyFill="1"/>
    <xf numFmtId="0" fontId="3" fillId="0" borderId="0" xfId="0" applyFont="1"/>
    <xf numFmtId="14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center"/>
    </xf>
  </cellXfs>
  <cellStyles count="3">
    <cellStyle name="Hyperlink" xfId="1" builtinId="8"/>
    <cellStyle name="Normal" xfId="0" builtinId="0"/>
    <cellStyle name="Normal 2 2" xfId="2" xr:uid="{FFB0A3DA-6739-46C9-B269-43675FFF32FA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.%20HUBUNGAN%20KEPEGAWAIAN/0.%20%20PA%20BARU%20JULI%202026/LAPORAN%20BULANAN/QUERY%20AGUTUS%2027%202026.xlsx" TargetMode="External"/><Relationship Id="rId2" Type="http://schemas.openxmlformats.org/officeDocument/2006/relationships/externalLinkPath" Target="file:///D:\5.%20HUBUNGAN%20KEPEGAWAIAN\0.%20%20PA%20BARU%20JULI%202026\LAPORAN%20BULANAN\QUERY%20AGUTUS%2027%202026.xlsx" TargetMode="External"/><Relationship Id="rId1" Type="http://schemas.openxmlformats.org/officeDocument/2006/relationships/externalLinkPath" Target="/5.%20HUBUNGAN%20KEPEGAWAIAN/0.%20%20PA%20BARU%20JULI%202026/LAPORAN%20BULANAN/QUERY%20AGUTUS%2027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sheetDataSet>
      <sheetData sheetId="0" refreshError="1">
        <row r="2">
          <cell r="A2">
            <v>1211</v>
          </cell>
          <cell r="B2" t="str">
            <v>7595122</v>
          </cell>
          <cell r="C2">
            <v>50068490</v>
          </cell>
          <cell r="D2" t="str">
            <v>TAUFAN MAULANA, ST.</v>
          </cell>
          <cell r="E2" t="str">
            <v>B SM of Sales</v>
          </cell>
          <cell r="F2" t="str">
            <v>Senior Manager</v>
          </cell>
          <cell r="G2" t="str">
            <v>President Directorate</v>
          </cell>
          <cell r="H2" t="str">
            <v>Dept. of Sales</v>
          </cell>
          <cell r="I2" t="str">
            <v>Staff of Sales</v>
          </cell>
        </row>
        <row r="3">
          <cell r="A3">
            <v>4351</v>
          </cell>
          <cell r="B3" t="str">
            <v>7206257</v>
          </cell>
          <cell r="C3">
            <v>50052873</v>
          </cell>
          <cell r="D3" t="str">
            <v>ARIFIN.R</v>
          </cell>
          <cell r="E3" t="str">
            <v>E Tender Inlet Dryer (shift)</v>
          </cell>
          <cell r="F3" t="str">
            <v>Associate</v>
          </cell>
          <cell r="G3" t="str">
            <v>Operation Directorate</v>
          </cell>
          <cell r="H3" t="str">
            <v>Dept. of Clinker &amp; Cement Production</v>
          </cell>
          <cell r="I3" t="str">
            <v>Unit of Derivative Product  &amp; Supporting</v>
          </cell>
          <cell r="J3" t="str">
            <v>Section of Derivative Prod. &amp; Opr. 2/3</v>
          </cell>
        </row>
        <row r="4">
          <cell r="A4">
            <v>4408</v>
          </cell>
          <cell r="B4" t="str">
            <v>7006288</v>
          </cell>
          <cell r="C4">
            <v>50024107</v>
          </cell>
          <cell r="D4" t="str">
            <v>BASRI.G</v>
          </cell>
          <cell r="E4" t="str">
            <v>Opr of Blasting</v>
          </cell>
          <cell r="F4" t="str">
            <v>Associate</v>
          </cell>
          <cell r="G4" t="str">
            <v>Operation Directorate</v>
          </cell>
          <cell r="H4" t="str">
            <v>Dept. of Mining &amp; Power Plant</v>
          </cell>
          <cell r="I4" t="str">
            <v>Unit of Mining Operation</v>
          </cell>
          <cell r="J4" t="str">
            <v>Section of Mine Planning &amp; Monitoring</v>
          </cell>
        </row>
        <row r="5">
          <cell r="A5">
            <v>4422</v>
          </cell>
          <cell r="B5" t="str">
            <v>7106299</v>
          </cell>
          <cell r="C5">
            <v>50066700</v>
          </cell>
          <cell r="D5" t="str">
            <v>ALIMUDDIN</v>
          </cell>
          <cell r="E5" t="str">
            <v>GA &amp; Facility 2 (Tonasa 2) Jr Officer</v>
          </cell>
          <cell r="F5" t="str">
            <v>Supervisor</v>
          </cell>
          <cell r="G5" t="str">
            <v>President Directorate</v>
          </cell>
          <cell r="H5" t="str">
            <v>Dept. of Communication, Legal &amp; GA</v>
          </cell>
          <cell r="I5" t="str">
            <v>Unit of General Facility &amp; Asset</v>
          </cell>
          <cell r="J5" t="str">
            <v>Section of General Affair &amp; Facility 2</v>
          </cell>
        </row>
        <row r="6">
          <cell r="A6">
            <v>4423</v>
          </cell>
          <cell r="B6" t="str">
            <v>7106300</v>
          </cell>
          <cell r="C6">
            <v>50066790</v>
          </cell>
          <cell r="D6" t="str">
            <v>JUDDIN C.</v>
          </cell>
          <cell r="E6" t="str">
            <v>Spv of X - Ray &amp; Analysis (2/3)</v>
          </cell>
          <cell r="F6" t="str">
            <v>Supervisor</v>
          </cell>
          <cell r="G6" t="str">
            <v>Operation Directorate</v>
          </cell>
          <cell r="H6" t="str">
            <v>Dept. of Production Planning &amp; Control</v>
          </cell>
          <cell r="I6" t="str">
            <v>Unit of Quality Control</v>
          </cell>
          <cell r="J6" t="str">
            <v>Section of Quality Control (2/3)</v>
          </cell>
        </row>
        <row r="7">
          <cell r="A7">
            <v>4437</v>
          </cell>
          <cell r="B7" t="str">
            <v>7106311</v>
          </cell>
          <cell r="C7">
            <v>50070305</v>
          </cell>
          <cell r="D7" t="str">
            <v>JAMALUDDIN</v>
          </cell>
          <cell r="E7" t="str">
            <v>E Assc of Autonomous</v>
          </cell>
          <cell r="F7" t="str">
            <v>Associate</v>
          </cell>
          <cell r="G7" t="str">
            <v>Operation Directorate</v>
          </cell>
          <cell r="H7" t="str">
            <v>Dept. of Infrastructure</v>
          </cell>
          <cell r="I7" t="str">
            <v>Unit of Plant &amp; Port Prod Discharge Opr</v>
          </cell>
          <cell r="J7" t="str">
            <v>Section of Port Opr (Packer &amp; Curah)</v>
          </cell>
        </row>
        <row r="8">
          <cell r="A8">
            <v>4438</v>
          </cell>
          <cell r="B8" t="str">
            <v>7106315</v>
          </cell>
          <cell r="C8">
            <v>50066476</v>
          </cell>
          <cell r="D8" t="str">
            <v>AMRANI</v>
          </cell>
          <cell r="E8" t="str">
            <v>Field Supporting Jr Officer</v>
          </cell>
          <cell r="F8" t="str">
            <v>Supervisor</v>
          </cell>
          <cell r="G8" t="str">
            <v>Operation Directorate</v>
          </cell>
          <cell r="H8" t="str">
            <v>Dep. of Project Mngmnt &amp; Maint. Support</v>
          </cell>
          <cell r="I8" t="str">
            <v>Unit of Workshop</v>
          </cell>
          <cell r="J8" t="str">
            <v>Staff of Field Supporting</v>
          </cell>
        </row>
        <row r="9">
          <cell r="A9">
            <v>4442</v>
          </cell>
          <cell r="B9" t="str">
            <v>7106319</v>
          </cell>
          <cell r="C9">
            <v>50066485</v>
          </cell>
          <cell r="D9" t="str">
            <v>MUHAMMAD SAHIR</v>
          </cell>
          <cell r="E9" t="str">
            <v>E Tech of BKS &amp; Oth Facilities Fire Figh</v>
          </cell>
          <cell r="F9" t="str">
            <v>Associate</v>
          </cell>
          <cell r="G9" t="str">
            <v>Operation Directorate</v>
          </cell>
          <cell r="H9" t="str">
            <v>Dept. of Production Planning &amp; Control</v>
          </cell>
          <cell r="I9" t="str">
            <v>Unit of OHS</v>
          </cell>
          <cell r="J9" t="str">
            <v>Section of BKS Occupational Healt &amp; Saf.</v>
          </cell>
        </row>
        <row r="10">
          <cell r="A10">
            <v>4448</v>
          </cell>
          <cell r="B10" t="str">
            <v>7106328</v>
          </cell>
          <cell r="C10">
            <v>50066714</v>
          </cell>
          <cell r="D10" t="str">
            <v>DANO</v>
          </cell>
          <cell r="E10" t="str">
            <v>Secretariate &amp; Protocol Jr Officer</v>
          </cell>
          <cell r="F10" t="str">
            <v>Supervisor</v>
          </cell>
          <cell r="G10" t="str">
            <v>President Directorate</v>
          </cell>
          <cell r="H10" t="str">
            <v>Dept. of Communication, Legal &amp; GA</v>
          </cell>
          <cell r="I10" t="str">
            <v>Unit of Communication &amp; Secretariate</v>
          </cell>
          <cell r="J10" t="str">
            <v>Staff of Secretariate &amp; Protocol</v>
          </cell>
        </row>
        <row r="11">
          <cell r="A11">
            <v>4453</v>
          </cell>
          <cell r="B11" t="str">
            <v>7106335</v>
          </cell>
          <cell r="C11">
            <v>50069643</v>
          </cell>
          <cell r="D11" t="str">
            <v>ABD.HARIS</v>
          </cell>
          <cell r="E11" t="str">
            <v>Spv of Control Room Silica Crush (4/5)</v>
          </cell>
          <cell r="F11" t="str">
            <v>Supervisor</v>
          </cell>
          <cell r="G11" t="str">
            <v>Operation Directorate</v>
          </cell>
          <cell r="H11" t="str">
            <v>Dept. of Mining &amp; Power Plant</v>
          </cell>
          <cell r="I11" t="str">
            <v>Unit of Raw Material Management</v>
          </cell>
          <cell r="J11" t="str">
            <v>Section of Clay Crusher Operation</v>
          </cell>
        </row>
        <row r="12">
          <cell r="A12">
            <v>4464</v>
          </cell>
          <cell r="B12" t="str">
            <v>7206345</v>
          </cell>
          <cell r="C12">
            <v>50066789</v>
          </cell>
          <cell r="D12" t="str">
            <v>ABD.RAHMAN.D</v>
          </cell>
          <cell r="E12" t="str">
            <v>Spv of X - Ray &amp; Analysis (2/3)</v>
          </cell>
          <cell r="F12" t="str">
            <v>Supervisor</v>
          </cell>
          <cell r="G12" t="str">
            <v>Operation Directorate</v>
          </cell>
          <cell r="H12" t="str">
            <v>Dept. of Production Planning &amp; Control</v>
          </cell>
          <cell r="I12" t="str">
            <v>Unit of Quality Control</v>
          </cell>
          <cell r="J12" t="str">
            <v>Section of Quality Control (2/3)</v>
          </cell>
        </row>
        <row r="13">
          <cell r="A13">
            <v>4475</v>
          </cell>
          <cell r="B13" t="str">
            <v>7206360</v>
          </cell>
          <cell r="C13">
            <v>50066397</v>
          </cell>
          <cell r="D13" t="str">
            <v>SUKRIADI TOLA</v>
          </cell>
          <cell r="E13" t="str">
            <v>Spv of Motor rewinding</v>
          </cell>
          <cell r="F13" t="str">
            <v>Supervisor</v>
          </cell>
          <cell r="G13" t="str">
            <v>Operation Directorate</v>
          </cell>
          <cell r="H13" t="str">
            <v>Dep. of Project Mngmnt &amp; Maint. Support</v>
          </cell>
          <cell r="I13" t="str">
            <v>Unit of Workshop</v>
          </cell>
          <cell r="J13" t="str">
            <v>Section of Elins Workshop</v>
          </cell>
        </row>
        <row r="14">
          <cell r="A14">
            <v>4488</v>
          </cell>
          <cell r="B14" t="str">
            <v>7206373</v>
          </cell>
          <cell r="C14">
            <v>50052619</v>
          </cell>
          <cell r="D14" t="str">
            <v>RACHMAD</v>
          </cell>
          <cell r="E14" t="str">
            <v>Tech of limestone loading &amp; hauling</v>
          </cell>
          <cell r="F14" t="str">
            <v>Associate</v>
          </cell>
          <cell r="G14" t="str">
            <v>Operation Directorate</v>
          </cell>
          <cell r="H14" t="str">
            <v>Dept. of Mining &amp; Power Plant</v>
          </cell>
          <cell r="I14" t="str">
            <v>Unit of Mining Operation</v>
          </cell>
          <cell r="J14" t="str">
            <v>Section of Limestone Mining</v>
          </cell>
        </row>
        <row r="15">
          <cell r="A15">
            <v>4491</v>
          </cell>
          <cell r="B15" t="str">
            <v>7206510</v>
          </cell>
          <cell r="C15">
            <v>50069472</v>
          </cell>
          <cell r="D15" t="str">
            <v>AMIRUDDIN</v>
          </cell>
          <cell r="E15" t="str">
            <v>Spv of Line 4/5 QC</v>
          </cell>
          <cell r="F15" t="str">
            <v>Supervisor</v>
          </cell>
          <cell r="G15" t="str">
            <v>Operation Directorate</v>
          </cell>
          <cell r="H15" t="str">
            <v>Dept. of Production Planning &amp; Control</v>
          </cell>
          <cell r="I15" t="str">
            <v>Unit of Quality Control</v>
          </cell>
          <cell r="J15" t="str">
            <v>Section of Quality Control (4/5)</v>
          </cell>
        </row>
        <row r="16">
          <cell r="A16">
            <v>4497</v>
          </cell>
          <cell r="B16" t="str">
            <v>7306379</v>
          </cell>
          <cell r="C16">
            <v>50071025</v>
          </cell>
          <cell r="D16" t="str">
            <v>BASRI.N</v>
          </cell>
          <cell r="E16" t="str">
            <v>E Assc of CUS Operation</v>
          </cell>
          <cell r="F16" t="str">
            <v>Associate</v>
          </cell>
          <cell r="G16" t="str">
            <v>Operation Directorate</v>
          </cell>
          <cell r="H16" t="str">
            <v>Dept. of Mining &amp; Power Plant</v>
          </cell>
          <cell r="I16" t="str">
            <v>Unit of Power Plant Operation</v>
          </cell>
          <cell r="J16" t="str">
            <v>Section of Water Treatment &amp; CUS Opr</v>
          </cell>
        </row>
        <row r="17">
          <cell r="A17">
            <v>4522</v>
          </cell>
          <cell r="B17" t="str">
            <v>7306396</v>
          </cell>
          <cell r="C17">
            <v>50069630</v>
          </cell>
          <cell r="D17" t="str">
            <v>ISMAIL</v>
          </cell>
          <cell r="E17" t="str">
            <v>Spv of Control Room LS Crusher (4)</v>
          </cell>
          <cell r="F17" t="str">
            <v>Supervisor</v>
          </cell>
          <cell r="G17" t="str">
            <v>Operation Directorate</v>
          </cell>
          <cell r="H17" t="str">
            <v>Dept. of Mining &amp; Power Plant</v>
          </cell>
          <cell r="I17" t="str">
            <v>Unit of Raw Material Management</v>
          </cell>
          <cell r="J17" t="str">
            <v>Section of Limestone Crusher Operation</v>
          </cell>
        </row>
        <row r="18">
          <cell r="A18">
            <v>4523</v>
          </cell>
          <cell r="B18" t="str">
            <v>7306398</v>
          </cell>
          <cell r="C18">
            <v>50066486</v>
          </cell>
          <cell r="D18" t="str">
            <v>MATHIUS.M</v>
          </cell>
          <cell r="E18" t="str">
            <v>Tech of BKS &amp; Other Facilities Fire Figh</v>
          </cell>
          <cell r="F18" t="str">
            <v>Associate</v>
          </cell>
          <cell r="G18" t="str">
            <v>Operation Directorate</v>
          </cell>
          <cell r="H18" t="str">
            <v>Dept. of Production Planning &amp; Control</v>
          </cell>
          <cell r="I18" t="str">
            <v>Unit of OHS</v>
          </cell>
          <cell r="J18" t="str">
            <v>Section of BKS Occupational Healt &amp; Saf.</v>
          </cell>
        </row>
        <row r="19">
          <cell r="A19">
            <v>4533</v>
          </cell>
          <cell r="B19" t="str">
            <v>7306404</v>
          </cell>
          <cell r="C19">
            <v>50069136</v>
          </cell>
          <cell r="D19" t="str">
            <v>SAHARUDDIN</v>
          </cell>
          <cell r="E19" t="str">
            <v>Sea Interplant Jr officer</v>
          </cell>
          <cell r="F19" t="str">
            <v>Supervisor</v>
          </cell>
          <cell r="G19" t="str">
            <v>Operation Directorate</v>
          </cell>
          <cell r="H19" t="str">
            <v>Dept. of Infrastructure</v>
          </cell>
          <cell r="I19" t="str">
            <v>Unit of Interplant Logistic</v>
          </cell>
          <cell r="J19" t="str">
            <v>Section of Sea Interplant</v>
          </cell>
        </row>
        <row r="20">
          <cell r="A20">
            <v>4548</v>
          </cell>
          <cell r="B20" t="str">
            <v>7306425</v>
          </cell>
          <cell r="C20">
            <v>50024104</v>
          </cell>
          <cell r="D20" t="str">
            <v>SAHARUDDIN</v>
          </cell>
          <cell r="E20" t="str">
            <v>Opr of Blasting</v>
          </cell>
          <cell r="F20" t="str">
            <v>Associate</v>
          </cell>
          <cell r="G20" t="str">
            <v>Operation Directorate</v>
          </cell>
          <cell r="H20" t="str">
            <v>Dept. of Mining &amp; Power Plant</v>
          </cell>
          <cell r="I20" t="str">
            <v>Unit of Mining Operation</v>
          </cell>
          <cell r="J20" t="str">
            <v>Section of Mine Planning &amp; Monitoring</v>
          </cell>
        </row>
        <row r="21">
          <cell r="A21">
            <v>4549</v>
          </cell>
          <cell r="B21" t="str">
            <v>7306426</v>
          </cell>
          <cell r="C21">
            <v>50061952</v>
          </cell>
          <cell r="D21" t="str">
            <v>ABD.HAKIM</v>
          </cell>
          <cell r="E21" t="str">
            <v>Secretariate &amp; Protocol Jr Officer</v>
          </cell>
          <cell r="F21" t="str">
            <v>Supervisor</v>
          </cell>
          <cell r="G21" t="str">
            <v>President Directorate</v>
          </cell>
          <cell r="H21" t="str">
            <v>Dept. of Communication, Legal &amp; GA</v>
          </cell>
          <cell r="I21" t="str">
            <v>Unit of Communication &amp; Secretariate</v>
          </cell>
          <cell r="J21" t="str">
            <v>Staff of Secretariate &amp; Protocol</v>
          </cell>
        </row>
        <row r="22">
          <cell r="A22">
            <v>4553</v>
          </cell>
          <cell r="B22" t="str">
            <v>7306430</v>
          </cell>
          <cell r="C22">
            <v>50061719</v>
          </cell>
          <cell r="D22" t="str">
            <v>M.TAHA</v>
          </cell>
          <cell r="E22" t="str">
            <v>E Tech of Plant Fire Fighting</v>
          </cell>
          <cell r="F22" t="str">
            <v>Associate</v>
          </cell>
          <cell r="G22" t="str">
            <v>Operation Directorate</v>
          </cell>
          <cell r="H22" t="str">
            <v>Dept. of Production Planning &amp; Control</v>
          </cell>
          <cell r="I22" t="str">
            <v>Unit of OHS</v>
          </cell>
          <cell r="J22" t="str">
            <v>Section of Plant Occupational Hea &amp; Saf.</v>
          </cell>
        </row>
        <row r="23">
          <cell r="A23">
            <v>4570</v>
          </cell>
          <cell r="B23" t="str">
            <v>7406449</v>
          </cell>
          <cell r="C23">
            <v>50069118</v>
          </cell>
          <cell r="D23" t="str">
            <v>RUSLI.S</v>
          </cell>
          <cell r="E23" t="str">
            <v>Spv of Plant Cement Silo Operation</v>
          </cell>
          <cell r="F23" t="str">
            <v>Supervisor</v>
          </cell>
          <cell r="G23" t="str">
            <v>Operation Directorate</v>
          </cell>
          <cell r="H23" t="str">
            <v>Dept. of Infrastructure</v>
          </cell>
          <cell r="I23" t="str">
            <v>Unit of Plant &amp; Port Prod Discharge Opr</v>
          </cell>
          <cell r="J23" t="str">
            <v>Section of Plant Site Packer &amp; Bulk Opr</v>
          </cell>
        </row>
        <row r="24">
          <cell r="A24">
            <v>4581</v>
          </cell>
          <cell r="B24" t="str">
            <v>7406459</v>
          </cell>
          <cell r="C24">
            <v>50071560</v>
          </cell>
          <cell r="D24" t="str">
            <v>KAMARUDDIN</v>
          </cell>
          <cell r="E24" t="str">
            <v>Sparepart &amp; Consumable Mgmt Adm officer</v>
          </cell>
          <cell r="F24" t="str">
            <v>Associate</v>
          </cell>
          <cell r="G24" t="str">
            <v>Finance Risk Mgmt &amp; General Directorate</v>
          </cell>
          <cell r="I24" t="str">
            <v>Unit of Warehouse</v>
          </cell>
          <cell r="J24" t="str">
            <v>Section of Sparepart &amp; Consumable Mgmt</v>
          </cell>
        </row>
        <row r="25">
          <cell r="A25">
            <v>4582</v>
          </cell>
          <cell r="B25" t="str">
            <v>7406460</v>
          </cell>
          <cell r="C25">
            <v>50007469</v>
          </cell>
          <cell r="D25" t="str">
            <v>ABD.HAMID</v>
          </cell>
          <cell r="E25" t="str">
            <v>Spv of Clay Mining</v>
          </cell>
          <cell r="F25" t="str">
            <v>Supervisor</v>
          </cell>
          <cell r="G25" t="str">
            <v>Operation Directorate</v>
          </cell>
          <cell r="H25" t="str">
            <v>Dept. of Mining &amp; Power Plant</v>
          </cell>
          <cell r="I25" t="str">
            <v>Unit of Mining Operation</v>
          </cell>
          <cell r="J25" t="str">
            <v>Section of Clay Mining</v>
          </cell>
        </row>
        <row r="26">
          <cell r="A26">
            <v>4583</v>
          </cell>
          <cell r="B26" t="str">
            <v>7406462</v>
          </cell>
          <cell r="C26">
            <v>50069652</v>
          </cell>
          <cell r="D26" t="str">
            <v>SULAIMAN</v>
          </cell>
          <cell r="E26" t="str">
            <v>Spv of Line 2/3/4/5 Clay Crusher</v>
          </cell>
          <cell r="F26" t="str">
            <v>Supervisor</v>
          </cell>
          <cell r="G26" t="str">
            <v>Operation Directorate</v>
          </cell>
          <cell r="H26" t="str">
            <v>Dept. of Mining &amp; Power Plant</v>
          </cell>
          <cell r="I26" t="str">
            <v>Unit of Raw Material Management</v>
          </cell>
          <cell r="J26" t="str">
            <v>Section of Clay Crusher Operation</v>
          </cell>
        </row>
        <row r="27">
          <cell r="A27">
            <v>4603</v>
          </cell>
          <cell r="B27" t="str">
            <v>7406475</v>
          </cell>
          <cell r="C27">
            <v>50069779</v>
          </cell>
          <cell r="D27" t="str">
            <v>JUMADIN</v>
          </cell>
          <cell r="E27" t="str">
            <v>Spv of Silo, Jetty &amp; Tbgan Elins Maint</v>
          </cell>
          <cell r="F27" t="str">
            <v>Supervisor</v>
          </cell>
          <cell r="G27" t="str">
            <v>Operation Directorate</v>
          </cell>
          <cell r="H27" t="str">
            <v>Dept. of Maintenance</v>
          </cell>
          <cell r="I27" t="str">
            <v>Unit of Port Product Discharge Maint.</v>
          </cell>
          <cell r="J27" t="str">
            <v>Section of Port Facility Elins Maint.</v>
          </cell>
        </row>
        <row r="28">
          <cell r="A28">
            <v>4607</v>
          </cell>
          <cell r="B28" t="str">
            <v>7406478</v>
          </cell>
          <cell r="C28">
            <v>50069658</v>
          </cell>
          <cell r="D28" t="str">
            <v>SYAHRUL</v>
          </cell>
          <cell r="E28" t="str">
            <v>Spv of CR Clay Crusher (2/3/4/5)</v>
          </cell>
          <cell r="F28" t="str">
            <v>Supervisor</v>
          </cell>
          <cell r="G28" t="str">
            <v>Operation Directorate</v>
          </cell>
          <cell r="H28" t="str">
            <v>Dept. of Mining &amp; Power Plant</v>
          </cell>
          <cell r="I28" t="str">
            <v>Unit of Raw Material Management</v>
          </cell>
          <cell r="J28" t="str">
            <v>Section of Clay Crusher Operation</v>
          </cell>
        </row>
        <row r="29">
          <cell r="A29">
            <v>4608</v>
          </cell>
          <cell r="B29" t="str">
            <v>7406479</v>
          </cell>
          <cell r="C29">
            <v>50069367</v>
          </cell>
          <cell r="D29" t="str">
            <v>AMIRUDDIN.S</v>
          </cell>
          <cell r="E29" t="str">
            <v>Spv of Line 4 RM Field</v>
          </cell>
          <cell r="F29" t="str">
            <v>Supervisor</v>
          </cell>
          <cell r="G29" t="str">
            <v>Operation Directorate</v>
          </cell>
          <cell r="H29" t="str">
            <v>Dept. of Clinker &amp; Cement Production</v>
          </cell>
          <cell r="I29" t="str">
            <v>Unit of Clinker Production</v>
          </cell>
          <cell r="J29" t="str">
            <v>Section of Line 4 RKC Operation</v>
          </cell>
        </row>
        <row r="30">
          <cell r="A30">
            <v>4609</v>
          </cell>
          <cell r="B30" t="str">
            <v>7406483</v>
          </cell>
          <cell r="C30">
            <v>50061717</v>
          </cell>
          <cell r="D30" t="str">
            <v>HASRIADI</v>
          </cell>
          <cell r="E30" t="str">
            <v>Spv of Plant OHS</v>
          </cell>
          <cell r="F30" t="str">
            <v>Supervisor</v>
          </cell>
          <cell r="G30" t="str">
            <v>Operation Directorate</v>
          </cell>
          <cell r="H30" t="str">
            <v>Dept. of Production Planning &amp; Control</v>
          </cell>
          <cell r="I30" t="str">
            <v>Unit of OHS</v>
          </cell>
          <cell r="J30" t="str">
            <v>Section of Plant Occupational Hea &amp; Saf.</v>
          </cell>
        </row>
        <row r="31">
          <cell r="A31">
            <v>4626</v>
          </cell>
          <cell r="B31" t="str">
            <v>7506487</v>
          </cell>
          <cell r="C31">
            <v>50069641</v>
          </cell>
          <cell r="D31" t="str">
            <v>MUH.BASRI</v>
          </cell>
          <cell r="E31" t="str">
            <v>Spv of Control Room LS Crusher (5)</v>
          </cell>
          <cell r="F31" t="str">
            <v>Supervisor</v>
          </cell>
          <cell r="G31" t="str">
            <v>Operation Directorate</v>
          </cell>
          <cell r="H31" t="str">
            <v>Dept. of Mining &amp; Power Plant</v>
          </cell>
          <cell r="I31" t="str">
            <v>Unit of Raw Material Management</v>
          </cell>
          <cell r="J31" t="str">
            <v>Section of Limestone Crusher Operation</v>
          </cell>
        </row>
        <row r="32">
          <cell r="A32">
            <v>4646</v>
          </cell>
          <cell r="B32" t="str">
            <v>7506499</v>
          </cell>
          <cell r="C32">
            <v>50071436</v>
          </cell>
          <cell r="D32" t="str">
            <v>ANWAR</v>
          </cell>
          <cell r="E32" t="str">
            <v>HC Partner &amp; Corp Culture Jr Officer</v>
          </cell>
          <cell r="F32" t="str">
            <v>Supervisor</v>
          </cell>
          <cell r="G32" t="str">
            <v>Finance Risk Mgmt &amp; General Directorate</v>
          </cell>
          <cell r="H32" t="str">
            <v>Department of Human Capital &amp; GRC</v>
          </cell>
          <cell r="I32" t="str">
            <v>Unit of HC Operational</v>
          </cell>
          <cell r="J32" t="str">
            <v>Staff of HC Partner &amp; Corp Culture</v>
          </cell>
        </row>
        <row r="33">
          <cell r="A33">
            <v>4655</v>
          </cell>
          <cell r="B33" t="str">
            <v>7506501</v>
          </cell>
          <cell r="C33">
            <v>50069092</v>
          </cell>
          <cell r="D33" t="str">
            <v>MARKUS PALANDA</v>
          </cell>
          <cell r="E33" t="str">
            <v>Spv of Big Bag &amp; Tbngan BKS Operation</v>
          </cell>
          <cell r="F33" t="str">
            <v>Supervisor</v>
          </cell>
          <cell r="G33" t="str">
            <v>Operation Directorate</v>
          </cell>
          <cell r="H33" t="str">
            <v>Dept. of Infrastructure</v>
          </cell>
          <cell r="I33" t="str">
            <v>Unit of Plant &amp; Port Prod Discharge Opr</v>
          </cell>
          <cell r="J33" t="str">
            <v>Section of Port Opr (Silo, Aux. T &amp; SM)</v>
          </cell>
        </row>
        <row r="34">
          <cell r="A34">
            <v>4662</v>
          </cell>
          <cell r="B34" t="str">
            <v>7506503</v>
          </cell>
          <cell r="C34">
            <v>50069574</v>
          </cell>
          <cell r="D34" t="str">
            <v>AGUS.D</v>
          </cell>
          <cell r="E34" t="str">
            <v>Spv of Loader &amp; Transport Miant</v>
          </cell>
          <cell r="F34" t="str">
            <v>Supervisor</v>
          </cell>
          <cell r="G34" t="str">
            <v>Operation Directorate</v>
          </cell>
          <cell r="H34" t="str">
            <v>Dept. of Maintenance</v>
          </cell>
          <cell r="I34" t="str">
            <v>Unit of Port Product Discharge Maint.</v>
          </cell>
          <cell r="J34" t="str">
            <v>Section of Port Facility Machine Maint.</v>
          </cell>
        </row>
        <row r="35">
          <cell r="A35">
            <v>4663</v>
          </cell>
          <cell r="B35" t="str">
            <v>7606505</v>
          </cell>
          <cell r="C35">
            <v>50047840</v>
          </cell>
          <cell r="D35" t="str">
            <v>BAHARUDDIN</v>
          </cell>
          <cell r="E35" t="str">
            <v>PGO Jr Officer</v>
          </cell>
          <cell r="F35" t="str">
            <v>Supervisor</v>
          </cell>
          <cell r="G35" t="str">
            <v>Operation Directorate</v>
          </cell>
          <cell r="H35" t="str">
            <v>Dept. of Maintenance</v>
          </cell>
          <cell r="I35" t="str">
            <v>Unit of Reliability Maintenance</v>
          </cell>
          <cell r="J35" t="str">
            <v>Staff of PGO</v>
          </cell>
        </row>
        <row r="36">
          <cell r="A36">
            <v>4669</v>
          </cell>
          <cell r="B36" t="str">
            <v>7006282</v>
          </cell>
          <cell r="C36">
            <v>50069252</v>
          </cell>
          <cell r="D36" t="str">
            <v>M.NAWIR</v>
          </cell>
          <cell r="E36" t="str">
            <v>Land Transportation Jr Officer</v>
          </cell>
          <cell r="F36" t="str">
            <v>Supervisor</v>
          </cell>
          <cell r="G36" t="str">
            <v>President Directorate</v>
          </cell>
          <cell r="H36" t="str">
            <v>Dept. of Sales</v>
          </cell>
          <cell r="I36" t="str">
            <v>Unit of Outbound Logistic</v>
          </cell>
          <cell r="J36" t="str">
            <v>Section of Land Transportation</v>
          </cell>
        </row>
        <row r="37">
          <cell r="A37">
            <v>4674</v>
          </cell>
          <cell r="B37" t="str">
            <v>7506512</v>
          </cell>
          <cell r="C37">
            <v>50069089</v>
          </cell>
          <cell r="D37" t="str">
            <v>SYAFARUDDIN.P</v>
          </cell>
          <cell r="E37" t="str">
            <v>Spv of Big Bag &amp; Tbngan BKS Operation</v>
          </cell>
          <cell r="F37" t="str">
            <v>Supervisor</v>
          </cell>
          <cell r="G37" t="str">
            <v>Operation Directorate</v>
          </cell>
          <cell r="H37" t="str">
            <v>Dept. of Infrastructure</v>
          </cell>
          <cell r="I37" t="str">
            <v>Unit of Plant &amp; Port Prod Discharge Opr</v>
          </cell>
          <cell r="J37" t="str">
            <v>Section of Port Opr (Silo, Aux. T &amp; SM)</v>
          </cell>
        </row>
        <row r="38">
          <cell r="A38">
            <v>4684</v>
          </cell>
          <cell r="B38" t="str">
            <v>7106295</v>
          </cell>
          <cell r="C38">
            <v>50068534</v>
          </cell>
          <cell r="D38" t="str">
            <v>M.SAID Y.</v>
          </cell>
          <cell r="E38" t="str">
            <v>Shipment Management Adm Officer</v>
          </cell>
          <cell r="F38" t="str">
            <v>Associate</v>
          </cell>
          <cell r="G38" t="str">
            <v>President Directorate</v>
          </cell>
          <cell r="H38" t="str">
            <v>Dept. of Sales</v>
          </cell>
          <cell r="I38" t="str">
            <v>Unit of Outbound Logistic</v>
          </cell>
          <cell r="J38" t="str">
            <v>Section of Shipment Management</v>
          </cell>
        </row>
        <row r="39">
          <cell r="A39">
            <v>4685</v>
          </cell>
          <cell r="B39" t="str">
            <v>7106296</v>
          </cell>
          <cell r="C39">
            <v>50054122</v>
          </cell>
          <cell r="D39" t="str">
            <v>SUKRY</v>
          </cell>
          <cell r="E39" t="str">
            <v>Spv of Line 2/3 Trass Dryer (Shift)</v>
          </cell>
          <cell r="F39" t="str">
            <v>Supervisor</v>
          </cell>
          <cell r="G39" t="str">
            <v>Operation Directorate</v>
          </cell>
          <cell r="H39" t="str">
            <v>Dept. of Clinker &amp; Cement Production</v>
          </cell>
          <cell r="I39" t="str">
            <v>Unit of Derivative Product  &amp; Supporting</v>
          </cell>
          <cell r="J39" t="str">
            <v>Section of Derivative Prod. &amp; Opr. 2/3</v>
          </cell>
        </row>
        <row r="40">
          <cell r="A40">
            <v>4691</v>
          </cell>
          <cell r="B40" t="str">
            <v>7106298</v>
          </cell>
          <cell r="C40">
            <v>50047836</v>
          </cell>
          <cell r="D40" t="str">
            <v>BAHARUDDIN.A</v>
          </cell>
          <cell r="E40" t="str">
            <v>PGO Jr Officer</v>
          </cell>
          <cell r="F40" t="str">
            <v>Supervisor</v>
          </cell>
          <cell r="G40" t="str">
            <v>Operation Directorate</v>
          </cell>
          <cell r="H40" t="str">
            <v>Dept. of Maintenance</v>
          </cell>
          <cell r="I40" t="str">
            <v>Unit of Reliability Maintenance</v>
          </cell>
          <cell r="J40" t="str">
            <v>Staff of PGO</v>
          </cell>
        </row>
        <row r="41">
          <cell r="A41">
            <v>4708</v>
          </cell>
          <cell r="B41" t="str">
            <v>7706543</v>
          </cell>
          <cell r="C41">
            <v>50069078</v>
          </cell>
          <cell r="D41" t="str">
            <v>SOPYAN K.</v>
          </cell>
          <cell r="E41" t="str">
            <v>Spv of Port Operation</v>
          </cell>
          <cell r="F41" t="str">
            <v>Supervisor</v>
          </cell>
          <cell r="G41" t="str">
            <v>Operation Directorate</v>
          </cell>
          <cell r="H41" t="str">
            <v>Dept. of Infrastructure</v>
          </cell>
          <cell r="I41" t="str">
            <v>Unit of Plant &amp; Port Prod Discharge Opr</v>
          </cell>
          <cell r="J41" t="str">
            <v>Section of Port Opr (Packer &amp; Curah)</v>
          </cell>
        </row>
        <row r="42">
          <cell r="A42">
            <v>4717</v>
          </cell>
          <cell r="B42" t="str">
            <v>7106317</v>
          </cell>
          <cell r="C42">
            <v>50046274</v>
          </cell>
          <cell r="D42" t="str">
            <v>AMIRUDDIN</v>
          </cell>
          <cell r="E42" t="str">
            <v>Spv of Line 2/3 FM Mach PvM</v>
          </cell>
          <cell r="F42" t="str">
            <v>Supervisor</v>
          </cell>
          <cell r="G42" t="str">
            <v>Operation Directorate</v>
          </cell>
          <cell r="H42" t="str">
            <v>Dept. of Maintenance</v>
          </cell>
          <cell r="I42" t="str">
            <v>Unit of Machine Maintenance 1</v>
          </cell>
          <cell r="J42" t="str">
            <v>Section of Line 2/3 FM Machine Maint.</v>
          </cell>
        </row>
        <row r="43">
          <cell r="A43">
            <v>4722</v>
          </cell>
          <cell r="B43" t="str">
            <v>7002135</v>
          </cell>
          <cell r="C43">
            <v>50066804</v>
          </cell>
          <cell r="D43" t="str">
            <v>MUHTAR A.</v>
          </cell>
          <cell r="E43" t="str">
            <v>Quality Control Jr Officer</v>
          </cell>
          <cell r="F43" t="str">
            <v>Supervisor</v>
          </cell>
          <cell r="G43" t="str">
            <v>Operation Directorate</v>
          </cell>
          <cell r="H43" t="str">
            <v>Dept. of Production Planning &amp; Control</v>
          </cell>
          <cell r="I43" t="str">
            <v>Unit of Quality Control</v>
          </cell>
          <cell r="J43" t="str">
            <v>Section of Quality Development &amp; Eval.</v>
          </cell>
        </row>
        <row r="44">
          <cell r="A44">
            <v>4723</v>
          </cell>
          <cell r="B44" t="str">
            <v>7002136</v>
          </cell>
          <cell r="C44">
            <v>50066691</v>
          </cell>
          <cell r="D44" t="str">
            <v>Hj. SURIANI, SE.</v>
          </cell>
          <cell r="E44" t="str">
            <v>Asset Management Jr Officer</v>
          </cell>
          <cell r="F44" t="str">
            <v>Supervisor</v>
          </cell>
          <cell r="G44" t="str">
            <v>President Directorate</v>
          </cell>
          <cell r="H44" t="str">
            <v>Dept. of Communication, Legal &amp; GA</v>
          </cell>
          <cell r="I44" t="str">
            <v>Unit of General Facility &amp; Asset</v>
          </cell>
          <cell r="J44" t="str">
            <v>Section of Asset Management</v>
          </cell>
        </row>
        <row r="45">
          <cell r="A45">
            <v>4724</v>
          </cell>
          <cell r="B45" t="str">
            <v>7002137</v>
          </cell>
          <cell r="C45">
            <v>50008229</v>
          </cell>
          <cell r="D45" t="str">
            <v>JUFRI.M</v>
          </cell>
          <cell r="E45" t="str">
            <v>Overhaul Management Jr Officer</v>
          </cell>
          <cell r="F45" t="str">
            <v>Supervisor</v>
          </cell>
          <cell r="G45" t="str">
            <v>Operation Directorate</v>
          </cell>
          <cell r="H45" t="str">
            <v>Dep. of Project Mngmnt &amp; Maint. Support</v>
          </cell>
          <cell r="I45" t="str">
            <v>Unit of Project Management</v>
          </cell>
          <cell r="J45" t="str">
            <v>Staff of OVH Management</v>
          </cell>
        </row>
        <row r="46">
          <cell r="A46">
            <v>4725</v>
          </cell>
          <cell r="B46" t="str">
            <v>7090044</v>
          </cell>
          <cell r="C46">
            <v>50070996</v>
          </cell>
          <cell r="D46" t="str">
            <v>AHMAD NOHONG</v>
          </cell>
          <cell r="E46" t="str">
            <v>D Autonomous Kiln &amp; CM 4/5 Jr Officer</v>
          </cell>
          <cell r="F46" t="str">
            <v>Supervisor</v>
          </cell>
          <cell r="G46" t="str">
            <v>Operation Directorate</v>
          </cell>
          <cell r="H46" t="str">
            <v>Dept. of Clinker &amp; Cement Production</v>
          </cell>
          <cell r="I46" t="str">
            <v>Unit of Clinker Production</v>
          </cell>
          <cell r="J46" t="str">
            <v>Section of Kiln Production Coach</v>
          </cell>
        </row>
        <row r="47">
          <cell r="A47">
            <v>4726</v>
          </cell>
          <cell r="B47" t="str">
            <v>7095145</v>
          </cell>
          <cell r="C47">
            <v>50053205</v>
          </cell>
          <cell r="D47" t="str">
            <v>MUHAMMAD ARIEF</v>
          </cell>
          <cell r="E47" t="str">
            <v>Spv of Line 4 Kiln Field (Shift) B</v>
          </cell>
          <cell r="F47" t="str">
            <v>Supervisor</v>
          </cell>
          <cell r="G47" t="str">
            <v>Operation Directorate</v>
          </cell>
          <cell r="H47" t="str">
            <v>Dept. of Clinker &amp; Cement Production</v>
          </cell>
          <cell r="I47" t="str">
            <v>Unit of Clinker Production</v>
          </cell>
          <cell r="J47" t="str">
            <v>Section of Line 4 RKC Operation</v>
          </cell>
        </row>
        <row r="48">
          <cell r="A48">
            <v>4727</v>
          </cell>
          <cell r="B48" t="str">
            <v>7002138</v>
          </cell>
          <cell r="C48">
            <v>50070923</v>
          </cell>
          <cell r="D48" t="str">
            <v>AKHMAD SALAHUDDIN</v>
          </cell>
          <cell r="E48" t="str">
            <v>D General Facility 1 (Tonasa 1) Jr Ofc.</v>
          </cell>
          <cell r="F48" t="str">
            <v>Supervisor</v>
          </cell>
          <cell r="G48" t="str">
            <v>President Directorate</v>
          </cell>
          <cell r="H48" t="str">
            <v>Dept. of Communication, Legal &amp; GA</v>
          </cell>
          <cell r="I48" t="str">
            <v>Unit of General Facility &amp; Asset</v>
          </cell>
          <cell r="J48" t="str">
            <v>Section of General Facility 1 (Tonasa 1)</v>
          </cell>
        </row>
        <row r="49">
          <cell r="A49">
            <v>4728</v>
          </cell>
          <cell r="B49" t="str">
            <v>7002139</v>
          </cell>
          <cell r="C49">
            <v>50061772</v>
          </cell>
          <cell r="D49" t="str">
            <v>SYAHARUDDIN</v>
          </cell>
          <cell r="E49" t="str">
            <v>Opr of Continuous System Unloading B</v>
          </cell>
          <cell r="F49" t="str">
            <v>Associate</v>
          </cell>
          <cell r="G49" t="str">
            <v>Operation Directorate</v>
          </cell>
          <cell r="H49" t="str">
            <v>Dept. of Mining &amp; Power Plant</v>
          </cell>
          <cell r="I49" t="str">
            <v>Unit of Power Plant Operation</v>
          </cell>
          <cell r="J49" t="str">
            <v>Section of CUS</v>
          </cell>
        </row>
        <row r="50">
          <cell r="A50">
            <v>4729</v>
          </cell>
          <cell r="B50" t="str">
            <v>7002140</v>
          </cell>
          <cell r="C50">
            <v>50069355</v>
          </cell>
          <cell r="D50" t="str">
            <v>KISMAN</v>
          </cell>
          <cell r="E50" t="str">
            <v>Autonomous Kiln &amp; CM 4/5</v>
          </cell>
          <cell r="F50" t="str">
            <v>Supervisor</v>
          </cell>
          <cell r="G50" t="str">
            <v>Operation Directorate</v>
          </cell>
          <cell r="H50" t="str">
            <v>Dept. of Clinker &amp; Cement Production</v>
          </cell>
          <cell r="I50" t="str">
            <v>Unit of Clinker Production</v>
          </cell>
          <cell r="J50" t="str">
            <v>Section of Kiln Production Coach</v>
          </cell>
        </row>
        <row r="51">
          <cell r="A51">
            <v>4730</v>
          </cell>
          <cell r="B51" t="str">
            <v>7002141</v>
          </cell>
          <cell r="C51">
            <v>50069623</v>
          </cell>
          <cell r="D51" t="str">
            <v>AMINULLAH</v>
          </cell>
          <cell r="E51" t="str">
            <v>Spv of Line 4 Limestone Crusher</v>
          </cell>
          <cell r="F51" t="str">
            <v>Supervisor</v>
          </cell>
          <cell r="G51" t="str">
            <v>Operation Directorate</v>
          </cell>
          <cell r="H51" t="str">
            <v>Dept. of Mining &amp; Power Plant</v>
          </cell>
          <cell r="I51" t="str">
            <v>Unit of Raw Material Management</v>
          </cell>
          <cell r="J51" t="str">
            <v>Section of Limestone Crusher Operation</v>
          </cell>
        </row>
        <row r="52">
          <cell r="A52">
            <v>4731</v>
          </cell>
          <cell r="B52" t="str">
            <v>7002142</v>
          </cell>
          <cell r="C52">
            <v>50071027</v>
          </cell>
          <cell r="D52" t="str">
            <v>MUH.ICHSAN STEPHEN</v>
          </cell>
          <cell r="E52" t="str">
            <v>E Assc of CUS Operation</v>
          </cell>
          <cell r="F52" t="str">
            <v>Associate</v>
          </cell>
          <cell r="G52" t="str">
            <v>Operation Directorate</v>
          </cell>
          <cell r="H52" t="str">
            <v>Dept. of Mining &amp; Power Plant</v>
          </cell>
          <cell r="I52" t="str">
            <v>Unit of Power Plant Operation</v>
          </cell>
          <cell r="J52" t="str">
            <v>Section of Water Treatment &amp; CUS Opr</v>
          </cell>
        </row>
        <row r="53">
          <cell r="A53">
            <v>4732</v>
          </cell>
          <cell r="B53" t="str">
            <v>7095257</v>
          </cell>
          <cell r="C53">
            <v>50069661</v>
          </cell>
          <cell r="D53" t="str">
            <v>BENYAMIN</v>
          </cell>
          <cell r="E53" t="str">
            <v>Autonomous Clay &amp; SC Crusher Jr Officer</v>
          </cell>
          <cell r="F53" t="str">
            <v>Supervisor</v>
          </cell>
          <cell r="G53" t="str">
            <v>Operation Directorate</v>
          </cell>
          <cell r="H53" t="str">
            <v>Dept. of Mining &amp; Power Plant</v>
          </cell>
          <cell r="I53" t="str">
            <v>Unit of Raw Material Management</v>
          </cell>
          <cell r="J53" t="str">
            <v>Section of Clay Crusher Operation</v>
          </cell>
        </row>
        <row r="54">
          <cell r="A54">
            <v>4733</v>
          </cell>
          <cell r="B54" t="str">
            <v>7106329</v>
          </cell>
          <cell r="C54">
            <v>50069071</v>
          </cell>
          <cell r="D54" t="str">
            <v>MUSTAFA SUDDIN</v>
          </cell>
          <cell r="E54" t="str">
            <v>Spv of Port Operation</v>
          </cell>
          <cell r="F54" t="str">
            <v>Supervisor</v>
          </cell>
          <cell r="G54" t="str">
            <v>Operation Directorate</v>
          </cell>
          <cell r="H54" t="str">
            <v>Dept. of Infrastructure</v>
          </cell>
          <cell r="I54" t="str">
            <v>Unit of Plant &amp; Port Prod Discharge Opr</v>
          </cell>
          <cell r="J54" t="str">
            <v>Section of Port Opr (Packer &amp; Curah)</v>
          </cell>
        </row>
        <row r="55">
          <cell r="A55">
            <v>4734</v>
          </cell>
          <cell r="B55" t="str">
            <v>7106330</v>
          </cell>
          <cell r="C55">
            <v>50066782</v>
          </cell>
          <cell r="D55" t="str">
            <v>TAJUDDIN NUR</v>
          </cell>
          <cell r="E55" t="str">
            <v>Spv of Plant OHS</v>
          </cell>
          <cell r="F55" t="str">
            <v>Supervisor</v>
          </cell>
          <cell r="G55" t="str">
            <v>Operation Directorate</v>
          </cell>
          <cell r="H55" t="str">
            <v>Dept. of Production Planning &amp; Control</v>
          </cell>
          <cell r="I55" t="str">
            <v>Unit of OHS</v>
          </cell>
          <cell r="J55" t="str">
            <v>Section of Plant Occupational Hea &amp; Saf.</v>
          </cell>
        </row>
        <row r="56">
          <cell r="A56">
            <v>4735</v>
          </cell>
          <cell r="B56" t="str">
            <v>7106331</v>
          </cell>
          <cell r="C56">
            <v>50062550</v>
          </cell>
          <cell r="D56" t="str">
            <v>M.DAHLAN, SE.</v>
          </cell>
          <cell r="E56" t="str">
            <v>Secretariate &amp; Protocol Jr Officer</v>
          </cell>
          <cell r="F56" t="str">
            <v>Supervisor</v>
          </cell>
          <cell r="G56" t="str">
            <v>President Directorate</v>
          </cell>
          <cell r="H56" t="str">
            <v>Dept. of Communication, Legal &amp; GA</v>
          </cell>
          <cell r="I56" t="str">
            <v>Unit of Communication &amp; Secretariate</v>
          </cell>
          <cell r="J56" t="str">
            <v>Staff of Secretariate &amp; Protocol</v>
          </cell>
        </row>
        <row r="57">
          <cell r="A57">
            <v>4736</v>
          </cell>
          <cell r="B57" t="str">
            <v>7002143</v>
          </cell>
          <cell r="C57">
            <v>50053080</v>
          </cell>
          <cell r="D57" t="str">
            <v>MUSTADIR</v>
          </cell>
          <cell r="E57" t="str">
            <v>2/3 CCR RKC Jr Officer (Shift)</v>
          </cell>
          <cell r="F57" t="str">
            <v>Supervisor</v>
          </cell>
          <cell r="G57" t="str">
            <v>Operation Directorate</v>
          </cell>
          <cell r="H57" t="str">
            <v>Dept. of Clinker &amp; Cement Production</v>
          </cell>
          <cell r="I57" t="str">
            <v>Unit of Derivative Product  &amp; Supporting</v>
          </cell>
          <cell r="J57" t="str">
            <v>Section of Derivative Prod. &amp; Opr. 2/3</v>
          </cell>
        </row>
        <row r="58">
          <cell r="A58">
            <v>4737</v>
          </cell>
          <cell r="B58" t="str">
            <v>7002144</v>
          </cell>
          <cell r="C58">
            <v>50066787</v>
          </cell>
          <cell r="D58" t="str">
            <v>GURIL MOLINDO</v>
          </cell>
          <cell r="E58" t="str">
            <v>Spv of X - Ray &amp; Analysis (2/3)</v>
          </cell>
          <cell r="F58" t="str">
            <v>Supervisor</v>
          </cell>
          <cell r="G58" t="str">
            <v>Operation Directorate</v>
          </cell>
          <cell r="H58" t="str">
            <v>Dept. of Production Planning &amp; Control</v>
          </cell>
          <cell r="I58" t="str">
            <v>Unit of Quality Control</v>
          </cell>
          <cell r="J58" t="str">
            <v>Section of Quality Control (2/3)</v>
          </cell>
        </row>
        <row r="59">
          <cell r="A59">
            <v>4738</v>
          </cell>
          <cell r="B59" t="str">
            <v>7002145</v>
          </cell>
          <cell r="C59">
            <v>50065601</v>
          </cell>
          <cell r="D59" t="str">
            <v>IBRAHIM.K</v>
          </cell>
          <cell r="E59" t="str">
            <v>E Tender Belt Transport Sil, CL &amp; LS</v>
          </cell>
          <cell r="F59" t="str">
            <v>Associate</v>
          </cell>
          <cell r="G59" t="str">
            <v>Operation Directorate</v>
          </cell>
          <cell r="H59" t="str">
            <v>Dept. of Clinker &amp; Cement Production</v>
          </cell>
          <cell r="I59" t="str">
            <v>Unit of Clinker Production</v>
          </cell>
          <cell r="J59" t="str">
            <v>Section of Line 4 RKC Operation</v>
          </cell>
        </row>
        <row r="60">
          <cell r="A60">
            <v>4741</v>
          </cell>
          <cell r="B60" t="str">
            <v>7002147</v>
          </cell>
          <cell r="C60">
            <v>50069133</v>
          </cell>
          <cell r="D60" t="str">
            <v>GIOVANNI S</v>
          </cell>
          <cell r="E60" t="str">
            <v>Land Interplant &amp; DEPO Mngmnt Jr Officer</v>
          </cell>
          <cell r="F60" t="str">
            <v>Supervisor</v>
          </cell>
          <cell r="G60" t="str">
            <v>Operation Directorate</v>
          </cell>
          <cell r="H60" t="str">
            <v>Dept. of Infrastructure</v>
          </cell>
          <cell r="I60" t="str">
            <v>Unit of Interplant Logistic</v>
          </cell>
          <cell r="J60" t="str">
            <v>Section of Land Interplant &amp; DEPO Mngmnt</v>
          </cell>
        </row>
        <row r="61">
          <cell r="A61">
            <v>4742</v>
          </cell>
          <cell r="B61" t="str">
            <v>7002148</v>
          </cell>
          <cell r="C61">
            <v>50061699</v>
          </cell>
          <cell r="D61" t="str">
            <v>HAERUL HL., S.Sos.</v>
          </cell>
          <cell r="E61" t="str">
            <v>Jr of PROPER &amp; CDM</v>
          </cell>
          <cell r="F61" t="str">
            <v>Supervisor</v>
          </cell>
          <cell r="G61" t="str">
            <v>Operation Directorate</v>
          </cell>
          <cell r="H61" t="str">
            <v>Dept. of Production Planning &amp; Control</v>
          </cell>
          <cell r="I61" t="str">
            <v>Unit of Prod. Plan Eval. &amp; Environmental</v>
          </cell>
          <cell r="J61" t="str">
            <v>Section of PROPER &amp; CDM</v>
          </cell>
        </row>
        <row r="62">
          <cell r="A62">
            <v>4743</v>
          </cell>
          <cell r="B62" t="str">
            <v>7002149</v>
          </cell>
          <cell r="C62">
            <v>50069082</v>
          </cell>
          <cell r="D62" t="str">
            <v>SYAHRUDDIN A.</v>
          </cell>
          <cell r="E62" t="str">
            <v>Spv of Silo &amp; Jetty Operation</v>
          </cell>
          <cell r="F62" t="str">
            <v>Supervisor</v>
          </cell>
          <cell r="G62" t="str">
            <v>Operation Directorate</v>
          </cell>
          <cell r="H62" t="str">
            <v>Dept. of Infrastructure</v>
          </cell>
          <cell r="I62" t="str">
            <v>Unit of Plant &amp; Port Prod Discharge Opr</v>
          </cell>
          <cell r="J62" t="str">
            <v>Section of Port Opr (Silo, Aux. T &amp; SM)</v>
          </cell>
        </row>
        <row r="63">
          <cell r="A63">
            <v>4744</v>
          </cell>
          <cell r="B63" t="str">
            <v>7098014</v>
          </cell>
          <cell r="C63">
            <v>50069598</v>
          </cell>
          <cell r="D63" t="str">
            <v>GAZALY, ST.</v>
          </cell>
          <cell r="E63" t="str">
            <v>Mgr of Mine Safety Reclamation</v>
          </cell>
          <cell r="F63" t="str">
            <v>Manager</v>
          </cell>
          <cell r="G63" t="str">
            <v>Operation Directorate</v>
          </cell>
          <cell r="H63" t="str">
            <v>Dept. of Mining &amp; Power Plant</v>
          </cell>
          <cell r="I63" t="str">
            <v>Unit of Mine Plan</v>
          </cell>
          <cell r="J63" t="str">
            <v>Section of Mine Safety Reclamation</v>
          </cell>
        </row>
        <row r="64">
          <cell r="A64">
            <v>4745</v>
          </cell>
          <cell r="B64" t="str">
            <v>7106337</v>
          </cell>
          <cell r="C64">
            <v>50069116</v>
          </cell>
          <cell r="D64" t="str">
            <v>M.AKBAR</v>
          </cell>
          <cell r="E64" t="str">
            <v>Spv of Bag Packer Plant Inspection</v>
          </cell>
          <cell r="F64" t="str">
            <v>Supervisor</v>
          </cell>
          <cell r="G64" t="str">
            <v>Operation Directorate</v>
          </cell>
          <cell r="H64" t="str">
            <v>Dept. of Infrastructure</v>
          </cell>
          <cell r="I64" t="str">
            <v>Unit of Plant &amp; Port Prod Discharge Opr</v>
          </cell>
          <cell r="J64" t="str">
            <v>Section of Plant Site Packer &amp; Bulk Opr</v>
          </cell>
        </row>
        <row r="65">
          <cell r="A65">
            <v>4746</v>
          </cell>
          <cell r="B65" t="str">
            <v>7002113</v>
          </cell>
          <cell r="C65">
            <v>50053059</v>
          </cell>
          <cell r="D65" t="str">
            <v>LAMASI SIGIRA</v>
          </cell>
          <cell r="E65" t="str">
            <v>Spv of Line 2/3 Kiln Field (Shift)</v>
          </cell>
          <cell r="F65" t="str">
            <v>Supervisor</v>
          </cell>
          <cell r="G65" t="str">
            <v>Operation Directorate</v>
          </cell>
          <cell r="H65" t="str">
            <v>Dept. of Clinker &amp; Cement Production</v>
          </cell>
          <cell r="I65" t="str">
            <v>Unit of Derivative Product  &amp; Supporting</v>
          </cell>
          <cell r="J65" t="str">
            <v>Section of Derivative Prod. &amp; Opr. 2/3</v>
          </cell>
        </row>
        <row r="66">
          <cell r="A66">
            <v>4748</v>
          </cell>
          <cell r="B66" t="str">
            <v>7102151</v>
          </cell>
          <cell r="C66">
            <v>50068526</v>
          </cell>
          <cell r="D66" t="str">
            <v>JERMIA T., SE.</v>
          </cell>
          <cell r="E66" t="str">
            <v>Shipment Management Jr officer</v>
          </cell>
          <cell r="F66" t="str">
            <v>Supervisor</v>
          </cell>
          <cell r="G66" t="str">
            <v>President Directorate</v>
          </cell>
          <cell r="H66" t="str">
            <v>Dept. of Sales</v>
          </cell>
          <cell r="I66" t="str">
            <v>Unit of Outbound Logistic</v>
          </cell>
          <cell r="J66" t="str">
            <v>Section of Shipment Management</v>
          </cell>
        </row>
        <row r="67">
          <cell r="A67">
            <v>4749</v>
          </cell>
          <cell r="B67" t="str">
            <v>7102152</v>
          </cell>
          <cell r="C67">
            <v>50069577</v>
          </cell>
          <cell r="D67" t="str">
            <v>RAPIUDDIN</v>
          </cell>
          <cell r="E67" t="str">
            <v>Spv of Big Bulk Cement Packing</v>
          </cell>
          <cell r="F67" t="str">
            <v>Supervisor</v>
          </cell>
          <cell r="G67" t="str">
            <v>Operation Directorate</v>
          </cell>
          <cell r="H67" t="str">
            <v>Dept. of Maintenance</v>
          </cell>
          <cell r="I67" t="str">
            <v>Unit of Port Product Discharge Maint.</v>
          </cell>
          <cell r="J67" t="str">
            <v>Section of Port Facility Machine Maint.</v>
          </cell>
        </row>
        <row r="68">
          <cell r="A68">
            <v>4750</v>
          </cell>
          <cell r="B68" t="str">
            <v>7195140</v>
          </cell>
          <cell r="C68">
            <v>50066274</v>
          </cell>
          <cell r="D68" t="str">
            <v>AKBAR</v>
          </cell>
          <cell r="E68" t="str">
            <v>Maintenance Control &amp; Eval. Jr Officer</v>
          </cell>
          <cell r="F68" t="str">
            <v>Supervisor</v>
          </cell>
          <cell r="G68" t="str">
            <v>Operation Directorate</v>
          </cell>
          <cell r="H68" t="str">
            <v>Dep. of Project Mngmnt &amp; Maint. Support</v>
          </cell>
          <cell r="I68" t="str">
            <v>Unit of Maintenance Planning &amp; Eval.</v>
          </cell>
          <cell r="J68" t="str">
            <v>Staff of Maintenance Control &amp; Eval.</v>
          </cell>
        </row>
        <row r="69">
          <cell r="A69">
            <v>4751</v>
          </cell>
          <cell r="B69" t="str">
            <v>7106341</v>
          </cell>
          <cell r="C69">
            <v>50070097</v>
          </cell>
          <cell r="D69" t="str">
            <v>MUKARRAMAH</v>
          </cell>
          <cell r="E69" t="str">
            <v>Goods Control Jr Officer</v>
          </cell>
          <cell r="F69" t="str">
            <v>Supervisor</v>
          </cell>
          <cell r="G69" t="str">
            <v>Direktorat Human Capital</v>
          </cell>
          <cell r="H69" t="str">
            <v>Department of Goods Proc. Plan. &amp; Policy</v>
          </cell>
          <cell r="I69" t="str">
            <v>Unit of Consum. Gds., Egy.&amp;Raw Mat. Ctrl</v>
          </cell>
        </row>
        <row r="70">
          <cell r="A70">
            <v>4752</v>
          </cell>
          <cell r="B70" t="str">
            <v>7102153</v>
          </cell>
          <cell r="C70">
            <v>50052870</v>
          </cell>
          <cell r="D70" t="str">
            <v>BURHANUDDIN</v>
          </cell>
          <cell r="E70" t="str">
            <v>Spv of Line 2/3 RM Field (Shift)</v>
          </cell>
          <cell r="F70" t="str">
            <v>Supervisor</v>
          </cell>
          <cell r="G70" t="str">
            <v>Operation Directorate</v>
          </cell>
          <cell r="H70" t="str">
            <v>Dept. of Clinker &amp; Cement Production</v>
          </cell>
          <cell r="I70" t="str">
            <v>Unit of Derivative Product  &amp; Supporting</v>
          </cell>
          <cell r="J70" t="str">
            <v>Section of Derivative Prod. &amp; Opr. 2/3</v>
          </cell>
        </row>
        <row r="71">
          <cell r="A71">
            <v>4753</v>
          </cell>
          <cell r="B71" t="str">
            <v>7102154</v>
          </cell>
          <cell r="C71">
            <v>50054014</v>
          </cell>
          <cell r="D71" t="str">
            <v>SYAMSUL BAHRI S.</v>
          </cell>
          <cell r="E71" t="str">
            <v>Spv of Line 5 FM Field</v>
          </cell>
          <cell r="F71" t="str">
            <v>Supervisor</v>
          </cell>
          <cell r="G71" t="str">
            <v>Operation Directorate</v>
          </cell>
          <cell r="H71" t="str">
            <v>Dept. of Clinker &amp; Cement Production</v>
          </cell>
          <cell r="I71" t="str">
            <v>Unit of Cement Production</v>
          </cell>
          <cell r="J71" t="str">
            <v>Section of Line 5 Finish Mill Operation</v>
          </cell>
        </row>
        <row r="72">
          <cell r="A72">
            <v>4755</v>
          </cell>
          <cell r="B72" t="str">
            <v>7102156</v>
          </cell>
          <cell r="C72">
            <v>50069432</v>
          </cell>
          <cell r="D72" t="str">
            <v>MUCHLIS</v>
          </cell>
          <cell r="E72" t="str">
            <v>Spv of Drier Trass Mill 4</v>
          </cell>
          <cell r="F72" t="str">
            <v>Supervisor</v>
          </cell>
          <cell r="G72" t="str">
            <v>Operation Directorate</v>
          </cell>
          <cell r="H72" t="str">
            <v>Dept. of Clinker &amp; Cement Production</v>
          </cell>
          <cell r="I72" t="str">
            <v>Unit of Cement Production</v>
          </cell>
          <cell r="J72" t="str">
            <v>Section of Line 4 Finish Mill Operation</v>
          </cell>
        </row>
        <row r="73">
          <cell r="A73">
            <v>4756</v>
          </cell>
          <cell r="B73" t="str">
            <v>7102157</v>
          </cell>
          <cell r="C73">
            <v>50053162</v>
          </cell>
          <cell r="D73" t="str">
            <v>ALIMUDDIN R.</v>
          </cell>
          <cell r="E73" t="str">
            <v>Tender Feed Bin &amp; Trans Bin</v>
          </cell>
          <cell r="F73" t="str">
            <v>Associate</v>
          </cell>
          <cell r="G73" t="str">
            <v>Operation Directorate</v>
          </cell>
          <cell r="H73" t="str">
            <v>Dept. of Clinker &amp; Cement Production</v>
          </cell>
          <cell r="I73" t="str">
            <v>Unit of Clinker Production</v>
          </cell>
          <cell r="J73" t="str">
            <v>Section of Line 4 RKC Operation</v>
          </cell>
        </row>
        <row r="74">
          <cell r="A74">
            <v>4757</v>
          </cell>
          <cell r="B74" t="str">
            <v>7102158</v>
          </cell>
          <cell r="C74">
            <v>50071569</v>
          </cell>
          <cell r="D74" t="str">
            <v>MURSALIM MUIN</v>
          </cell>
          <cell r="E74" t="str">
            <v>E Sparepart &amp; Consumable Mgm Adm officer</v>
          </cell>
          <cell r="F74" t="str">
            <v>Associate</v>
          </cell>
          <cell r="G74" t="str">
            <v>Finance Risk Mgmt &amp; General Directorate</v>
          </cell>
          <cell r="I74" t="str">
            <v>Unit of Warehouse</v>
          </cell>
          <cell r="J74" t="str">
            <v>Section of Sparepart &amp; Consumable Mgmt</v>
          </cell>
        </row>
        <row r="75">
          <cell r="A75">
            <v>4760</v>
          </cell>
          <cell r="B75" t="str">
            <v>7195146</v>
          </cell>
          <cell r="C75">
            <v>50069446</v>
          </cell>
          <cell r="D75" t="str">
            <v>RUSTAM S.</v>
          </cell>
          <cell r="E75" t="str">
            <v>Overhaul Management Jr Officer</v>
          </cell>
          <cell r="F75" t="str">
            <v>Supervisor</v>
          </cell>
          <cell r="G75" t="str">
            <v>Operation Directorate</v>
          </cell>
          <cell r="H75" t="str">
            <v>Dep. of Project Mngmnt &amp; Maint. Support</v>
          </cell>
          <cell r="I75" t="str">
            <v>Unit of Project Management</v>
          </cell>
          <cell r="J75" t="str">
            <v>Staff of OVH Management</v>
          </cell>
        </row>
        <row r="76">
          <cell r="A76">
            <v>4762</v>
          </cell>
          <cell r="B76" t="str">
            <v>7102167</v>
          </cell>
          <cell r="C76">
            <v>50069727</v>
          </cell>
          <cell r="D76" t="str">
            <v>H. ARIFUDDIN HS</v>
          </cell>
          <cell r="E76" t="str">
            <v>Spv of CUS Operation</v>
          </cell>
          <cell r="F76" t="str">
            <v>Supervisor</v>
          </cell>
          <cell r="G76" t="str">
            <v>Operation Directorate</v>
          </cell>
          <cell r="H76" t="str">
            <v>Dept. of Mining &amp; Power Plant</v>
          </cell>
          <cell r="I76" t="str">
            <v>Unit of Power Plant Operation</v>
          </cell>
          <cell r="J76" t="str">
            <v>Section of Water Treatment &amp; CUS Opr</v>
          </cell>
        </row>
        <row r="77">
          <cell r="A77">
            <v>4764</v>
          </cell>
          <cell r="B77" t="str">
            <v>7206349</v>
          </cell>
          <cell r="C77">
            <v>50054009</v>
          </cell>
          <cell r="D77" t="str">
            <v>YUSMAN</v>
          </cell>
          <cell r="E77" t="str">
            <v>Spv of Line 5 FM Field</v>
          </cell>
          <cell r="F77" t="str">
            <v>Supervisor</v>
          </cell>
          <cell r="G77" t="str">
            <v>Operation Directorate</v>
          </cell>
          <cell r="H77" t="str">
            <v>Dept. of Clinker &amp; Cement Production</v>
          </cell>
          <cell r="I77" t="str">
            <v>Unit of Cement Production</v>
          </cell>
          <cell r="J77" t="str">
            <v>Section of Line 5 Finish Mill Operation</v>
          </cell>
        </row>
        <row r="78">
          <cell r="A78">
            <v>4765</v>
          </cell>
          <cell r="B78" t="str">
            <v>7206351</v>
          </cell>
          <cell r="C78">
            <v>50070998</v>
          </cell>
          <cell r="D78" t="str">
            <v>ABDURRAHMAN</v>
          </cell>
          <cell r="E78" t="str">
            <v>E Staff of Autonomous Kiln &amp; CM 4/5</v>
          </cell>
          <cell r="F78" t="str">
            <v>Associate</v>
          </cell>
          <cell r="G78" t="str">
            <v>Operation Directorate</v>
          </cell>
          <cell r="H78" t="str">
            <v>Dept. of Clinker &amp; Cement Production</v>
          </cell>
          <cell r="I78" t="str">
            <v>Unit of Clinker Production</v>
          </cell>
          <cell r="J78" t="str">
            <v>Section of Kiln Production Coach</v>
          </cell>
        </row>
        <row r="79">
          <cell r="A79">
            <v>4766</v>
          </cell>
          <cell r="B79" t="str">
            <v>7102162</v>
          </cell>
          <cell r="C79">
            <v>50071028</v>
          </cell>
          <cell r="D79" t="str">
            <v>ASRIF</v>
          </cell>
          <cell r="E79" t="str">
            <v>E Assc of CUS Operation</v>
          </cell>
          <cell r="F79" t="str">
            <v>Associate</v>
          </cell>
          <cell r="G79" t="str">
            <v>Operation Directorate</v>
          </cell>
          <cell r="H79" t="str">
            <v>Dept. of Mining &amp; Power Plant</v>
          </cell>
          <cell r="I79" t="str">
            <v>Unit of Power Plant Operation</v>
          </cell>
          <cell r="J79" t="str">
            <v>Section of Water Treatment &amp; CUS Opr</v>
          </cell>
        </row>
        <row r="80">
          <cell r="A80">
            <v>4767</v>
          </cell>
          <cell r="B80" t="str">
            <v>7102163</v>
          </cell>
          <cell r="C80">
            <v>50066483</v>
          </cell>
          <cell r="D80" t="str">
            <v>YUSUF RANDE</v>
          </cell>
          <cell r="E80" t="str">
            <v>Spv of BKS &amp; Other Facilities OHS</v>
          </cell>
          <cell r="F80" t="str">
            <v>Supervisor</v>
          </cell>
          <cell r="G80" t="str">
            <v>Operation Directorate</v>
          </cell>
          <cell r="H80" t="str">
            <v>Dept. of Production Planning &amp; Control</v>
          </cell>
          <cell r="I80" t="str">
            <v>Unit of OHS</v>
          </cell>
          <cell r="J80" t="str">
            <v>Section of BKS Occupational Healt &amp; Saf.</v>
          </cell>
        </row>
        <row r="81">
          <cell r="A81">
            <v>4768</v>
          </cell>
          <cell r="B81" t="str">
            <v>7102164</v>
          </cell>
          <cell r="C81">
            <v>50069892</v>
          </cell>
          <cell r="D81" t="str">
            <v>M.ALI</v>
          </cell>
          <cell r="E81" t="str">
            <v>E Bulk Transportation Adm &amp; Eval Ofc.</v>
          </cell>
          <cell r="F81" t="str">
            <v>Associate</v>
          </cell>
          <cell r="G81" t="str">
            <v>President Directorate</v>
          </cell>
          <cell r="H81" t="str">
            <v>Dept. of Sales</v>
          </cell>
          <cell r="I81" t="str">
            <v>Unit of Outbound Logistic</v>
          </cell>
          <cell r="J81" t="str">
            <v>Section of Bulk Transportation</v>
          </cell>
        </row>
        <row r="82">
          <cell r="A82">
            <v>4769</v>
          </cell>
          <cell r="B82" t="str">
            <v>7102165</v>
          </cell>
          <cell r="C82">
            <v>50034261</v>
          </cell>
          <cell r="D82" t="str">
            <v>RUSLI YUSUF</v>
          </cell>
          <cell r="E82" t="str">
            <v>Spv of Power Plant CCR</v>
          </cell>
          <cell r="F82" t="str">
            <v>Supervisor</v>
          </cell>
          <cell r="G82" t="str">
            <v>Operation Directorate</v>
          </cell>
          <cell r="H82" t="str">
            <v>Dept. of Mining &amp; Power Plant</v>
          </cell>
          <cell r="I82" t="str">
            <v>Unit of Power Plant Operation</v>
          </cell>
          <cell r="J82" t="str">
            <v>Section of Power Plant Operation</v>
          </cell>
        </row>
        <row r="83">
          <cell r="A83">
            <v>4770</v>
          </cell>
          <cell r="B83" t="str">
            <v>7102166</v>
          </cell>
          <cell r="C83">
            <v>50069610</v>
          </cell>
          <cell r="D83" t="str">
            <v>M.SALIM SARIHUDDIN</v>
          </cell>
          <cell r="E83" t="str">
            <v>Spv of Plant Green Service</v>
          </cell>
          <cell r="F83" t="str">
            <v>Supervisor</v>
          </cell>
          <cell r="G83" t="str">
            <v>Operation Directorate</v>
          </cell>
          <cell r="H83" t="str">
            <v>Dept. of Mining &amp; Power Plant</v>
          </cell>
          <cell r="I83" t="str">
            <v>Unit of Mine Plan</v>
          </cell>
          <cell r="J83" t="str">
            <v>Section of Mine Safety Reclamation</v>
          </cell>
        </row>
        <row r="84">
          <cell r="A84">
            <v>4771</v>
          </cell>
          <cell r="B84" t="str">
            <v>7195258</v>
          </cell>
          <cell r="C84">
            <v>50071567</v>
          </cell>
          <cell r="D84" t="str">
            <v>MUH.BASRI</v>
          </cell>
          <cell r="E84" t="str">
            <v>D Sparepart &amp; Consumable Mgmt Jr officer</v>
          </cell>
          <cell r="F84" t="str">
            <v>Supervisor</v>
          </cell>
          <cell r="G84" t="str">
            <v>Finance Risk Mgmt &amp; General Directorate</v>
          </cell>
          <cell r="I84" t="str">
            <v>Unit of Warehouse</v>
          </cell>
          <cell r="J84" t="str">
            <v>Section of Sparepart &amp; Consumable Mgmt</v>
          </cell>
        </row>
        <row r="85">
          <cell r="A85">
            <v>4772</v>
          </cell>
          <cell r="B85" t="str">
            <v>7102168</v>
          </cell>
          <cell r="C85">
            <v>50069253</v>
          </cell>
          <cell r="D85" t="str">
            <v>BURHANUDDIN</v>
          </cell>
          <cell r="E85" t="str">
            <v>Land Transportation Jr Officer</v>
          </cell>
          <cell r="F85" t="str">
            <v>Supervisor</v>
          </cell>
          <cell r="G85" t="str">
            <v>President Directorate</v>
          </cell>
          <cell r="H85" t="str">
            <v>Dept. of Sales</v>
          </cell>
          <cell r="I85" t="str">
            <v>Unit of Outbound Logistic</v>
          </cell>
          <cell r="J85" t="str">
            <v>Section of Land Transportation</v>
          </cell>
        </row>
        <row r="86">
          <cell r="A86">
            <v>4773</v>
          </cell>
          <cell r="B86" t="str">
            <v>7102169</v>
          </cell>
          <cell r="C86">
            <v>50066698</v>
          </cell>
          <cell r="D86" t="str">
            <v>SONGKENG</v>
          </cell>
          <cell r="E86" t="str">
            <v>GA &amp; Facility 2 (Tonasa 2) Jr Officer</v>
          </cell>
          <cell r="F86" t="str">
            <v>Supervisor</v>
          </cell>
          <cell r="G86" t="str">
            <v>President Directorate</v>
          </cell>
          <cell r="H86" t="str">
            <v>Dept. of Communication, Legal &amp; GA</v>
          </cell>
          <cell r="I86" t="str">
            <v>Unit of General Facility &amp; Asset</v>
          </cell>
          <cell r="J86" t="str">
            <v>Section of General Affair &amp; Facility 2</v>
          </cell>
        </row>
        <row r="87">
          <cell r="A87">
            <v>4774</v>
          </cell>
          <cell r="B87" t="str">
            <v>7102170</v>
          </cell>
          <cell r="C87">
            <v>50069415</v>
          </cell>
          <cell r="D87" t="str">
            <v>ZAINUDDIN S.</v>
          </cell>
          <cell r="E87" t="str">
            <v>Spv of Line 5 KCM Field Specialist</v>
          </cell>
          <cell r="F87" t="str">
            <v>Supervisor</v>
          </cell>
          <cell r="G87" t="str">
            <v>Operation Directorate</v>
          </cell>
          <cell r="H87" t="str">
            <v>Dept. of Clinker &amp; Cement Production</v>
          </cell>
          <cell r="I87" t="str">
            <v>Unit of Clinker Production</v>
          </cell>
          <cell r="J87" t="str">
            <v>Section of Line 5 RKC Operation</v>
          </cell>
        </row>
        <row r="88">
          <cell r="A88">
            <v>4775</v>
          </cell>
          <cell r="B88" t="str">
            <v>7102171</v>
          </cell>
          <cell r="C88">
            <v>50071568</v>
          </cell>
          <cell r="D88" t="str">
            <v>H. MUSAKKIR, SE.</v>
          </cell>
          <cell r="E88" t="str">
            <v>E Sparepart &amp; Consumable Mgm Adm officer</v>
          </cell>
          <cell r="F88" t="str">
            <v>Associate</v>
          </cell>
          <cell r="G88" t="str">
            <v>Finance Risk Mgmt &amp; General Directorate</v>
          </cell>
          <cell r="I88" t="str">
            <v>Unit of Warehouse</v>
          </cell>
          <cell r="J88" t="str">
            <v>Section of Sparepart &amp; Consumable Mgmt</v>
          </cell>
        </row>
        <row r="89">
          <cell r="A89">
            <v>4776</v>
          </cell>
          <cell r="B89" t="str">
            <v>7102172</v>
          </cell>
          <cell r="C89">
            <v>50054322</v>
          </cell>
          <cell r="D89" t="str">
            <v>MUJAHID</v>
          </cell>
          <cell r="E89" t="str">
            <v>Spv of Line 2/3 Packer Mechine Maint.</v>
          </cell>
          <cell r="F89" t="str">
            <v>Supervisor</v>
          </cell>
          <cell r="G89" t="str">
            <v>Operation Directorate</v>
          </cell>
          <cell r="H89" t="str">
            <v>Dept. of Maintenance</v>
          </cell>
          <cell r="I89" t="str">
            <v>Unit of Machine Maintenance 1</v>
          </cell>
          <cell r="J89" t="str">
            <v>Section of Packer Machine Maint.</v>
          </cell>
        </row>
        <row r="90">
          <cell r="A90">
            <v>4777</v>
          </cell>
          <cell r="B90" t="str">
            <v>7206368</v>
          </cell>
          <cell r="C90">
            <v>50055676</v>
          </cell>
          <cell r="D90" t="str">
            <v>AGUS.S</v>
          </cell>
          <cell r="E90" t="str">
            <v>Spv of Big Bulk Cement Packing</v>
          </cell>
          <cell r="F90" t="str">
            <v>Supervisor</v>
          </cell>
          <cell r="G90" t="str">
            <v>Operation Directorate</v>
          </cell>
          <cell r="H90" t="str">
            <v>Dept. of Maintenance</v>
          </cell>
          <cell r="I90" t="str">
            <v>Unit of Machine Maintenance 1</v>
          </cell>
          <cell r="J90" t="str">
            <v>Section of Packer Machine Maint.</v>
          </cell>
        </row>
        <row r="91">
          <cell r="A91">
            <v>4778</v>
          </cell>
          <cell r="B91" t="str">
            <v>7102178</v>
          </cell>
          <cell r="C91">
            <v>50047839</v>
          </cell>
          <cell r="D91" t="str">
            <v>ABDUL MAPPI</v>
          </cell>
          <cell r="E91" t="str">
            <v>PGO Jr Officer</v>
          </cell>
          <cell r="F91" t="str">
            <v>Supervisor</v>
          </cell>
          <cell r="G91" t="str">
            <v>Operation Directorate</v>
          </cell>
          <cell r="H91" t="str">
            <v>Dept. of Maintenance</v>
          </cell>
          <cell r="I91" t="str">
            <v>Unit of Reliability Maintenance</v>
          </cell>
          <cell r="J91" t="str">
            <v>Staff of PGO</v>
          </cell>
        </row>
        <row r="92">
          <cell r="A92">
            <v>4779</v>
          </cell>
          <cell r="B92" t="str">
            <v>7102161</v>
          </cell>
          <cell r="C92">
            <v>50069628</v>
          </cell>
          <cell r="D92" t="str">
            <v>SIRAJUDDIN</v>
          </cell>
          <cell r="E92" t="str">
            <v>Spv of Control Room LS Crusher (4)</v>
          </cell>
          <cell r="F92" t="str">
            <v>Supervisor</v>
          </cell>
          <cell r="G92" t="str">
            <v>Operation Directorate</v>
          </cell>
          <cell r="H92" t="str">
            <v>Dept. of Mining &amp; Power Plant</v>
          </cell>
          <cell r="I92" t="str">
            <v>Unit of Raw Material Management</v>
          </cell>
          <cell r="J92" t="str">
            <v>Section of Limestone Crusher Operation</v>
          </cell>
        </row>
        <row r="93">
          <cell r="A93">
            <v>4780</v>
          </cell>
          <cell r="B93" t="str">
            <v>7102173</v>
          </cell>
          <cell r="C93">
            <v>50069131</v>
          </cell>
          <cell r="D93" t="str">
            <v>NAJIR.M</v>
          </cell>
          <cell r="E93" t="str">
            <v>Land Interplant &amp; DEPO Mngmnt Jr Officer</v>
          </cell>
          <cell r="F93" t="str">
            <v>Supervisor</v>
          </cell>
          <cell r="G93" t="str">
            <v>Operation Directorate</v>
          </cell>
          <cell r="H93" t="str">
            <v>Dept. of Infrastructure</v>
          </cell>
          <cell r="I93" t="str">
            <v>Unit of Interplant Logistic</v>
          </cell>
          <cell r="J93" t="str">
            <v>Section of Land Interplant &amp; DEPO Mngmnt</v>
          </cell>
        </row>
        <row r="94">
          <cell r="A94">
            <v>4781</v>
          </cell>
          <cell r="B94" t="str">
            <v>7102174</v>
          </cell>
          <cell r="C94">
            <v>50070792</v>
          </cell>
          <cell r="D94" t="str">
            <v>RAHMAYANI</v>
          </cell>
          <cell r="E94" t="str">
            <v>Household Jr Officer</v>
          </cell>
          <cell r="F94" t="str">
            <v>Supervisor</v>
          </cell>
          <cell r="G94" t="str">
            <v>President Directorate</v>
          </cell>
          <cell r="H94" t="str">
            <v>Dept. of Communication, Legal &amp; GA</v>
          </cell>
          <cell r="I94" t="str">
            <v>Unit of General Facility &amp; Asset</v>
          </cell>
          <cell r="J94" t="str">
            <v>Section of Household</v>
          </cell>
        </row>
        <row r="95">
          <cell r="A95">
            <v>4782</v>
          </cell>
          <cell r="B95" t="str">
            <v>7102175</v>
          </cell>
          <cell r="C95">
            <v>50065565</v>
          </cell>
          <cell r="D95" t="str">
            <v>M.ALI.HS</v>
          </cell>
          <cell r="E95" t="str">
            <v>E Tender Hopper Belt Transport</v>
          </cell>
          <cell r="F95" t="str">
            <v>Associate</v>
          </cell>
          <cell r="G95" t="str">
            <v>Operation Directorate</v>
          </cell>
          <cell r="H95" t="str">
            <v>Dept. of Clinker &amp; Cement Production</v>
          </cell>
          <cell r="I95" t="str">
            <v>Unit of Derivative Product  &amp; Supporting</v>
          </cell>
          <cell r="J95" t="str">
            <v>Section of Derivative Prod. &amp; Opr. 2/3</v>
          </cell>
        </row>
        <row r="96">
          <cell r="A96">
            <v>4783</v>
          </cell>
          <cell r="B96" t="str">
            <v>7195147</v>
          </cell>
          <cell r="C96">
            <v>50066024</v>
          </cell>
          <cell r="D96" t="str">
            <v>KAMALUDDIN P, SE.</v>
          </cell>
          <cell r="E96" t="str">
            <v>TPM Officer</v>
          </cell>
          <cell r="F96" t="str">
            <v>Manager</v>
          </cell>
          <cell r="G96" t="str">
            <v>Operation Directorate</v>
          </cell>
          <cell r="H96" t="str">
            <v>Dep. of Project Mngmnt &amp; Maint. Support</v>
          </cell>
          <cell r="I96" t="str">
            <v>Staff of TPM Officer</v>
          </cell>
        </row>
        <row r="97">
          <cell r="A97">
            <v>4785</v>
          </cell>
          <cell r="B97" t="str">
            <v>7102176</v>
          </cell>
          <cell r="C97">
            <v>50069117</v>
          </cell>
          <cell r="D97" t="str">
            <v>BAHARUDDIN.AG</v>
          </cell>
          <cell r="E97" t="str">
            <v>Spv of Plant Cement Silo Operation</v>
          </cell>
          <cell r="F97" t="str">
            <v>Supervisor</v>
          </cell>
          <cell r="G97" t="str">
            <v>Operation Directorate</v>
          </cell>
          <cell r="H97" t="str">
            <v>Dept. of Infrastructure</v>
          </cell>
          <cell r="I97" t="str">
            <v>Unit of Plant &amp; Port Prod Discharge Opr</v>
          </cell>
          <cell r="J97" t="str">
            <v>Section of Plant Site Packer &amp; Bulk Opr</v>
          </cell>
        </row>
        <row r="98">
          <cell r="A98">
            <v>4786</v>
          </cell>
          <cell r="B98" t="str">
            <v>7102177</v>
          </cell>
          <cell r="C98">
            <v>50069377</v>
          </cell>
          <cell r="D98" t="str">
            <v>KARNADI</v>
          </cell>
          <cell r="E98" t="str">
            <v>Spv of Line 4 RM Field Specialist</v>
          </cell>
          <cell r="F98" t="str">
            <v>Supervisor</v>
          </cell>
          <cell r="G98" t="str">
            <v>Operation Directorate</v>
          </cell>
          <cell r="H98" t="str">
            <v>Dept. of Clinker &amp; Cement Production</v>
          </cell>
          <cell r="I98" t="str">
            <v>Unit of Clinker Production</v>
          </cell>
          <cell r="J98" t="str">
            <v>Section of Line 4 RKC Operation</v>
          </cell>
        </row>
        <row r="99">
          <cell r="A99">
            <v>4788</v>
          </cell>
          <cell r="B99" t="str">
            <v>7706552</v>
          </cell>
          <cell r="C99">
            <v>50069631</v>
          </cell>
          <cell r="D99" t="str">
            <v>RASYID</v>
          </cell>
          <cell r="E99" t="str">
            <v>Spv of Control Room LS Crusher (4)</v>
          </cell>
          <cell r="F99" t="str">
            <v>Supervisor</v>
          </cell>
          <cell r="G99" t="str">
            <v>Operation Directorate</v>
          </cell>
          <cell r="H99" t="str">
            <v>Dept. of Mining &amp; Power Plant</v>
          </cell>
          <cell r="I99" t="str">
            <v>Unit of Raw Material Management</v>
          </cell>
          <cell r="J99" t="str">
            <v>Section of Limestone Crusher Operation</v>
          </cell>
        </row>
        <row r="100">
          <cell r="A100">
            <v>4792</v>
          </cell>
          <cell r="B100" t="str">
            <v>7295080</v>
          </cell>
          <cell r="C100">
            <v>50066793</v>
          </cell>
          <cell r="D100" t="str">
            <v>HAFILUDDIN</v>
          </cell>
          <cell r="E100" t="str">
            <v>Spv of X - Ray &amp; Analysis (4)</v>
          </cell>
          <cell r="F100" t="str">
            <v>Supervisor</v>
          </cell>
          <cell r="G100" t="str">
            <v>Operation Directorate</v>
          </cell>
          <cell r="H100" t="str">
            <v>Dept. of Production Planning &amp; Control</v>
          </cell>
          <cell r="I100" t="str">
            <v>Unit of Quality Control</v>
          </cell>
          <cell r="J100" t="str">
            <v>Section of Quality Control (4/5)</v>
          </cell>
        </row>
        <row r="101">
          <cell r="A101">
            <v>4793</v>
          </cell>
          <cell r="B101" t="str">
            <v>7295081</v>
          </cell>
          <cell r="C101">
            <v>50029814</v>
          </cell>
          <cell r="D101" t="str">
            <v>JAMALUDDIN</v>
          </cell>
          <cell r="E101" t="str">
            <v>Spv of Power Plant CCR</v>
          </cell>
          <cell r="F101" t="str">
            <v>Supervisor</v>
          </cell>
          <cell r="G101" t="str">
            <v>Operation Directorate</v>
          </cell>
          <cell r="H101" t="str">
            <v>Dept. of Mining &amp; Power Plant</v>
          </cell>
          <cell r="I101" t="str">
            <v>Unit of Power Plant Operation</v>
          </cell>
          <cell r="J101" t="str">
            <v>Section of Power Plant Operation</v>
          </cell>
        </row>
        <row r="102">
          <cell r="A102">
            <v>4794</v>
          </cell>
          <cell r="B102" t="str">
            <v>7295172</v>
          </cell>
          <cell r="C102">
            <v>50024194</v>
          </cell>
          <cell r="D102" t="str">
            <v>HERU YUWANTO</v>
          </cell>
          <cell r="E102" t="str">
            <v>Spv of Limestone Loading &amp; Hauling</v>
          </cell>
          <cell r="F102" t="str">
            <v>Supervisor</v>
          </cell>
          <cell r="G102" t="str">
            <v>Operation Directorate</v>
          </cell>
          <cell r="H102" t="str">
            <v>Dept. of Mining &amp; Power Plant</v>
          </cell>
          <cell r="I102" t="str">
            <v>Unit of Mining Operation</v>
          </cell>
          <cell r="J102" t="str">
            <v>Section of Limestone Mining</v>
          </cell>
        </row>
        <row r="103">
          <cell r="A103">
            <v>4795</v>
          </cell>
          <cell r="B103" t="str">
            <v>7295173</v>
          </cell>
          <cell r="C103">
            <v>50069105</v>
          </cell>
          <cell r="D103" t="str">
            <v>ARFIAN RAMLI, S.Sos.</v>
          </cell>
          <cell r="E103" t="str">
            <v>Spv of Line 4 Packer &amp; Bulk Field</v>
          </cell>
          <cell r="F103" t="str">
            <v>Supervisor</v>
          </cell>
          <cell r="G103" t="str">
            <v>Operation Directorate</v>
          </cell>
          <cell r="H103" t="str">
            <v>Dept. of Infrastructure</v>
          </cell>
          <cell r="I103" t="str">
            <v>Unit of Plant &amp; Port Prod Discharge Opr</v>
          </cell>
          <cell r="J103" t="str">
            <v>Section of Plant Site Packer &amp; Bulk Opr</v>
          </cell>
        </row>
        <row r="104">
          <cell r="A104">
            <v>4796</v>
          </cell>
          <cell r="B104" t="str">
            <v>7295259</v>
          </cell>
          <cell r="C104">
            <v>50071555</v>
          </cell>
          <cell r="D104" t="str">
            <v>M.NATSIR, S.Sos.</v>
          </cell>
          <cell r="E104" t="str">
            <v>Mgr of Sparepart &amp; Consumable Mgmt.</v>
          </cell>
          <cell r="F104" t="str">
            <v>Manager</v>
          </cell>
          <cell r="G104" t="str">
            <v>Finance Risk Mgmt &amp; General Directorate</v>
          </cell>
          <cell r="I104" t="str">
            <v>Unit of Warehouse</v>
          </cell>
          <cell r="J104" t="str">
            <v>Section of Sparepart &amp; Consumable Mgmt</v>
          </cell>
        </row>
        <row r="105">
          <cell r="A105">
            <v>4797</v>
          </cell>
          <cell r="B105" t="str">
            <v>7295260</v>
          </cell>
          <cell r="C105">
            <v>50069268</v>
          </cell>
          <cell r="D105" t="str">
            <v>ARIATI ARIANDARI</v>
          </cell>
          <cell r="E105" t="str">
            <v>PA &amp; Comp. Benefit Jr Officer</v>
          </cell>
          <cell r="F105" t="str">
            <v>Supervisor</v>
          </cell>
          <cell r="G105" t="str">
            <v>Finance Risk Mgmt &amp; General Directorate</v>
          </cell>
          <cell r="H105" t="str">
            <v>Department of Human Capital &amp; GRC</v>
          </cell>
          <cell r="I105" t="str">
            <v>Unit of HC Operational</v>
          </cell>
          <cell r="J105" t="str">
            <v>Section of PA &amp; Comp. Benefit</v>
          </cell>
        </row>
        <row r="106">
          <cell r="A106">
            <v>4798</v>
          </cell>
          <cell r="B106" t="str">
            <v>7306137</v>
          </cell>
          <cell r="C106">
            <v>50069093</v>
          </cell>
          <cell r="D106" t="str">
            <v>MUH.RUSLAN</v>
          </cell>
          <cell r="E106" t="str">
            <v>Spv of Big Bag &amp; Tbngan BKS Operation</v>
          </cell>
          <cell r="F106" t="str">
            <v>Supervisor</v>
          </cell>
          <cell r="G106" t="str">
            <v>Operation Directorate</v>
          </cell>
          <cell r="H106" t="str">
            <v>Dept. of Infrastructure</v>
          </cell>
          <cell r="I106" t="str">
            <v>Unit of Plant &amp; Port Prod Discharge Opr</v>
          </cell>
          <cell r="J106" t="str">
            <v>Section of Port Opr (Silo, Aux. T &amp; SM)</v>
          </cell>
        </row>
        <row r="107">
          <cell r="A107">
            <v>4799</v>
          </cell>
          <cell r="B107" t="str">
            <v>7306377</v>
          </cell>
          <cell r="C107">
            <v>50069161</v>
          </cell>
          <cell r="D107" t="str">
            <v>HAERONG</v>
          </cell>
          <cell r="E107" t="str">
            <v>Incoming &amp; Sup Mat Lab Anal Jr Officer</v>
          </cell>
          <cell r="F107" t="str">
            <v>Supervisor</v>
          </cell>
          <cell r="G107" t="str">
            <v>Operation Directorate</v>
          </cell>
          <cell r="I107" t="str">
            <v>Unit of Quality Assurance</v>
          </cell>
          <cell r="J107" t="str">
            <v>Section of Material Quality Assurance</v>
          </cell>
        </row>
        <row r="108">
          <cell r="A108">
            <v>4800</v>
          </cell>
          <cell r="B108" t="str">
            <v>7306378</v>
          </cell>
          <cell r="C108">
            <v>50053876</v>
          </cell>
          <cell r="D108" t="str">
            <v>RUSLAN PAWAWOI</v>
          </cell>
          <cell r="E108" t="str">
            <v>Maintenance Inspection Jr Officer</v>
          </cell>
          <cell r="F108" t="str">
            <v>Supervisor</v>
          </cell>
          <cell r="G108" t="str">
            <v>Operation Directorate</v>
          </cell>
          <cell r="H108" t="str">
            <v>Dept. of Maintenance</v>
          </cell>
          <cell r="I108" t="str">
            <v>Unit of Reliability Maintenance</v>
          </cell>
          <cell r="J108" t="str">
            <v>Staff of Maintenance Inspection</v>
          </cell>
        </row>
        <row r="109">
          <cell r="A109">
            <v>4801</v>
          </cell>
          <cell r="B109" t="str">
            <v>7406436</v>
          </cell>
          <cell r="C109">
            <v>50069775</v>
          </cell>
          <cell r="D109" t="str">
            <v>ISWAR</v>
          </cell>
          <cell r="E109" t="str">
            <v>Assc of Packer Port Elins Maintenance</v>
          </cell>
          <cell r="F109" t="str">
            <v>Associate</v>
          </cell>
          <cell r="G109" t="str">
            <v>Operation Directorate</v>
          </cell>
          <cell r="H109" t="str">
            <v>Dept. of Maintenance</v>
          </cell>
          <cell r="I109" t="str">
            <v>Unit of Port Product Discharge Maint.</v>
          </cell>
          <cell r="J109" t="str">
            <v>Section of Port Facility Elins Maint.</v>
          </cell>
        </row>
        <row r="110">
          <cell r="A110">
            <v>4802</v>
          </cell>
          <cell r="B110" t="str">
            <v>7201001</v>
          </cell>
          <cell r="C110">
            <v>50069046</v>
          </cell>
          <cell r="D110" t="str">
            <v>ACHMAD FIRMANSJAH</v>
          </cell>
          <cell r="E110" t="str">
            <v>Mgr of Bitung Packing Plant</v>
          </cell>
          <cell r="F110" t="str">
            <v>Manager</v>
          </cell>
          <cell r="G110" t="str">
            <v>Operation Directorate</v>
          </cell>
          <cell r="H110" t="str">
            <v>Dept. of Infrastructure</v>
          </cell>
          <cell r="I110" t="str">
            <v>Unit of Packing Plant 2</v>
          </cell>
          <cell r="J110" t="str">
            <v>Section of Bitung Packing Plant</v>
          </cell>
        </row>
        <row r="111">
          <cell r="A111">
            <v>4804</v>
          </cell>
          <cell r="B111" t="str">
            <v>7202181</v>
          </cell>
          <cell r="C111">
            <v>50069165</v>
          </cell>
          <cell r="D111" t="str">
            <v>MUCHTAR RUMPA</v>
          </cell>
          <cell r="E111" t="str">
            <v>Physical &amp; Chemical Lab Anal Jr Officer</v>
          </cell>
          <cell r="F111" t="str">
            <v>Supervisor</v>
          </cell>
          <cell r="G111" t="str">
            <v>Operation Directorate</v>
          </cell>
          <cell r="I111" t="str">
            <v>Unit of Quality Assurance</v>
          </cell>
          <cell r="J111" t="str">
            <v>Section of Product Quality Assurance</v>
          </cell>
        </row>
        <row r="112">
          <cell r="A112">
            <v>4805</v>
          </cell>
          <cell r="B112" t="str">
            <v>7295001</v>
          </cell>
          <cell r="C112">
            <v>50061961</v>
          </cell>
          <cell r="D112" t="str">
            <v>ABDULLAH</v>
          </cell>
          <cell r="E112" t="str">
            <v>Spv of Line 2/3 FM Elins PvM</v>
          </cell>
          <cell r="F112" t="str">
            <v>Supervisor</v>
          </cell>
          <cell r="G112" t="str">
            <v>Operation Directorate</v>
          </cell>
          <cell r="H112" t="str">
            <v>Dept. of Maintenance</v>
          </cell>
          <cell r="I112" t="str">
            <v>Unit of Elins Maintenance 1</v>
          </cell>
          <cell r="J112" t="str">
            <v>Section of Line 2/3 FM Elins Maintenance</v>
          </cell>
        </row>
        <row r="113">
          <cell r="A113">
            <v>4806</v>
          </cell>
          <cell r="B113" t="str">
            <v>7295002</v>
          </cell>
          <cell r="C113">
            <v>50069443</v>
          </cell>
          <cell r="D113" t="str">
            <v>RAWI SALAMUN</v>
          </cell>
          <cell r="E113" t="str">
            <v>Capex Inventory Control Jr Officer</v>
          </cell>
          <cell r="F113" t="str">
            <v>Supervisor</v>
          </cell>
          <cell r="G113" t="str">
            <v>Operation Directorate</v>
          </cell>
          <cell r="H113" t="str">
            <v>Dep. of Project Mngmnt &amp; Maint. Support</v>
          </cell>
          <cell r="I113" t="str">
            <v>Unit of Project Management</v>
          </cell>
          <cell r="J113" t="str">
            <v>Section of Project Execution (Constr.)</v>
          </cell>
        </row>
        <row r="114">
          <cell r="A114">
            <v>4807</v>
          </cell>
          <cell r="B114" t="str">
            <v>7295174</v>
          </cell>
          <cell r="C114">
            <v>50008277</v>
          </cell>
          <cell r="D114" t="str">
            <v>FAIZAL AMIR RAZAK, SE.</v>
          </cell>
          <cell r="E114" t="str">
            <v>Mgr of Plant Hygiene</v>
          </cell>
          <cell r="F114" t="str">
            <v>Manager</v>
          </cell>
          <cell r="G114" t="str">
            <v>Operation Directorate</v>
          </cell>
          <cell r="H114" t="str">
            <v>Dept. of Production Planning &amp; Control</v>
          </cell>
          <cell r="I114" t="str">
            <v>Unit of Production Support</v>
          </cell>
          <cell r="J114" t="str">
            <v>Section of Plant Hygiene</v>
          </cell>
        </row>
        <row r="115">
          <cell r="A115">
            <v>4808</v>
          </cell>
          <cell r="B115" t="str">
            <v>7295175</v>
          </cell>
          <cell r="C115">
            <v>50007354</v>
          </cell>
          <cell r="D115" t="str">
            <v>H. ZAINAL ARIFIN ANJANI, S.M.</v>
          </cell>
          <cell r="E115" t="str">
            <v>TJSL &amp; Community Development Jr Officer</v>
          </cell>
          <cell r="F115" t="str">
            <v>Supervisor</v>
          </cell>
          <cell r="G115" t="str">
            <v>President Directorate</v>
          </cell>
          <cell r="H115" t="str">
            <v>Dept. of Communication, Legal &amp; GA</v>
          </cell>
          <cell r="I115" t="str">
            <v>Unit of TJSL</v>
          </cell>
          <cell r="J115" t="str">
            <v>Staff of TJSL &amp; Community Development</v>
          </cell>
        </row>
        <row r="116">
          <cell r="A116">
            <v>4809</v>
          </cell>
          <cell r="B116" t="str">
            <v>7298016</v>
          </cell>
          <cell r="C116">
            <v>50065392</v>
          </cell>
          <cell r="D116" t="str">
            <v>FATMA HAERANI, S.AP.</v>
          </cell>
          <cell r="E116" t="str">
            <v>SM of HC Planning &amp; Development</v>
          </cell>
          <cell r="F116" t="str">
            <v>Senior Manager</v>
          </cell>
          <cell r="G116" t="str">
            <v>Finance Risk Mgmt &amp; General Directorate</v>
          </cell>
          <cell r="H116" t="str">
            <v>Department of Human Capital &amp; GRC</v>
          </cell>
          <cell r="I116" t="str">
            <v>Unit of HC Planning &amp; Development</v>
          </cell>
        </row>
        <row r="117">
          <cell r="A117">
            <v>4810</v>
          </cell>
          <cell r="B117" t="str">
            <v>7806554</v>
          </cell>
          <cell r="C117">
            <v>50071367</v>
          </cell>
          <cell r="D117" t="str">
            <v>YUSUF MUHAMMAD</v>
          </cell>
          <cell r="E117" t="str">
            <v>E Tech of Plant Green Service</v>
          </cell>
          <cell r="F117" t="str">
            <v>Associate</v>
          </cell>
          <cell r="G117" t="str">
            <v>Operation Directorate</v>
          </cell>
          <cell r="H117" t="str">
            <v>Dept. of Mining &amp; Power Plant</v>
          </cell>
          <cell r="I117" t="str">
            <v>Unit of Mine Plan</v>
          </cell>
          <cell r="J117" t="str">
            <v>Section of Mine Safety Reclamation</v>
          </cell>
        </row>
        <row r="118">
          <cell r="A118">
            <v>4811</v>
          </cell>
          <cell r="B118" t="str">
            <v>7202182</v>
          </cell>
          <cell r="C118">
            <v>50065998</v>
          </cell>
          <cell r="D118" t="str">
            <v>IHSAN NURDIN, S.Kom.</v>
          </cell>
          <cell r="E118" t="str">
            <v>OOTC (Satff of DPST)</v>
          </cell>
          <cell r="F118" t="str">
            <v>Manager</v>
          </cell>
          <cell r="G118" t="str">
            <v>President Directorate</v>
          </cell>
          <cell r="I118" t="str">
            <v>Staff of Pres Dir (Dana Pensiun)</v>
          </cell>
        </row>
        <row r="119">
          <cell r="A119">
            <v>4812</v>
          </cell>
          <cell r="B119" t="str">
            <v>7292094</v>
          </cell>
          <cell r="C119">
            <v>50035550</v>
          </cell>
          <cell r="D119" t="str">
            <v>SYAMSUDDIN, AMD.KES</v>
          </cell>
          <cell r="E119" t="str">
            <v>Services &amp; Nursing Jr Officer</v>
          </cell>
          <cell r="F119" t="str">
            <v>Supervisor</v>
          </cell>
          <cell r="G119" t="str">
            <v>Finance Risk Mgmt &amp; General Directorate</v>
          </cell>
          <cell r="H119" t="str">
            <v>Department of Human Capital &amp; GRC</v>
          </cell>
          <cell r="I119" t="str">
            <v>Unit of Health Serv &amp; Industrial Hygiene</v>
          </cell>
          <cell r="J119" t="str">
            <v>Staff of Service &amp; Nursing</v>
          </cell>
        </row>
        <row r="120">
          <cell r="A120">
            <v>4813</v>
          </cell>
          <cell r="B120" t="str">
            <v>7295003</v>
          </cell>
          <cell r="C120">
            <v>50069590</v>
          </cell>
          <cell r="D120" t="str">
            <v>PRI DWI HARYANTO</v>
          </cell>
          <cell r="E120" t="str">
            <v>PGO Officer</v>
          </cell>
          <cell r="F120" t="str">
            <v>Manager</v>
          </cell>
          <cell r="G120" t="str">
            <v>Operation Directorate</v>
          </cell>
          <cell r="H120" t="str">
            <v>Dept. of Maintenance</v>
          </cell>
          <cell r="I120" t="str">
            <v>Unit of Reliability Maintenance</v>
          </cell>
          <cell r="J120" t="str">
            <v>Staff of PGO</v>
          </cell>
        </row>
        <row r="121">
          <cell r="A121">
            <v>4814</v>
          </cell>
          <cell r="B121" t="str">
            <v>7295082</v>
          </cell>
          <cell r="C121">
            <v>50068559</v>
          </cell>
          <cell r="D121" t="str">
            <v>HASRAN HABE</v>
          </cell>
          <cell r="E121" t="str">
            <v>Mgr of Bulk Transportation</v>
          </cell>
          <cell r="F121" t="str">
            <v>Manager</v>
          </cell>
          <cell r="G121" t="str">
            <v>President Directorate</v>
          </cell>
          <cell r="H121" t="str">
            <v>Dept. of Sales</v>
          </cell>
          <cell r="I121" t="str">
            <v>Unit of Outbound Logistic</v>
          </cell>
          <cell r="J121" t="str">
            <v>Section of Bulk Transportation</v>
          </cell>
        </row>
        <row r="122">
          <cell r="A122">
            <v>4815</v>
          </cell>
          <cell r="B122" t="str">
            <v>7295148</v>
          </cell>
          <cell r="C122">
            <v>50066423</v>
          </cell>
          <cell r="D122" t="str">
            <v>SAHARUDDIN</v>
          </cell>
          <cell r="E122" t="str">
            <v>Spv of Mechanical &amp; Fabrication</v>
          </cell>
          <cell r="F122" t="str">
            <v>Supervisor</v>
          </cell>
          <cell r="G122" t="str">
            <v>Operation Directorate</v>
          </cell>
          <cell r="H122" t="str">
            <v>Dep. of Project Mngmnt &amp; Maint. Support</v>
          </cell>
          <cell r="I122" t="str">
            <v>Unit of Project Management</v>
          </cell>
          <cell r="J122" t="str">
            <v>Section of Project Execution (Constr.)</v>
          </cell>
        </row>
        <row r="123">
          <cell r="A123">
            <v>4816</v>
          </cell>
          <cell r="B123" t="str">
            <v>7295167</v>
          </cell>
          <cell r="C123">
            <v>50069728</v>
          </cell>
          <cell r="D123" t="str">
            <v>ADY YUSWANTORO</v>
          </cell>
          <cell r="E123" t="str">
            <v>Spv of CUS Operation</v>
          </cell>
          <cell r="F123" t="str">
            <v>Supervisor</v>
          </cell>
          <cell r="G123" t="str">
            <v>Operation Directorate</v>
          </cell>
          <cell r="H123" t="str">
            <v>Dept. of Mining &amp; Power Plant</v>
          </cell>
          <cell r="I123" t="str">
            <v>Unit of Power Plant Operation</v>
          </cell>
          <cell r="J123" t="str">
            <v>Section of Water Treatment &amp; CUS Opr</v>
          </cell>
        </row>
        <row r="124">
          <cell r="A124">
            <v>4817</v>
          </cell>
          <cell r="B124" t="str">
            <v>7295176</v>
          </cell>
          <cell r="C124">
            <v>50066023</v>
          </cell>
          <cell r="D124" t="str">
            <v>SAFRI MADJID</v>
          </cell>
          <cell r="E124" t="str">
            <v>TPM Officer</v>
          </cell>
          <cell r="F124" t="str">
            <v>Manager</v>
          </cell>
          <cell r="G124" t="str">
            <v>Operation Directorate</v>
          </cell>
          <cell r="H124" t="str">
            <v>Dep. of Project Mngmnt &amp; Maint. Support</v>
          </cell>
          <cell r="I124" t="str">
            <v>Staff of TPM Officer</v>
          </cell>
        </row>
        <row r="125">
          <cell r="A125">
            <v>4818</v>
          </cell>
          <cell r="B125" t="str">
            <v>7202183</v>
          </cell>
          <cell r="C125">
            <v>50053980</v>
          </cell>
          <cell r="D125" t="str">
            <v>AMIRULLAH</v>
          </cell>
          <cell r="E125" t="str">
            <v>Spv of Line 2/3 FM Field</v>
          </cell>
          <cell r="F125" t="str">
            <v>Supervisor</v>
          </cell>
          <cell r="G125" t="str">
            <v>Operation Directorate</v>
          </cell>
          <cell r="H125" t="str">
            <v>Dept. of Clinker &amp; Cement Production</v>
          </cell>
          <cell r="I125" t="str">
            <v>Unit of Cement Production</v>
          </cell>
          <cell r="J125" t="str">
            <v>Section of Line 2/3 FM Operation</v>
          </cell>
        </row>
        <row r="126">
          <cell r="A126">
            <v>4819</v>
          </cell>
          <cell r="B126" t="str">
            <v>7295005</v>
          </cell>
          <cell r="C126">
            <v>50068667</v>
          </cell>
          <cell r="D126" t="str">
            <v>ABD.RAHMAN</v>
          </cell>
          <cell r="E126" t="str">
            <v>Mgr of Shipment Management</v>
          </cell>
          <cell r="F126" t="str">
            <v>Manager</v>
          </cell>
          <cell r="G126" t="str">
            <v>President Directorate</v>
          </cell>
          <cell r="H126" t="str">
            <v>Dept. of Sales</v>
          </cell>
          <cell r="I126" t="str">
            <v>Unit of Outbound Logistic</v>
          </cell>
          <cell r="J126" t="str">
            <v>Section of Shipment Management</v>
          </cell>
        </row>
        <row r="127">
          <cell r="A127">
            <v>4820</v>
          </cell>
          <cell r="B127" t="str">
            <v>7295083</v>
          </cell>
          <cell r="C127">
            <v>50047833</v>
          </cell>
          <cell r="D127" t="str">
            <v>MUH.NAMRIN</v>
          </cell>
          <cell r="E127" t="str">
            <v>Troubleshooting Jr Officer</v>
          </cell>
          <cell r="F127" t="str">
            <v>Supervisor</v>
          </cell>
          <cell r="G127" t="str">
            <v>Operation Directorate</v>
          </cell>
          <cell r="H127" t="str">
            <v>Dept. of Maintenance</v>
          </cell>
          <cell r="I127" t="str">
            <v>Unit of Reliability Maintenance</v>
          </cell>
          <cell r="J127" t="str">
            <v>Staff of Troubleshooting</v>
          </cell>
        </row>
        <row r="128">
          <cell r="A128">
            <v>4821</v>
          </cell>
          <cell r="B128" t="str">
            <v>7295084</v>
          </cell>
          <cell r="C128">
            <v>50035036</v>
          </cell>
          <cell r="D128" t="str">
            <v>MULYONO</v>
          </cell>
          <cell r="E128" t="str">
            <v>Maintenance Inspection Jr Officer</v>
          </cell>
          <cell r="F128" t="str">
            <v>Supervisor</v>
          </cell>
          <cell r="G128" t="str">
            <v>Operation Directorate</v>
          </cell>
          <cell r="H128" t="str">
            <v>Dept. of Maintenance</v>
          </cell>
          <cell r="I128" t="str">
            <v>Unit of Reliability Maintenance</v>
          </cell>
          <cell r="J128" t="str">
            <v>Staff of Maintenance Inspection</v>
          </cell>
        </row>
        <row r="129">
          <cell r="A129">
            <v>4822</v>
          </cell>
          <cell r="B129" t="str">
            <v>7295178</v>
          </cell>
          <cell r="C129">
            <v>50068562</v>
          </cell>
          <cell r="D129" t="str">
            <v>VICTOR ATTO SURA</v>
          </cell>
          <cell r="E129" t="str">
            <v>Bulk Transportation Jr Officer</v>
          </cell>
          <cell r="F129" t="str">
            <v>Supervisor</v>
          </cell>
          <cell r="G129" t="str">
            <v>President Directorate</v>
          </cell>
          <cell r="H129" t="str">
            <v>Dept. of Sales</v>
          </cell>
          <cell r="I129" t="str">
            <v>Unit of Outbound Logistic</v>
          </cell>
          <cell r="J129" t="str">
            <v>Section of Bulk Transportation</v>
          </cell>
        </row>
        <row r="130">
          <cell r="A130">
            <v>4823</v>
          </cell>
          <cell r="B130" t="str">
            <v>7295261</v>
          </cell>
          <cell r="C130">
            <v>50009089</v>
          </cell>
          <cell r="D130" t="str">
            <v>SUPARDY, SE.</v>
          </cell>
          <cell r="E130" t="str">
            <v>Insurance Officer</v>
          </cell>
          <cell r="F130" t="str">
            <v>Manager</v>
          </cell>
          <cell r="G130" t="str">
            <v>Finance Risk Mgmt &amp; General Directorate</v>
          </cell>
          <cell r="H130" t="str">
            <v>Department of Finance &amp; Accounting</v>
          </cell>
          <cell r="I130" t="str">
            <v>Unit of Finance</v>
          </cell>
          <cell r="J130" t="str">
            <v>Staff of Insurance</v>
          </cell>
        </row>
        <row r="131">
          <cell r="A131">
            <v>4824</v>
          </cell>
          <cell r="B131" t="str">
            <v>7296341</v>
          </cell>
          <cell r="C131">
            <v>50061781</v>
          </cell>
          <cell r="D131" t="str">
            <v>WIDJIASTUTI, SE., MM.</v>
          </cell>
          <cell r="E131" t="str">
            <v>Legal Officer (Jkt)</v>
          </cell>
          <cell r="F131" t="str">
            <v>Manager</v>
          </cell>
          <cell r="G131" t="str">
            <v>President Directorate</v>
          </cell>
          <cell r="H131" t="str">
            <v>Dept. of Communication, Legal &amp; GA</v>
          </cell>
          <cell r="I131" t="str">
            <v>Unit of Legal</v>
          </cell>
          <cell r="J131" t="str">
            <v>Staff of legal</v>
          </cell>
        </row>
        <row r="132">
          <cell r="A132">
            <v>4825</v>
          </cell>
          <cell r="B132" t="str">
            <v>7202184</v>
          </cell>
          <cell r="C132">
            <v>50068758</v>
          </cell>
          <cell r="D132" t="str">
            <v>RUDY AKAY</v>
          </cell>
          <cell r="E132" t="str">
            <v>Master Data Management Sr Officer</v>
          </cell>
          <cell r="F132" t="str">
            <v>Senior Manager</v>
          </cell>
          <cell r="G132" t="str">
            <v>Direktorat Keuangan dan Risk Management</v>
          </cell>
          <cell r="H132" t="str">
            <v>Department of Fin Policy &amp; Internal Ctrl</v>
          </cell>
        </row>
        <row r="133">
          <cell r="A133">
            <v>4826</v>
          </cell>
          <cell r="B133" t="str">
            <v>7295004</v>
          </cell>
          <cell r="C133">
            <v>50008282</v>
          </cell>
          <cell r="D133" t="str">
            <v>TENRI SOMPA</v>
          </cell>
          <cell r="E133" t="str">
            <v>Spv of Line 4 Green Services</v>
          </cell>
          <cell r="F133" t="str">
            <v>Supervisor</v>
          </cell>
          <cell r="G133" t="str">
            <v>Operation Directorate</v>
          </cell>
          <cell r="H133" t="str">
            <v>Dept. of Production Planning &amp; Control</v>
          </cell>
          <cell r="I133" t="str">
            <v>Unit of Production Support</v>
          </cell>
          <cell r="J133" t="str">
            <v>Section of Plant Hygiene</v>
          </cell>
        </row>
        <row r="134">
          <cell r="A134">
            <v>4827</v>
          </cell>
          <cell r="B134" t="str">
            <v>7295006</v>
          </cell>
          <cell r="C134">
            <v>50069036</v>
          </cell>
          <cell r="D134" t="str">
            <v>AMBO MASSE., ST.</v>
          </cell>
          <cell r="E134" t="str">
            <v>SM of Packing Plant 2</v>
          </cell>
          <cell r="F134" t="str">
            <v>Senior Manager</v>
          </cell>
          <cell r="G134" t="str">
            <v>Operation Directorate</v>
          </cell>
          <cell r="H134" t="str">
            <v>Dept. of Infrastructure</v>
          </cell>
          <cell r="I134" t="str">
            <v>Unit of Packing Plant 2</v>
          </cell>
        </row>
        <row r="135">
          <cell r="A135">
            <v>4828</v>
          </cell>
          <cell r="B135" t="str">
            <v>7295085</v>
          </cell>
          <cell r="C135">
            <v>50067576</v>
          </cell>
          <cell r="D135" t="str">
            <v>MUH.ARHAM, ST., MM.</v>
          </cell>
          <cell r="E135" t="str">
            <v>Site Operations Officer</v>
          </cell>
          <cell r="F135" t="str">
            <v>Manager</v>
          </cell>
          <cell r="G135" t="str">
            <v>Direktorat Wakil Direktur Utama</v>
          </cell>
          <cell r="H135" t="str">
            <v>Department of Tech, Infra &amp; Cyber Secrty</v>
          </cell>
          <cell r="I135" t="str">
            <v>Unit of Tech, Asset &amp; Site Operations</v>
          </cell>
        </row>
        <row r="136">
          <cell r="A136">
            <v>4829</v>
          </cell>
          <cell r="B136" t="str">
            <v>7295086</v>
          </cell>
          <cell r="C136">
            <v>50008484</v>
          </cell>
          <cell r="D136" t="str">
            <v>LAODE MUH.SYAFAAT</v>
          </cell>
          <cell r="E136" t="str">
            <v>Spv of Line 2/3 QC (Shift) B</v>
          </cell>
          <cell r="F136" t="str">
            <v>Supervisor</v>
          </cell>
          <cell r="G136" t="str">
            <v>Operation Directorate</v>
          </cell>
          <cell r="H136" t="str">
            <v>Dept. of Production Planning &amp; Control</v>
          </cell>
          <cell r="I136" t="str">
            <v>Unit of Quality Control</v>
          </cell>
          <cell r="J136" t="str">
            <v>Section of Quality Control (2/3)</v>
          </cell>
        </row>
        <row r="137">
          <cell r="A137">
            <v>4830</v>
          </cell>
          <cell r="B137" t="str">
            <v>7295149</v>
          </cell>
          <cell r="C137">
            <v>50047830</v>
          </cell>
          <cell r="D137" t="str">
            <v>LUKMAN</v>
          </cell>
          <cell r="E137" t="str">
            <v>PGO Jr Officer</v>
          </cell>
          <cell r="F137" t="str">
            <v>Supervisor</v>
          </cell>
          <cell r="G137" t="str">
            <v>Operation Directorate</v>
          </cell>
          <cell r="H137" t="str">
            <v>Dept. of Maintenance</v>
          </cell>
          <cell r="I137" t="str">
            <v>Unit of Reliability Maintenance</v>
          </cell>
          <cell r="J137" t="str">
            <v>Staff of PGO</v>
          </cell>
        </row>
        <row r="138">
          <cell r="A138">
            <v>4833</v>
          </cell>
          <cell r="B138" t="str">
            <v>7295262</v>
          </cell>
          <cell r="C138">
            <v>50066430</v>
          </cell>
          <cell r="D138" t="str">
            <v>MADYSON MALANGUNA</v>
          </cell>
          <cell r="E138" t="str">
            <v>Spv of Civil Infrastructure</v>
          </cell>
          <cell r="F138" t="str">
            <v>Supervisor</v>
          </cell>
          <cell r="G138" t="str">
            <v>Operation Directorate</v>
          </cell>
          <cell r="H138" t="str">
            <v>Dep. of Project Mngmnt &amp; Maint. Support</v>
          </cell>
          <cell r="I138" t="str">
            <v>Unit of Project Management</v>
          </cell>
          <cell r="J138" t="str">
            <v>Section of Project Execution (Constr.)</v>
          </cell>
        </row>
        <row r="139">
          <cell r="A139">
            <v>4835</v>
          </cell>
          <cell r="B139" t="str">
            <v>7295265</v>
          </cell>
          <cell r="C139">
            <v>50070760</v>
          </cell>
          <cell r="D139" t="str">
            <v>MUSTAMIN, SE.</v>
          </cell>
          <cell r="E139" t="str">
            <v>Mgr of Technical &amp; Customer Support</v>
          </cell>
          <cell r="F139" t="str">
            <v>Manager</v>
          </cell>
          <cell r="G139" t="str">
            <v>President Directorate</v>
          </cell>
          <cell r="H139" t="str">
            <v>Dept. of Sales</v>
          </cell>
          <cell r="I139" t="str">
            <v>Unit of Corporate Sales</v>
          </cell>
          <cell r="J139" t="str">
            <v>Section of Technical &amp; Customer Support</v>
          </cell>
        </row>
        <row r="140">
          <cell r="A140">
            <v>4836</v>
          </cell>
          <cell r="B140" t="str">
            <v>7296001</v>
          </cell>
          <cell r="C140">
            <v>50009066</v>
          </cell>
          <cell r="D140" t="str">
            <v>Hj. JUMRIAH HAFID, SE, M.Ak</v>
          </cell>
          <cell r="E140" t="str">
            <v>SM of Finance</v>
          </cell>
          <cell r="F140" t="str">
            <v>Senior Manager</v>
          </cell>
          <cell r="G140" t="str">
            <v>Finance Risk Mgmt &amp; General Directorate</v>
          </cell>
          <cell r="H140" t="str">
            <v>Department of Finance &amp; Accounting</v>
          </cell>
          <cell r="I140" t="str">
            <v>Unit of Finance</v>
          </cell>
        </row>
        <row r="141">
          <cell r="A141">
            <v>4837</v>
          </cell>
          <cell r="B141" t="str">
            <v>7306388</v>
          </cell>
          <cell r="C141">
            <v>50069075</v>
          </cell>
          <cell r="D141" t="str">
            <v>AMIR.U</v>
          </cell>
          <cell r="E141" t="str">
            <v>Spv of Port Operation</v>
          </cell>
          <cell r="F141" t="str">
            <v>Supervisor</v>
          </cell>
          <cell r="G141" t="str">
            <v>Operation Directorate</v>
          </cell>
          <cell r="H141" t="str">
            <v>Dept. of Infrastructure</v>
          </cell>
          <cell r="I141" t="str">
            <v>Unit of Plant &amp; Port Prod Discharge Opr</v>
          </cell>
          <cell r="J141" t="str">
            <v>Section of Port Opr (Packer &amp; Curah)</v>
          </cell>
        </row>
        <row r="142">
          <cell r="A142">
            <v>4838</v>
          </cell>
          <cell r="B142" t="str">
            <v>7306389</v>
          </cell>
          <cell r="C142">
            <v>50069583</v>
          </cell>
          <cell r="D142" t="str">
            <v>LUKAS</v>
          </cell>
          <cell r="E142" t="str">
            <v>Troubleshooting Jr Officer</v>
          </cell>
          <cell r="F142" t="str">
            <v>Supervisor</v>
          </cell>
          <cell r="G142" t="str">
            <v>Operation Directorate</v>
          </cell>
          <cell r="H142" t="str">
            <v>Dept. of Maintenance</v>
          </cell>
          <cell r="I142" t="str">
            <v>Unit of Reliability Maintenance</v>
          </cell>
          <cell r="J142" t="str">
            <v>Staff of Troubleshooting</v>
          </cell>
        </row>
        <row r="143">
          <cell r="A143">
            <v>4839</v>
          </cell>
          <cell r="B143" t="str">
            <v>7306390</v>
          </cell>
          <cell r="C143">
            <v>50071029</v>
          </cell>
          <cell r="D143" t="str">
            <v>IDRUS.A</v>
          </cell>
          <cell r="E143" t="str">
            <v>E Assc of CUS Operation</v>
          </cell>
          <cell r="F143" t="str">
            <v>Associate</v>
          </cell>
          <cell r="G143" t="str">
            <v>Operation Directorate</v>
          </cell>
          <cell r="H143" t="str">
            <v>Dept. of Mining &amp; Power Plant</v>
          </cell>
          <cell r="I143" t="str">
            <v>Unit of Power Plant Operation</v>
          </cell>
          <cell r="J143" t="str">
            <v>Section of Water Treatment &amp; CUS Opr</v>
          </cell>
        </row>
        <row r="144">
          <cell r="A144">
            <v>4840</v>
          </cell>
          <cell r="B144" t="str">
            <v>7806557</v>
          </cell>
          <cell r="C144">
            <v>50069356</v>
          </cell>
          <cell r="D144" t="str">
            <v>MANSUR</v>
          </cell>
          <cell r="E144" t="str">
            <v>Autonomous Kiln &amp; CM 4/5</v>
          </cell>
          <cell r="F144" t="str">
            <v>Supervisor</v>
          </cell>
          <cell r="G144" t="str">
            <v>Operation Directorate</v>
          </cell>
          <cell r="H144" t="str">
            <v>Dept. of Clinker &amp; Cement Production</v>
          </cell>
          <cell r="I144" t="str">
            <v>Unit of Clinker Production</v>
          </cell>
          <cell r="J144" t="str">
            <v>Section of Kiln Production Coach</v>
          </cell>
        </row>
        <row r="145">
          <cell r="A145">
            <v>4841</v>
          </cell>
          <cell r="B145" t="str">
            <v>7202185</v>
          </cell>
          <cell r="C145">
            <v>50068587</v>
          </cell>
          <cell r="D145" t="str">
            <v>HUSNAENI, SE.</v>
          </cell>
          <cell r="E145" t="str">
            <v>Mgr of Sea Transportation</v>
          </cell>
          <cell r="F145" t="str">
            <v>Manager</v>
          </cell>
          <cell r="G145" t="str">
            <v>President Directorate</v>
          </cell>
          <cell r="H145" t="str">
            <v>Dept. of Sales</v>
          </cell>
          <cell r="I145" t="str">
            <v>Unit of Outbound Logistic</v>
          </cell>
          <cell r="J145" t="str">
            <v>Section of Sea Transportation</v>
          </cell>
        </row>
        <row r="146">
          <cell r="A146">
            <v>4842</v>
          </cell>
          <cell r="B146" t="str">
            <v>7202186</v>
          </cell>
          <cell r="C146">
            <v>50061751</v>
          </cell>
          <cell r="D146" t="str">
            <v>MUH.RIFAI M, AMD.</v>
          </cell>
          <cell r="E146" t="str">
            <v>Spv of BKS &amp; Other Facilities OHS</v>
          </cell>
          <cell r="F146" t="str">
            <v>Supervisor</v>
          </cell>
          <cell r="G146" t="str">
            <v>Operation Directorate</v>
          </cell>
          <cell r="H146" t="str">
            <v>Dept. of Production Planning &amp; Control</v>
          </cell>
          <cell r="I146" t="str">
            <v>Unit of OHS</v>
          </cell>
          <cell r="J146" t="str">
            <v>Section of BKS Occupational Healt &amp; Saf.</v>
          </cell>
        </row>
        <row r="147">
          <cell r="A147">
            <v>4843</v>
          </cell>
          <cell r="B147" t="str">
            <v>7202187</v>
          </cell>
          <cell r="C147">
            <v>50062623</v>
          </cell>
          <cell r="D147" t="str">
            <v>YUSBIN.Y</v>
          </cell>
          <cell r="E147" t="str">
            <v>Spv of Line 4/5 Silica Crusher</v>
          </cell>
          <cell r="F147" t="str">
            <v>Supervisor</v>
          </cell>
          <cell r="G147" t="str">
            <v>Operation Directorate</v>
          </cell>
          <cell r="H147" t="str">
            <v>Dept. of Mining &amp; Power Plant</v>
          </cell>
          <cell r="I147" t="str">
            <v>Unit of Raw Material Management</v>
          </cell>
          <cell r="J147" t="str">
            <v>Section of Clay Crusher Operation</v>
          </cell>
        </row>
        <row r="148">
          <cell r="A148">
            <v>4844</v>
          </cell>
          <cell r="B148" t="str">
            <v>7295007</v>
          </cell>
          <cell r="C148">
            <v>50039558</v>
          </cell>
          <cell r="D148" t="str">
            <v>IMAM RACHMAD GAZALIE, SE.</v>
          </cell>
          <cell r="E148" t="str">
            <v>Spv of Line 2/3 Packer Elins Maint.</v>
          </cell>
          <cell r="F148" t="str">
            <v>Supervisor</v>
          </cell>
          <cell r="G148" t="str">
            <v>Operation Directorate</v>
          </cell>
          <cell r="H148" t="str">
            <v>Dept. of Maintenance</v>
          </cell>
          <cell r="I148" t="str">
            <v>Unit of Elins Maintenance 1</v>
          </cell>
          <cell r="J148" t="str">
            <v>Section of Packer Elins Maint</v>
          </cell>
        </row>
        <row r="149">
          <cell r="A149">
            <v>4845</v>
          </cell>
          <cell r="B149" t="str">
            <v>7295087</v>
          </cell>
          <cell r="C149">
            <v>50069736</v>
          </cell>
          <cell r="D149" t="str">
            <v>AMIR</v>
          </cell>
          <cell r="E149" t="str">
            <v>PP Performance &amp; Evaluation Jr Officer</v>
          </cell>
          <cell r="F149" t="str">
            <v>Supervisor</v>
          </cell>
          <cell r="G149" t="str">
            <v>Operation Directorate</v>
          </cell>
          <cell r="H149" t="str">
            <v>Dept. of Mining &amp; Power Plant</v>
          </cell>
          <cell r="I149" t="str">
            <v>Unit of Power Plant Operation</v>
          </cell>
          <cell r="J149" t="str">
            <v>Section of PP Performance &amp; Evaluation</v>
          </cell>
        </row>
        <row r="150">
          <cell r="A150">
            <v>4847</v>
          </cell>
          <cell r="B150" t="str">
            <v>7306393</v>
          </cell>
          <cell r="C150">
            <v>50066382</v>
          </cell>
          <cell r="D150" t="str">
            <v>MUH.WASI</v>
          </cell>
          <cell r="E150" t="str">
            <v>Field Supporting Jr Officer</v>
          </cell>
          <cell r="F150" t="str">
            <v>Supervisor</v>
          </cell>
          <cell r="G150" t="str">
            <v>Operation Directorate</v>
          </cell>
          <cell r="H150" t="str">
            <v>Dep. of Project Mngmnt &amp; Maint. Support</v>
          </cell>
          <cell r="I150" t="str">
            <v>Unit of Workshop</v>
          </cell>
          <cell r="J150" t="str">
            <v>Staff of Field Supporting</v>
          </cell>
        </row>
        <row r="151">
          <cell r="A151">
            <v>4848</v>
          </cell>
          <cell r="B151" t="str">
            <v>7202188</v>
          </cell>
          <cell r="C151">
            <v>50070764</v>
          </cell>
          <cell r="D151" t="str">
            <v>ABU BAKAR</v>
          </cell>
          <cell r="E151" t="str">
            <v>Key Account Officer</v>
          </cell>
          <cell r="F151" t="str">
            <v>Manager</v>
          </cell>
          <cell r="G151" t="str">
            <v>President Directorate</v>
          </cell>
          <cell r="H151" t="str">
            <v>Dept. of Sales</v>
          </cell>
          <cell r="I151" t="str">
            <v>Unit of Corporate Sales</v>
          </cell>
          <cell r="J151" t="str">
            <v>Staff of Key Account Officer</v>
          </cell>
        </row>
        <row r="152">
          <cell r="A152">
            <v>4849</v>
          </cell>
          <cell r="B152" t="str">
            <v>7202189</v>
          </cell>
          <cell r="C152">
            <v>50069053</v>
          </cell>
          <cell r="D152" t="str">
            <v>SAIKAL AR, SE.</v>
          </cell>
          <cell r="E152" t="str">
            <v>Spv of Kendari PP Operation</v>
          </cell>
          <cell r="F152" t="str">
            <v>Supervisor</v>
          </cell>
          <cell r="G152" t="str">
            <v>Operation Directorate</v>
          </cell>
          <cell r="H152" t="str">
            <v>Dept. of Infrastructure</v>
          </cell>
          <cell r="I152" t="str">
            <v>Unit of Packing Plant 2</v>
          </cell>
          <cell r="J152" t="str">
            <v>Section of Kendari Packing Plant</v>
          </cell>
        </row>
        <row r="153">
          <cell r="A153">
            <v>4850</v>
          </cell>
          <cell r="B153" t="str">
            <v>7202190</v>
          </cell>
          <cell r="C153">
            <v>50069313</v>
          </cell>
          <cell r="D153" t="str">
            <v>YOHANIS LT., AMD.</v>
          </cell>
          <cell r="E153" t="str">
            <v>Spv of Operation BIP</v>
          </cell>
          <cell r="F153" t="str">
            <v>Supervisor</v>
          </cell>
          <cell r="G153" t="str">
            <v>Operation Directorate</v>
          </cell>
          <cell r="H153" t="str">
            <v>Dept. of Clinker &amp; Cement Production</v>
          </cell>
          <cell r="I153" t="str">
            <v>Unit of Derivative Product  &amp; Supporting</v>
          </cell>
          <cell r="J153" t="str">
            <v>Section of Derivative Prod. &amp; Opr. 2/3</v>
          </cell>
        </row>
        <row r="154">
          <cell r="A154">
            <v>4851</v>
          </cell>
          <cell r="B154" t="str">
            <v>7202191</v>
          </cell>
          <cell r="C154">
            <v>50069426</v>
          </cell>
          <cell r="D154" t="str">
            <v>ABD.ASIS M.</v>
          </cell>
          <cell r="E154" t="str">
            <v>Spv of Line 4 FM Field</v>
          </cell>
          <cell r="F154" t="str">
            <v>Supervisor</v>
          </cell>
          <cell r="G154" t="str">
            <v>Operation Directorate</v>
          </cell>
          <cell r="H154" t="str">
            <v>Dept. of Clinker &amp; Cement Production</v>
          </cell>
          <cell r="I154" t="str">
            <v>Unit of Cement Production</v>
          </cell>
          <cell r="J154" t="str">
            <v>Section of Line 4 Finish Mill Operation</v>
          </cell>
        </row>
        <row r="155">
          <cell r="A155">
            <v>4852</v>
          </cell>
          <cell r="B155" t="str">
            <v>7202192</v>
          </cell>
          <cell r="C155">
            <v>50024559</v>
          </cell>
          <cell r="D155" t="str">
            <v>SARIFUDDIN D.</v>
          </cell>
          <cell r="E155" t="str">
            <v>Spv of Trans Net 70KV &amp;Dist 22KV Maint</v>
          </cell>
          <cell r="F155" t="str">
            <v>Supervisor</v>
          </cell>
          <cell r="G155" t="str">
            <v>Operation Directorate</v>
          </cell>
          <cell r="H155" t="str">
            <v>Dept. of Mining &amp; Power Plant</v>
          </cell>
          <cell r="I155" t="str">
            <v>Unit of Power Distribution</v>
          </cell>
          <cell r="J155" t="str">
            <v>Section of Electrical Network Maint</v>
          </cell>
        </row>
        <row r="156">
          <cell r="A156">
            <v>4853</v>
          </cell>
          <cell r="B156" t="str">
            <v>7202193</v>
          </cell>
          <cell r="C156">
            <v>50069134</v>
          </cell>
          <cell r="D156" t="str">
            <v>MURSALIN TAWANG, SE.</v>
          </cell>
          <cell r="E156" t="str">
            <v>Mgr of Sea Interplant</v>
          </cell>
          <cell r="F156" t="str">
            <v>Manager</v>
          </cell>
          <cell r="G156" t="str">
            <v>Operation Directorate</v>
          </cell>
          <cell r="H156" t="str">
            <v>Dept. of Infrastructure</v>
          </cell>
          <cell r="I156" t="str">
            <v>Unit of Interplant Logistic</v>
          </cell>
          <cell r="J156" t="str">
            <v>Section of Sea Interplant</v>
          </cell>
        </row>
        <row r="157">
          <cell r="A157">
            <v>4855</v>
          </cell>
          <cell r="B157" t="str">
            <v>7202195</v>
          </cell>
          <cell r="C157">
            <v>50069112</v>
          </cell>
          <cell r="D157" t="str">
            <v>MASJUM</v>
          </cell>
          <cell r="E157" t="str">
            <v>Spv of Line 5 Packer &amp; Bulk Field</v>
          </cell>
          <cell r="F157" t="str">
            <v>Supervisor</v>
          </cell>
          <cell r="G157" t="str">
            <v>Operation Directorate</v>
          </cell>
          <cell r="H157" t="str">
            <v>Dept. of Infrastructure</v>
          </cell>
          <cell r="I157" t="str">
            <v>Unit of Plant &amp; Port Prod Discharge Opr</v>
          </cell>
          <cell r="J157" t="str">
            <v>Section of Plant Site Packer &amp; Bulk Opr</v>
          </cell>
        </row>
        <row r="158">
          <cell r="A158">
            <v>4856</v>
          </cell>
          <cell r="B158" t="str">
            <v>7295008</v>
          </cell>
          <cell r="C158">
            <v>50066817</v>
          </cell>
          <cell r="D158" t="str">
            <v>ABD.KADIR PATTA, ST.</v>
          </cell>
          <cell r="E158" t="str">
            <v>PGO Officer</v>
          </cell>
          <cell r="F158" t="str">
            <v>Manager</v>
          </cell>
          <cell r="G158" t="str">
            <v>Operation Directorate</v>
          </cell>
          <cell r="H158" t="str">
            <v>Dept. of Maintenance</v>
          </cell>
          <cell r="I158" t="str">
            <v>Unit of Reliability Maintenance</v>
          </cell>
          <cell r="J158" t="str">
            <v>Staff of PGO</v>
          </cell>
        </row>
        <row r="159">
          <cell r="A159">
            <v>4857</v>
          </cell>
          <cell r="B159" t="str">
            <v>7295089</v>
          </cell>
          <cell r="C159">
            <v>50069072</v>
          </cell>
          <cell r="D159" t="str">
            <v>WACHYUDDIN</v>
          </cell>
          <cell r="E159" t="str">
            <v>Spv of Port Operation</v>
          </cell>
          <cell r="F159" t="str">
            <v>Supervisor</v>
          </cell>
          <cell r="G159" t="str">
            <v>Operation Directorate</v>
          </cell>
          <cell r="H159" t="str">
            <v>Dept. of Infrastructure</v>
          </cell>
          <cell r="I159" t="str">
            <v>Unit of Plant &amp; Port Prod Discharge Opr</v>
          </cell>
          <cell r="J159" t="str">
            <v>Section of Port Opr (Packer &amp; Curah)</v>
          </cell>
        </row>
        <row r="160">
          <cell r="A160">
            <v>4858</v>
          </cell>
          <cell r="B160" t="str">
            <v>7295180</v>
          </cell>
          <cell r="C160">
            <v>50068528</v>
          </cell>
          <cell r="D160" t="str">
            <v>MESAK RANDABUNGA, SE.</v>
          </cell>
          <cell r="E160" t="str">
            <v>Shipment Management Jr Officer</v>
          </cell>
          <cell r="F160" t="str">
            <v>Supervisor</v>
          </cell>
          <cell r="G160" t="str">
            <v>President Directorate</v>
          </cell>
          <cell r="H160" t="str">
            <v>Dept. of Sales</v>
          </cell>
          <cell r="I160" t="str">
            <v>Unit of Outbound Logistic</v>
          </cell>
          <cell r="J160" t="str">
            <v>Section of Shipment Management</v>
          </cell>
        </row>
        <row r="161">
          <cell r="A161">
            <v>4859</v>
          </cell>
          <cell r="B161" t="str">
            <v>7306401</v>
          </cell>
          <cell r="C161">
            <v>50069240</v>
          </cell>
          <cell r="D161" t="str">
            <v>PAISAL</v>
          </cell>
          <cell r="E161" t="str">
            <v>Bulk Transportation Jr Officer</v>
          </cell>
          <cell r="F161" t="str">
            <v>Supervisor</v>
          </cell>
          <cell r="G161" t="str">
            <v>President Directorate</v>
          </cell>
          <cell r="H161" t="str">
            <v>Dept. of Sales</v>
          </cell>
          <cell r="I161" t="str">
            <v>Unit of Outbound Logistic</v>
          </cell>
          <cell r="J161" t="str">
            <v>Section of Bulk Transportation</v>
          </cell>
        </row>
        <row r="162">
          <cell r="A162">
            <v>4860</v>
          </cell>
          <cell r="B162" t="str">
            <v>7202196</v>
          </cell>
          <cell r="C162">
            <v>50065443</v>
          </cell>
          <cell r="D162" t="str">
            <v>M.NAWIR</v>
          </cell>
          <cell r="E162" t="str">
            <v>Line 2/3 RKC Mach.PvM, PdM&amp;PM Sch Jr ofc</v>
          </cell>
          <cell r="F162" t="str">
            <v>Supervisor</v>
          </cell>
          <cell r="G162" t="str">
            <v>Operation Directorate</v>
          </cell>
          <cell r="H162" t="str">
            <v>Dept. of Maintenance</v>
          </cell>
          <cell r="I162" t="str">
            <v>Unit of Machine Maintenance 1</v>
          </cell>
          <cell r="J162" t="str">
            <v>Section of Line 2/3 RKC Machine Maint.</v>
          </cell>
        </row>
        <row r="163">
          <cell r="A163">
            <v>4861</v>
          </cell>
          <cell r="B163" t="str">
            <v>7202197</v>
          </cell>
          <cell r="C163">
            <v>50069477</v>
          </cell>
          <cell r="D163" t="str">
            <v>M.YUSRAN ANSARI</v>
          </cell>
          <cell r="E163" t="str">
            <v>Spv of Mutation Clinker Control</v>
          </cell>
          <cell r="F163" t="str">
            <v>Supervisor</v>
          </cell>
          <cell r="G163" t="str">
            <v>Operation Directorate</v>
          </cell>
          <cell r="H163" t="str">
            <v>Dept. of Production Planning &amp; Control</v>
          </cell>
          <cell r="I163" t="str">
            <v>Unit of Production Support</v>
          </cell>
          <cell r="J163" t="str">
            <v>Section of Heavy Equipment &amp; Coal Transp</v>
          </cell>
        </row>
        <row r="164">
          <cell r="A164">
            <v>4862</v>
          </cell>
          <cell r="B164" t="str">
            <v>7202198</v>
          </cell>
          <cell r="C164">
            <v>50046173</v>
          </cell>
          <cell r="D164" t="str">
            <v>PETRUS REMAK</v>
          </cell>
          <cell r="E164" t="str">
            <v>Troubleshooting Jr Officer</v>
          </cell>
          <cell r="F164" t="str">
            <v>Supervisor</v>
          </cell>
          <cell r="G164" t="str">
            <v>Operation Directorate</v>
          </cell>
          <cell r="H164" t="str">
            <v>Dept. of Maintenance</v>
          </cell>
          <cell r="I164" t="str">
            <v>Unit of Reliability Maintenance</v>
          </cell>
          <cell r="J164" t="str">
            <v>Staff of Troubleshooting</v>
          </cell>
        </row>
        <row r="165">
          <cell r="A165">
            <v>4863</v>
          </cell>
          <cell r="B165" t="str">
            <v>7202199</v>
          </cell>
          <cell r="C165">
            <v>50069881</v>
          </cell>
          <cell r="D165" t="str">
            <v>MUH.IRSYAD</v>
          </cell>
          <cell r="E165" t="str">
            <v>E Land Interplant &amp; DEPO Mgt Adm Officer</v>
          </cell>
          <cell r="F165" t="str">
            <v>Associate</v>
          </cell>
          <cell r="G165" t="str">
            <v>Operation Directorate</v>
          </cell>
          <cell r="H165" t="str">
            <v>Dept. of Infrastructure</v>
          </cell>
          <cell r="I165" t="str">
            <v>Unit of Interplant Logistic</v>
          </cell>
          <cell r="J165" t="str">
            <v>Section of Land Interplant &amp; DEPO Mngmnt</v>
          </cell>
        </row>
        <row r="166">
          <cell r="A166">
            <v>4864</v>
          </cell>
          <cell r="B166" t="str">
            <v>7295182</v>
          </cell>
          <cell r="C166">
            <v>50021409</v>
          </cell>
          <cell r="D166" t="str">
            <v>AMIRUDDIN</v>
          </cell>
          <cell r="E166" t="str">
            <v>Spv of Outer Clay Quarry</v>
          </cell>
          <cell r="F166" t="str">
            <v>Supervisor</v>
          </cell>
          <cell r="G166" t="str">
            <v>Operation Directorate</v>
          </cell>
          <cell r="H166" t="str">
            <v>Dept. of Mining &amp; Power Plant</v>
          </cell>
          <cell r="I166" t="str">
            <v>Unit of Mining Operation</v>
          </cell>
          <cell r="J166" t="str">
            <v>Section of Clay Mining</v>
          </cell>
        </row>
        <row r="167">
          <cell r="A167">
            <v>4865</v>
          </cell>
          <cell r="B167" t="str">
            <v>7295183</v>
          </cell>
          <cell r="C167">
            <v>50069600</v>
          </cell>
          <cell r="D167" t="str">
            <v>SYAMSYARIF SYAMSUAR</v>
          </cell>
          <cell r="E167" t="str">
            <v>Mine Plan Jr Officer</v>
          </cell>
          <cell r="F167" t="str">
            <v>Supervisor</v>
          </cell>
          <cell r="G167" t="str">
            <v>Operation Directorate</v>
          </cell>
          <cell r="H167" t="str">
            <v>Dept. of Mining &amp; Power Plant</v>
          </cell>
          <cell r="I167" t="str">
            <v>Unit of Mine Plan</v>
          </cell>
          <cell r="J167" t="str">
            <v>Section of Mine Planning &amp; Monitoring</v>
          </cell>
        </row>
        <row r="168">
          <cell r="A168">
            <v>4866</v>
          </cell>
          <cell r="B168" t="str">
            <v>7295184</v>
          </cell>
          <cell r="C168">
            <v>50069037</v>
          </cell>
          <cell r="D168" t="str">
            <v>HARIANTO MARZUKI, SE.</v>
          </cell>
          <cell r="E168" t="str">
            <v>Mgr of North Maluku  Packing Plant</v>
          </cell>
          <cell r="F168" t="str">
            <v>Manager</v>
          </cell>
          <cell r="G168" t="str">
            <v>Operation Directorate</v>
          </cell>
          <cell r="H168" t="str">
            <v>Dept. of Infrastructure</v>
          </cell>
          <cell r="I168" t="str">
            <v>Unit of Packing Plant 2</v>
          </cell>
          <cell r="J168" t="str">
            <v>Section of North Maluku Packing Plant</v>
          </cell>
        </row>
        <row r="169">
          <cell r="A169">
            <v>4867</v>
          </cell>
          <cell r="B169" t="str">
            <v>7295185</v>
          </cell>
          <cell r="C169">
            <v>50069625</v>
          </cell>
          <cell r="D169" t="str">
            <v>YUSRI MUHTAR</v>
          </cell>
          <cell r="E169" t="str">
            <v>Spv of Line 4 Limestone Crusher</v>
          </cell>
          <cell r="F169" t="str">
            <v>Supervisor</v>
          </cell>
          <cell r="G169" t="str">
            <v>Operation Directorate</v>
          </cell>
          <cell r="H169" t="str">
            <v>Dept. of Mining &amp; Power Plant</v>
          </cell>
          <cell r="I169" t="str">
            <v>Unit of Raw Material Management</v>
          </cell>
          <cell r="J169" t="str">
            <v>Section of Limestone Crusher Operation</v>
          </cell>
        </row>
        <row r="170">
          <cell r="A170">
            <v>4868</v>
          </cell>
          <cell r="B170" t="str">
            <v>7306403</v>
          </cell>
          <cell r="C170">
            <v>50066989</v>
          </cell>
          <cell r="D170" t="str">
            <v>EMY AMOS DAUD</v>
          </cell>
          <cell r="E170" t="str">
            <v>E Adm of Enviromental Monitoring</v>
          </cell>
          <cell r="F170" t="str">
            <v>Associate</v>
          </cell>
          <cell r="G170" t="str">
            <v>Operation Directorate</v>
          </cell>
          <cell r="H170" t="str">
            <v>Dept. of Production Planning &amp; Control</v>
          </cell>
          <cell r="I170" t="str">
            <v>Unit of Prod. Plan Eval. &amp; Environmental</v>
          </cell>
          <cell r="J170" t="str">
            <v>Section of Enviromental Monitoring</v>
          </cell>
        </row>
        <row r="171">
          <cell r="A171">
            <v>4869</v>
          </cell>
          <cell r="B171" t="str">
            <v>7306406</v>
          </cell>
          <cell r="C171">
            <v>50071529</v>
          </cell>
          <cell r="D171" t="str">
            <v>HADIJAH</v>
          </cell>
          <cell r="E171" t="str">
            <v>E AP/AR Management Adm Officer</v>
          </cell>
          <cell r="F171" t="str">
            <v>Associate</v>
          </cell>
          <cell r="G171" t="str">
            <v>Finance Risk Mgmt &amp; General Directorate</v>
          </cell>
          <cell r="H171" t="str">
            <v>Department of Finance &amp; Accounting</v>
          </cell>
          <cell r="I171" t="str">
            <v>Unit of Accounting</v>
          </cell>
          <cell r="J171" t="str">
            <v>Staff of AP/AR Management</v>
          </cell>
        </row>
        <row r="172">
          <cell r="A172">
            <v>4870</v>
          </cell>
          <cell r="B172" t="str">
            <v>7202200</v>
          </cell>
          <cell r="C172">
            <v>50069383</v>
          </cell>
          <cell r="D172" t="str">
            <v>M.AHMADI</v>
          </cell>
          <cell r="E172" t="str">
            <v>Spv of Line 4 KCM Field Specialist</v>
          </cell>
          <cell r="F172" t="str">
            <v>Supervisor</v>
          </cell>
          <cell r="G172" t="str">
            <v>Operation Directorate</v>
          </cell>
          <cell r="H172" t="str">
            <v>Dept. of Clinker &amp; Cement Production</v>
          </cell>
          <cell r="I172" t="str">
            <v>Unit of Clinker Production</v>
          </cell>
          <cell r="J172" t="str">
            <v>Section of Line 4 RKC Operation</v>
          </cell>
        </row>
        <row r="173">
          <cell r="A173">
            <v>4871</v>
          </cell>
          <cell r="B173" t="str">
            <v>7295009</v>
          </cell>
          <cell r="C173">
            <v>50066694</v>
          </cell>
          <cell r="D173" t="str">
            <v>SUKMA JAYA</v>
          </cell>
          <cell r="E173" t="str">
            <v>Mgr of General Facility 1 (Tonasa 1)</v>
          </cell>
          <cell r="F173" t="str">
            <v>Manager</v>
          </cell>
          <cell r="G173" t="str">
            <v>President Directorate</v>
          </cell>
          <cell r="H173" t="str">
            <v>Dept. of Communication, Legal &amp; GA</v>
          </cell>
          <cell r="I173" t="str">
            <v>Unit of General Facility &amp; Asset</v>
          </cell>
          <cell r="J173" t="str">
            <v>Section of General Facility 1 (Tonasa 1)</v>
          </cell>
        </row>
        <row r="174">
          <cell r="A174">
            <v>4872</v>
          </cell>
          <cell r="B174" t="str">
            <v>7295090</v>
          </cell>
          <cell r="C174">
            <v>50008435</v>
          </cell>
          <cell r="D174" t="str">
            <v>SATTU LOMBI</v>
          </cell>
          <cell r="E174" t="str">
            <v>Spv of PP Elctrical (Shift)</v>
          </cell>
          <cell r="F174" t="str">
            <v>Supervisor</v>
          </cell>
          <cell r="G174" t="str">
            <v>Operation Directorate</v>
          </cell>
          <cell r="H174" t="str">
            <v>Dept. of Mining &amp; Power Plant</v>
          </cell>
          <cell r="I174" t="str">
            <v>Unit of Power Plant Elins Maintenance</v>
          </cell>
          <cell r="J174" t="str">
            <v>Section of Power Plant Elctrical Maint.</v>
          </cell>
        </row>
        <row r="175">
          <cell r="A175">
            <v>4873</v>
          </cell>
          <cell r="B175" t="str">
            <v>7295186</v>
          </cell>
          <cell r="C175">
            <v>50069615</v>
          </cell>
          <cell r="D175" t="str">
            <v>BASRI</v>
          </cell>
          <cell r="E175" t="str">
            <v>Spv of Blasting</v>
          </cell>
          <cell r="F175" t="str">
            <v>Supervisor</v>
          </cell>
          <cell r="G175" t="str">
            <v>Operation Directorate</v>
          </cell>
          <cell r="H175" t="str">
            <v>Dept. of Mining &amp; Power Plant</v>
          </cell>
          <cell r="I175" t="str">
            <v>Unit of Mining Operation</v>
          </cell>
          <cell r="J175" t="str">
            <v>Section of Limestone Mining</v>
          </cell>
        </row>
        <row r="176">
          <cell r="A176">
            <v>4874</v>
          </cell>
          <cell r="B176" t="str">
            <v>7295187</v>
          </cell>
          <cell r="C176">
            <v>50069030</v>
          </cell>
          <cell r="D176" t="str">
            <v>MARKUS BUNGA, SE.</v>
          </cell>
          <cell r="E176" t="str">
            <v>Spv of Balikpapan PP Operation</v>
          </cell>
          <cell r="F176" t="str">
            <v>Supervisor</v>
          </cell>
          <cell r="G176" t="str">
            <v>Operation Directorate</v>
          </cell>
          <cell r="H176" t="str">
            <v>Dept. of Infrastructure</v>
          </cell>
          <cell r="I176" t="str">
            <v>Unit of Packing Plant 1</v>
          </cell>
          <cell r="J176" t="str">
            <v>Section of Balikpapan Packing Plant</v>
          </cell>
        </row>
        <row r="177">
          <cell r="A177">
            <v>4875</v>
          </cell>
          <cell r="B177" t="str">
            <v>7306412</v>
          </cell>
          <cell r="C177">
            <v>50069365</v>
          </cell>
          <cell r="D177" t="str">
            <v>AHMAD.H</v>
          </cell>
          <cell r="E177" t="str">
            <v>Spv of Line 4 RM Field</v>
          </cell>
          <cell r="F177" t="str">
            <v>Supervisor</v>
          </cell>
          <cell r="G177" t="str">
            <v>Operation Directorate</v>
          </cell>
          <cell r="H177" t="str">
            <v>Dept. of Clinker &amp; Cement Production</v>
          </cell>
          <cell r="I177" t="str">
            <v>Unit of Clinker Production</v>
          </cell>
          <cell r="J177" t="str">
            <v>Section of Line 4 RKC Operation</v>
          </cell>
        </row>
        <row r="178">
          <cell r="A178">
            <v>4876</v>
          </cell>
          <cell r="B178" t="str">
            <v>7295091</v>
          </cell>
          <cell r="C178">
            <v>50008335</v>
          </cell>
          <cell r="D178" t="str">
            <v>AMINOLLAH AIDID</v>
          </cell>
          <cell r="E178" t="str">
            <v>Spv of Power Plant CCR</v>
          </cell>
          <cell r="F178" t="str">
            <v>Supervisor</v>
          </cell>
          <cell r="G178" t="str">
            <v>Operation Directorate</v>
          </cell>
          <cell r="H178" t="str">
            <v>Dept. of Mining &amp; Power Plant</v>
          </cell>
          <cell r="I178" t="str">
            <v>Unit of Power Plant Operation</v>
          </cell>
          <cell r="J178" t="str">
            <v>Section of Power Plant Operation</v>
          </cell>
        </row>
        <row r="179">
          <cell r="A179">
            <v>4877</v>
          </cell>
          <cell r="B179" t="str">
            <v>7295152</v>
          </cell>
          <cell r="C179">
            <v>50047829</v>
          </cell>
          <cell r="D179" t="str">
            <v>ASKAR THALIB</v>
          </cell>
          <cell r="E179" t="str">
            <v>PGO Jr Officer</v>
          </cell>
          <cell r="F179" t="str">
            <v>Supervisor</v>
          </cell>
          <cell r="G179" t="str">
            <v>Operation Directorate</v>
          </cell>
          <cell r="H179" t="str">
            <v>Dept. of Maintenance</v>
          </cell>
          <cell r="I179" t="str">
            <v>Unit of Reliability Maintenance</v>
          </cell>
          <cell r="J179" t="str">
            <v>Staff of PGO</v>
          </cell>
        </row>
        <row r="180">
          <cell r="A180">
            <v>4878</v>
          </cell>
          <cell r="B180" t="str">
            <v>7295268</v>
          </cell>
          <cell r="C180">
            <v>50054100</v>
          </cell>
          <cell r="D180" t="str">
            <v>ARDIANSYAH, SE.</v>
          </cell>
          <cell r="E180" t="str">
            <v>OOTC (Pres Dir of PT PELSINDO)</v>
          </cell>
          <cell r="F180" t="str">
            <v>Senior Manager</v>
          </cell>
          <cell r="G180" t="str">
            <v>President Directorate</v>
          </cell>
          <cell r="I180" t="str">
            <v>Staff of Pres Dir ( Pelsindo )</v>
          </cell>
        </row>
        <row r="181">
          <cell r="A181">
            <v>4879</v>
          </cell>
          <cell r="B181" t="str">
            <v>7295269</v>
          </cell>
          <cell r="C181">
            <v>50070170</v>
          </cell>
          <cell r="D181" t="str">
            <v>HANURSA</v>
          </cell>
          <cell r="E181" t="str">
            <v>Procurement Jr Officer</v>
          </cell>
          <cell r="F181" t="str">
            <v>Supervisor</v>
          </cell>
          <cell r="G181" t="str">
            <v>Direktorat Human Capital</v>
          </cell>
          <cell r="H181" t="str">
            <v>Department of Services Procurement</v>
          </cell>
          <cell r="I181" t="str">
            <v>Unit of Production Service 2 Procurement</v>
          </cell>
        </row>
        <row r="182">
          <cell r="A182">
            <v>4880</v>
          </cell>
          <cell r="B182" t="str">
            <v>7298022</v>
          </cell>
          <cell r="C182">
            <v>50048082</v>
          </cell>
          <cell r="D182" t="str">
            <v>IDAYANA, SE.</v>
          </cell>
          <cell r="E182" t="str">
            <v>OOTC (Dir of Finance PT Topa. Trans)</v>
          </cell>
          <cell r="F182" t="str">
            <v>Senior Manager</v>
          </cell>
          <cell r="G182" t="str">
            <v>President Directorate</v>
          </cell>
          <cell r="I182" t="str">
            <v>Staff of Pres Dir (Topabiring)</v>
          </cell>
        </row>
        <row r="183">
          <cell r="A183">
            <v>4881</v>
          </cell>
          <cell r="B183" t="str">
            <v>7295092</v>
          </cell>
          <cell r="C183">
            <v>50061694</v>
          </cell>
          <cell r="D183" t="str">
            <v>AZIS, S.KM.</v>
          </cell>
          <cell r="E183" t="str">
            <v>Mgr of BKS Occupational Health &amp; Safety</v>
          </cell>
          <cell r="F183" t="str">
            <v>Manager</v>
          </cell>
          <cell r="G183" t="str">
            <v>Operation Directorate</v>
          </cell>
          <cell r="H183" t="str">
            <v>Dept. of Production Planning &amp; Control</v>
          </cell>
          <cell r="I183" t="str">
            <v>Unit of OHS</v>
          </cell>
          <cell r="J183" t="str">
            <v>Section of BKS Occupational Healt &amp; Saf.</v>
          </cell>
        </row>
        <row r="184">
          <cell r="A184">
            <v>4882</v>
          </cell>
          <cell r="B184" t="str">
            <v>7295188</v>
          </cell>
          <cell r="C184">
            <v>50069109</v>
          </cell>
          <cell r="D184" t="str">
            <v>H. BAHAR</v>
          </cell>
          <cell r="E184" t="str">
            <v>Spv of Line 5 Packer &amp; Bulk Field</v>
          </cell>
          <cell r="F184" t="str">
            <v>Supervisor</v>
          </cell>
          <cell r="G184" t="str">
            <v>Operation Directorate</v>
          </cell>
          <cell r="H184" t="str">
            <v>Dept. of Infrastructure</v>
          </cell>
          <cell r="I184" t="str">
            <v>Unit of Plant &amp; Port Prod Discharge Opr</v>
          </cell>
          <cell r="J184" t="str">
            <v>Section of Plant Site Packer &amp; Bulk Opr</v>
          </cell>
        </row>
        <row r="185">
          <cell r="A185">
            <v>4883</v>
          </cell>
          <cell r="B185" t="str">
            <v>7306421</v>
          </cell>
          <cell r="C185">
            <v>50053106</v>
          </cell>
          <cell r="D185" t="str">
            <v>AGUS SINA</v>
          </cell>
          <cell r="E185" t="str">
            <v>E Tender Hopper Belt Transport</v>
          </cell>
          <cell r="F185" t="str">
            <v>Associate</v>
          </cell>
          <cell r="G185" t="str">
            <v>Operation Directorate</v>
          </cell>
          <cell r="H185" t="str">
            <v>Dept. of Clinker &amp; Cement Production</v>
          </cell>
          <cell r="I185" t="str">
            <v>Unit of Derivative Product  &amp; Supporting</v>
          </cell>
          <cell r="J185" t="str">
            <v>Section of Derivative Prod. &amp; Opr. 2/3</v>
          </cell>
        </row>
        <row r="186">
          <cell r="A186">
            <v>4885</v>
          </cell>
          <cell r="B186" t="str">
            <v>7806561</v>
          </cell>
          <cell r="C186">
            <v>50069799</v>
          </cell>
          <cell r="D186" t="str">
            <v>SAMPARA.H</v>
          </cell>
          <cell r="E186" t="str">
            <v>E Assc of Loader &amp; Transport Miant</v>
          </cell>
          <cell r="F186" t="str">
            <v>Associate</v>
          </cell>
          <cell r="G186" t="str">
            <v>Operation Directorate</v>
          </cell>
          <cell r="H186" t="str">
            <v>Dept. of Maintenance</v>
          </cell>
          <cell r="I186" t="str">
            <v>Unit of Port Product Discharge Maint.</v>
          </cell>
          <cell r="J186" t="str">
            <v>Section of Port Facility Machine Maint.</v>
          </cell>
        </row>
        <row r="187">
          <cell r="A187">
            <v>4887</v>
          </cell>
          <cell r="B187" t="str">
            <v>7295093</v>
          </cell>
          <cell r="C187">
            <v>50070913</v>
          </cell>
          <cell r="D187" t="str">
            <v>H. BUDIJANTO, SE.</v>
          </cell>
          <cell r="E187" t="str">
            <v>C Human Capital Officer</v>
          </cell>
          <cell r="F187" t="str">
            <v>Manager</v>
          </cell>
          <cell r="G187" t="str">
            <v>Finance Risk Mgmt &amp; General Directorate</v>
          </cell>
          <cell r="H187" t="str">
            <v>Department of Human Capital &amp; GRC</v>
          </cell>
        </row>
        <row r="188">
          <cell r="A188">
            <v>4888</v>
          </cell>
          <cell r="B188" t="str">
            <v>7295153</v>
          </cell>
          <cell r="C188">
            <v>50065590</v>
          </cell>
          <cell r="D188" t="str">
            <v>HEDAR</v>
          </cell>
          <cell r="E188" t="str">
            <v>Med. Support &amp; Ind. Hygiene Jr Officer</v>
          </cell>
          <cell r="F188" t="str">
            <v>Supervisor</v>
          </cell>
          <cell r="G188" t="str">
            <v>Finance Risk Mgmt &amp; General Directorate</v>
          </cell>
          <cell r="H188" t="str">
            <v>Department of Human Capital &amp; GRC</v>
          </cell>
          <cell r="I188" t="str">
            <v>Unit of Health Serv &amp; Industrial Hygiene</v>
          </cell>
          <cell r="J188" t="str">
            <v>Staff of Med. Support &amp; Industrial Hygie</v>
          </cell>
        </row>
        <row r="189">
          <cell r="A189">
            <v>4889</v>
          </cell>
          <cell r="B189" t="str">
            <v>7295154</v>
          </cell>
          <cell r="C189">
            <v>50052866</v>
          </cell>
          <cell r="D189" t="str">
            <v>MUH.SARWI</v>
          </cell>
          <cell r="E189" t="str">
            <v>Tender Mill 2 &amp; Separator</v>
          </cell>
          <cell r="F189" t="str">
            <v>Associate</v>
          </cell>
          <cell r="G189" t="str">
            <v>Operation Directorate</v>
          </cell>
          <cell r="H189" t="str">
            <v>Dept. of Clinker &amp; Cement Production</v>
          </cell>
          <cell r="I189" t="str">
            <v>Unit of Derivative Product  &amp; Supporting</v>
          </cell>
          <cell r="J189" t="str">
            <v>Section of Derivative Prod. &amp; Opr. 2/3</v>
          </cell>
        </row>
        <row r="190">
          <cell r="A190">
            <v>4890</v>
          </cell>
          <cell r="B190" t="str">
            <v>7295189</v>
          </cell>
          <cell r="C190">
            <v>50069485</v>
          </cell>
          <cell r="D190" t="str">
            <v>UDIN IBRAHIM, ST.</v>
          </cell>
          <cell r="E190" t="str">
            <v>Spv of AFR &amp; 3rd Material (Shift)</v>
          </cell>
          <cell r="F190" t="str">
            <v>Supervisor</v>
          </cell>
          <cell r="G190" t="str">
            <v>Operation Directorate</v>
          </cell>
          <cell r="H190" t="str">
            <v>Dept. of Production Planning &amp; Control</v>
          </cell>
          <cell r="I190" t="str">
            <v>Unit of AFR &amp; Energy</v>
          </cell>
          <cell r="J190" t="str">
            <v>Section of AFR &amp; 3rd Material</v>
          </cell>
        </row>
        <row r="191">
          <cell r="A191">
            <v>4891</v>
          </cell>
          <cell r="B191" t="str">
            <v>7295270</v>
          </cell>
          <cell r="C191">
            <v>50069647</v>
          </cell>
          <cell r="D191" t="str">
            <v>MAHYUDDIN</v>
          </cell>
          <cell r="E191" t="str">
            <v>Spv of Line 2/3/4/5 Clay Crusher</v>
          </cell>
          <cell r="F191" t="str">
            <v>Supervisor</v>
          </cell>
          <cell r="G191" t="str">
            <v>Operation Directorate</v>
          </cell>
          <cell r="H191" t="str">
            <v>Dept. of Mining &amp; Power Plant</v>
          </cell>
          <cell r="I191" t="str">
            <v>Unit of Raw Material Management</v>
          </cell>
          <cell r="J191" t="str">
            <v>Section of Clay Crusher Operation</v>
          </cell>
        </row>
        <row r="192">
          <cell r="A192">
            <v>4892</v>
          </cell>
          <cell r="B192" t="str">
            <v>7302202</v>
          </cell>
          <cell r="C192">
            <v>50069377</v>
          </cell>
          <cell r="D192" t="str">
            <v>ABDULLAH</v>
          </cell>
          <cell r="E192" t="str">
            <v>Spv of Line 4 RM Field Specialist</v>
          </cell>
          <cell r="F192" t="str">
            <v>Supervisor</v>
          </cell>
          <cell r="G192" t="str">
            <v>Operation Directorate</v>
          </cell>
          <cell r="H192" t="str">
            <v>Dept. of Clinker &amp; Cement Production</v>
          </cell>
          <cell r="I192" t="str">
            <v>Unit of Clinker Production</v>
          </cell>
          <cell r="J192" t="str">
            <v>Section of Line 4 RKC Operation</v>
          </cell>
        </row>
        <row r="193">
          <cell r="A193">
            <v>4893</v>
          </cell>
          <cell r="B193" t="str">
            <v>7306434</v>
          </cell>
          <cell r="C193">
            <v>50065566</v>
          </cell>
          <cell r="D193" t="str">
            <v>M.RUSLI A.RASYID</v>
          </cell>
          <cell r="E193" t="str">
            <v>E Tender Hopper Belt Transport</v>
          </cell>
          <cell r="F193" t="str">
            <v>Associate</v>
          </cell>
          <cell r="G193" t="str">
            <v>Operation Directorate</v>
          </cell>
          <cell r="H193" t="str">
            <v>Dept. of Clinker &amp; Cement Production</v>
          </cell>
          <cell r="I193" t="str">
            <v>Unit of Derivative Product  &amp; Supporting</v>
          </cell>
          <cell r="J193" t="str">
            <v>Section of Derivative Prod. &amp; Opr. 2/3</v>
          </cell>
        </row>
        <row r="194">
          <cell r="A194">
            <v>4894</v>
          </cell>
          <cell r="B194" t="str">
            <v>7395010</v>
          </cell>
          <cell r="C194">
            <v>50066236</v>
          </cell>
          <cell r="D194" t="str">
            <v>SYAHARUDDIN NGEWA</v>
          </cell>
          <cell r="E194" t="str">
            <v>Mgr of Machine Workshop</v>
          </cell>
          <cell r="F194" t="str">
            <v>Manager</v>
          </cell>
          <cell r="G194" t="str">
            <v>Operation Directorate</v>
          </cell>
          <cell r="H194" t="str">
            <v>Dep. of Project Mngmnt &amp; Maint. Support</v>
          </cell>
          <cell r="I194" t="str">
            <v>Unit of Workshop</v>
          </cell>
          <cell r="J194" t="str">
            <v>Section of Machine Workshop</v>
          </cell>
        </row>
        <row r="195">
          <cell r="A195">
            <v>4895</v>
          </cell>
          <cell r="B195" t="str">
            <v>7395094</v>
          </cell>
          <cell r="C195">
            <v>50008486</v>
          </cell>
          <cell r="D195" t="str">
            <v>ROMYAWAN HARDJO</v>
          </cell>
          <cell r="E195" t="str">
            <v>Spv of Line 2/3 QC (Shift) D</v>
          </cell>
          <cell r="F195" t="str">
            <v>Supervisor</v>
          </cell>
          <cell r="G195" t="str">
            <v>Operation Directorate</v>
          </cell>
          <cell r="H195" t="str">
            <v>Dept. of Production Planning &amp; Control</v>
          </cell>
          <cell r="I195" t="str">
            <v>Unit of Quality Control</v>
          </cell>
          <cell r="J195" t="str">
            <v>Section of Quality Control (2/3)</v>
          </cell>
        </row>
        <row r="196">
          <cell r="A196">
            <v>4896</v>
          </cell>
          <cell r="B196" t="str">
            <v>7395190</v>
          </cell>
          <cell r="C196">
            <v>50008485</v>
          </cell>
          <cell r="D196" t="str">
            <v>IRWAN JEFRI M.</v>
          </cell>
          <cell r="E196" t="str">
            <v>Spv of Line 2/3 QC (Shift) C</v>
          </cell>
          <cell r="F196" t="str">
            <v>Supervisor</v>
          </cell>
          <cell r="G196" t="str">
            <v>Operation Directorate</v>
          </cell>
          <cell r="H196" t="str">
            <v>Dept. of Production Planning &amp; Control</v>
          </cell>
          <cell r="I196" t="str">
            <v>Unit of Quality Control</v>
          </cell>
          <cell r="J196" t="str">
            <v>Section of Quality Control (2/3)</v>
          </cell>
        </row>
        <row r="197">
          <cell r="A197">
            <v>4897</v>
          </cell>
          <cell r="B197" t="str">
            <v>7395191</v>
          </cell>
          <cell r="C197">
            <v>50069110</v>
          </cell>
          <cell r="D197" t="str">
            <v>BAKRI</v>
          </cell>
          <cell r="E197" t="str">
            <v>Spv of Line 5 Packer &amp; Bulk Field</v>
          </cell>
          <cell r="F197" t="str">
            <v>Supervisor</v>
          </cell>
          <cell r="G197" t="str">
            <v>Operation Directorate</v>
          </cell>
          <cell r="H197" t="str">
            <v>Dept. of Infrastructure</v>
          </cell>
          <cell r="I197" t="str">
            <v>Unit of Plant &amp; Port Prod Discharge Opr</v>
          </cell>
          <cell r="J197" t="str">
            <v>Section of Plant Site Packer &amp; Bulk Opr</v>
          </cell>
        </row>
        <row r="198">
          <cell r="A198">
            <v>4898</v>
          </cell>
          <cell r="B198" t="str">
            <v>7395194</v>
          </cell>
          <cell r="C198">
            <v>50069026</v>
          </cell>
          <cell r="D198" t="str">
            <v>HELMI</v>
          </cell>
          <cell r="E198" t="str">
            <v>Spv of Samarinda PP Operation</v>
          </cell>
          <cell r="F198" t="str">
            <v>Supervisor</v>
          </cell>
          <cell r="G198" t="str">
            <v>Operation Directorate</v>
          </cell>
          <cell r="H198" t="str">
            <v>Dept. of Infrastructure</v>
          </cell>
          <cell r="I198" t="str">
            <v>Unit of Packing Plant 1</v>
          </cell>
          <cell r="J198" t="str">
            <v>Section of Samarinda Packing Plant</v>
          </cell>
        </row>
        <row r="199">
          <cell r="A199">
            <v>4899</v>
          </cell>
          <cell r="B199" t="str">
            <v>7395271</v>
          </cell>
          <cell r="C199">
            <v>50066697</v>
          </cell>
          <cell r="D199" t="str">
            <v>HAERUDDIN, SE.</v>
          </cell>
          <cell r="E199" t="str">
            <v>Mgr of General Affair &amp; Facility 2 (T.2)</v>
          </cell>
          <cell r="F199" t="str">
            <v>Manager</v>
          </cell>
          <cell r="G199" t="str">
            <v>President Directorate</v>
          </cell>
          <cell r="H199" t="str">
            <v>Dept. of Communication, Legal &amp; GA</v>
          </cell>
          <cell r="I199" t="str">
            <v>Unit of General Facility &amp; Asset</v>
          </cell>
          <cell r="J199" t="str">
            <v>Section of General Affair &amp; Facility 2</v>
          </cell>
        </row>
        <row r="200">
          <cell r="A200">
            <v>4900</v>
          </cell>
          <cell r="B200" t="str">
            <v>7395272</v>
          </cell>
          <cell r="C200">
            <v>50065450</v>
          </cell>
          <cell r="D200" t="str">
            <v>MARSANI, SE., MM.</v>
          </cell>
          <cell r="E200" t="str">
            <v>Internal audit Officer</v>
          </cell>
          <cell r="F200" t="str">
            <v>Manager</v>
          </cell>
          <cell r="G200" t="str">
            <v>President Directorate</v>
          </cell>
          <cell r="H200" t="str">
            <v>Department of Internal Audit</v>
          </cell>
          <cell r="I200" t="str">
            <v>Staff of Internal Audit</v>
          </cell>
        </row>
        <row r="201">
          <cell r="A201">
            <v>4902</v>
          </cell>
          <cell r="B201" t="str">
            <v>7402203</v>
          </cell>
          <cell r="C201">
            <v>50061702</v>
          </cell>
          <cell r="D201" t="str">
            <v>M.ICHWAN</v>
          </cell>
          <cell r="E201" t="str">
            <v>Adm of Enviromental Monitoring</v>
          </cell>
          <cell r="F201" t="str">
            <v>Associate</v>
          </cell>
          <cell r="G201" t="str">
            <v>Operation Directorate</v>
          </cell>
          <cell r="H201" t="str">
            <v>Dept. of Production Planning &amp; Control</v>
          </cell>
          <cell r="I201" t="str">
            <v>Unit of Prod. Plan Eval. &amp; Environmental</v>
          </cell>
          <cell r="J201" t="str">
            <v>Section of Enviromental Monitoring</v>
          </cell>
        </row>
        <row r="202">
          <cell r="A202">
            <v>4904</v>
          </cell>
          <cell r="B202" t="str">
            <v>7302204</v>
          </cell>
          <cell r="C202">
            <v>50068529</v>
          </cell>
          <cell r="D202" t="str">
            <v>A.TENRITATA</v>
          </cell>
          <cell r="E202" t="str">
            <v>Shipment Management Jr Officer</v>
          </cell>
          <cell r="F202" t="str">
            <v>Supervisor</v>
          </cell>
          <cell r="G202" t="str">
            <v>President Directorate</v>
          </cell>
          <cell r="H202" t="str">
            <v>Dept. of Sales</v>
          </cell>
          <cell r="I202" t="str">
            <v>Unit of Outbound Logistic</v>
          </cell>
          <cell r="J202" t="str">
            <v>Section of Shipment Management</v>
          </cell>
        </row>
        <row r="203">
          <cell r="A203">
            <v>4905</v>
          </cell>
          <cell r="B203" t="str">
            <v>7302205</v>
          </cell>
          <cell r="C203">
            <v>50069638</v>
          </cell>
          <cell r="D203" t="str">
            <v>HAMZAH</v>
          </cell>
          <cell r="E203" t="str">
            <v>Spv of Control Room LS Crusher (5)</v>
          </cell>
          <cell r="F203" t="str">
            <v>Supervisor</v>
          </cell>
          <cell r="G203" t="str">
            <v>Operation Directorate</v>
          </cell>
          <cell r="H203" t="str">
            <v>Dept. of Mining &amp; Power Plant</v>
          </cell>
          <cell r="I203" t="str">
            <v>Unit of Raw Material Management</v>
          </cell>
          <cell r="J203" t="str">
            <v>Section of Limestone Crusher Operation</v>
          </cell>
        </row>
        <row r="204">
          <cell r="A204">
            <v>4906</v>
          </cell>
          <cell r="B204" t="str">
            <v>7395095</v>
          </cell>
          <cell r="C204">
            <v>50064195</v>
          </cell>
          <cell r="D204" t="str">
            <v>M.SAHRIR, S.Sos.</v>
          </cell>
          <cell r="E204" t="str">
            <v>Mgr of Coal Mixing</v>
          </cell>
          <cell r="F204" t="str">
            <v>Manager</v>
          </cell>
          <cell r="G204" t="str">
            <v>Operation Directorate</v>
          </cell>
          <cell r="H204" t="str">
            <v>Dept. of Production Planning &amp; Control</v>
          </cell>
          <cell r="I204" t="str">
            <v>Unit of AFR &amp; Energy</v>
          </cell>
          <cell r="J204" t="str">
            <v>Section of Coal Mixing</v>
          </cell>
        </row>
        <row r="205">
          <cell r="A205">
            <v>4907</v>
          </cell>
          <cell r="B205" t="str">
            <v>7302206</v>
          </cell>
          <cell r="C205">
            <v>50062680</v>
          </cell>
          <cell r="D205" t="str">
            <v>SAINUDDIN</v>
          </cell>
          <cell r="E205" t="str">
            <v>Spv of Outer Clay Quarry</v>
          </cell>
          <cell r="F205" t="str">
            <v>Supervisor</v>
          </cell>
          <cell r="G205" t="str">
            <v>Operation Directorate</v>
          </cell>
          <cell r="H205" t="str">
            <v>Dept. of Mining &amp; Power Plant</v>
          </cell>
          <cell r="I205" t="str">
            <v>Unit of Mining Operation</v>
          </cell>
          <cell r="J205" t="str">
            <v>Section of Clay Mining</v>
          </cell>
        </row>
        <row r="206">
          <cell r="A206">
            <v>4909</v>
          </cell>
          <cell r="B206" t="str">
            <v>7302208</v>
          </cell>
          <cell r="C206">
            <v>50047214</v>
          </cell>
          <cell r="D206" t="str">
            <v>RUSLAN YUSUF</v>
          </cell>
          <cell r="E206" t="str">
            <v>Troubleshooting Jr Officer</v>
          </cell>
          <cell r="F206" t="str">
            <v>Supervisor</v>
          </cell>
          <cell r="G206" t="str">
            <v>Operation Directorate</v>
          </cell>
          <cell r="H206" t="str">
            <v>Dept. of Maintenance</v>
          </cell>
          <cell r="I206" t="str">
            <v>Unit of Reliability Maintenance</v>
          </cell>
          <cell r="J206" t="str">
            <v>Staff of Troubleshooting</v>
          </cell>
        </row>
        <row r="207">
          <cell r="A207">
            <v>4910</v>
          </cell>
          <cell r="B207" t="str">
            <v>7302209</v>
          </cell>
          <cell r="C207">
            <v>50066689</v>
          </cell>
          <cell r="D207" t="str">
            <v>ALIM BAHRI, S.Sos.</v>
          </cell>
          <cell r="E207" t="str">
            <v>Mgr of Asset Management</v>
          </cell>
          <cell r="F207" t="str">
            <v>Manager</v>
          </cell>
          <cell r="G207" t="str">
            <v>President Directorate</v>
          </cell>
          <cell r="H207" t="str">
            <v>Dept. of Communication, Legal &amp; GA</v>
          </cell>
          <cell r="I207" t="str">
            <v>Unit of General Facility &amp; Asset</v>
          </cell>
          <cell r="J207" t="str">
            <v>Section of Asset Management</v>
          </cell>
        </row>
        <row r="208">
          <cell r="A208">
            <v>4911</v>
          </cell>
          <cell r="B208" t="str">
            <v>7395011</v>
          </cell>
          <cell r="C208">
            <v>50007891</v>
          </cell>
          <cell r="D208" t="str">
            <v>MUH.BASRI</v>
          </cell>
          <cell r="E208" t="str">
            <v>Mgr of Line 2/3 RKC Elins Maint.</v>
          </cell>
          <cell r="F208" t="str">
            <v>Manager</v>
          </cell>
          <cell r="G208" t="str">
            <v>Operation Directorate</v>
          </cell>
          <cell r="H208" t="str">
            <v>Dept. of Maintenance</v>
          </cell>
          <cell r="I208" t="str">
            <v>Unit of Elins Maintenance 1</v>
          </cell>
          <cell r="J208" t="str">
            <v>Section of Line 2/3 RKC Elins Maint.</v>
          </cell>
        </row>
        <row r="209">
          <cell r="A209">
            <v>4912</v>
          </cell>
          <cell r="B209" t="str">
            <v>7395012</v>
          </cell>
          <cell r="C209">
            <v>50069022</v>
          </cell>
          <cell r="D209" t="str">
            <v>M.YUNUS YUSUF</v>
          </cell>
          <cell r="E209" t="str">
            <v>Spv of Makassar PP Operation</v>
          </cell>
          <cell r="F209" t="str">
            <v>Supervisor</v>
          </cell>
          <cell r="G209" t="str">
            <v>Operation Directorate</v>
          </cell>
          <cell r="H209" t="str">
            <v>Dept. of Infrastructure</v>
          </cell>
          <cell r="I209" t="str">
            <v>Unit of Packing Plant 1</v>
          </cell>
          <cell r="J209" t="str">
            <v>Section of Makassar Packing Plant</v>
          </cell>
        </row>
        <row r="210">
          <cell r="A210">
            <v>4913</v>
          </cell>
          <cell r="B210" t="str">
            <v>7395013</v>
          </cell>
          <cell r="C210">
            <v>50069693</v>
          </cell>
          <cell r="D210" t="str">
            <v>BOBI HASRUDDIN</v>
          </cell>
          <cell r="E210" t="str">
            <v>Autonomous Elect Load Control Jr Officer</v>
          </cell>
          <cell r="F210" t="str">
            <v>Supervisor</v>
          </cell>
          <cell r="G210" t="str">
            <v>Operation Directorate</v>
          </cell>
          <cell r="H210" t="str">
            <v>Dept. of Mining &amp; Power Plant</v>
          </cell>
          <cell r="I210" t="str">
            <v>Unit of Power Distribution</v>
          </cell>
          <cell r="J210" t="str">
            <v>Section of Electricity Load Control</v>
          </cell>
        </row>
        <row r="211">
          <cell r="A211">
            <v>4914</v>
          </cell>
          <cell r="B211" t="str">
            <v>7395014</v>
          </cell>
          <cell r="C211">
            <v>50069796</v>
          </cell>
          <cell r="D211" t="str">
            <v>ANDI RAHMAT</v>
          </cell>
          <cell r="E211" t="str">
            <v>Mgr of Water Treatment &amp; CUS Opr</v>
          </cell>
          <cell r="F211" t="str">
            <v>Manager</v>
          </cell>
          <cell r="G211" t="str">
            <v>Operation Directorate</v>
          </cell>
          <cell r="H211" t="str">
            <v>Dept. of Mining &amp; Power Plant</v>
          </cell>
          <cell r="I211" t="str">
            <v>Unit of Power Plant Operation</v>
          </cell>
          <cell r="J211" t="str">
            <v>Section of Water Treatment &amp; CUS Opr</v>
          </cell>
        </row>
        <row r="212">
          <cell r="A212">
            <v>4915</v>
          </cell>
          <cell r="B212" t="str">
            <v>7395096</v>
          </cell>
          <cell r="C212">
            <v>50069556</v>
          </cell>
          <cell r="D212" t="str">
            <v>AHMAD JAELANI</v>
          </cell>
          <cell r="E212" t="str">
            <v>Spv of 2/3 EP/DC PvM</v>
          </cell>
          <cell r="F212" t="str">
            <v>Supervisor</v>
          </cell>
          <cell r="G212" t="str">
            <v>Operation Directorate</v>
          </cell>
          <cell r="H212" t="str">
            <v>Dept. of Maintenance</v>
          </cell>
          <cell r="I212" t="str">
            <v>Unit of Elins Maintenance 2</v>
          </cell>
          <cell r="J212" t="str">
            <v>Section of EP/DC Maintenance</v>
          </cell>
        </row>
        <row r="213">
          <cell r="A213">
            <v>4916</v>
          </cell>
          <cell r="B213" t="str">
            <v>7395097</v>
          </cell>
          <cell r="C213">
            <v>50008163</v>
          </cell>
          <cell r="D213" t="str">
            <v>SUDARMAN, ST.</v>
          </cell>
          <cell r="E213" t="str">
            <v>Mgr of EP/DC Maintenance</v>
          </cell>
          <cell r="F213" t="str">
            <v>Manager</v>
          </cell>
          <cell r="G213" t="str">
            <v>Operation Directorate</v>
          </cell>
          <cell r="H213" t="str">
            <v>Dept. of Maintenance</v>
          </cell>
          <cell r="I213" t="str">
            <v>Unit of Elins Maintenance 2</v>
          </cell>
          <cell r="J213" t="str">
            <v>Section of EP/DC Maintenance</v>
          </cell>
        </row>
        <row r="214">
          <cell r="A214">
            <v>4917</v>
          </cell>
          <cell r="B214" t="str">
            <v>7395192</v>
          </cell>
          <cell r="C214">
            <v>50070777</v>
          </cell>
          <cell r="D214" t="str">
            <v>HAERUDDIN SALEH, SE.</v>
          </cell>
          <cell r="E214" t="str">
            <v>Channel &amp; Sales Force Mgmt Officer</v>
          </cell>
          <cell r="F214" t="str">
            <v>Manager</v>
          </cell>
          <cell r="G214" t="str">
            <v>President Directorate</v>
          </cell>
          <cell r="H214" t="str">
            <v>Dept. of Market Planning &amp; Development</v>
          </cell>
          <cell r="I214" t="str">
            <v>Unit of Market Intel. Channel &amp; SF Mgmt</v>
          </cell>
          <cell r="J214" t="str">
            <v>Staff of Channel &amp; Sales Force Mgmt</v>
          </cell>
        </row>
        <row r="215">
          <cell r="A215">
            <v>4918</v>
          </cell>
          <cell r="B215" t="str">
            <v>7395273</v>
          </cell>
          <cell r="C215">
            <v>50007347</v>
          </cell>
          <cell r="D215" t="str">
            <v>ISKANDAR SULKARNAIN</v>
          </cell>
          <cell r="E215" t="str">
            <v>Partnership Program Jr Officer</v>
          </cell>
          <cell r="F215" t="str">
            <v>Supervisor</v>
          </cell>
          <cell r="G215" t="str">
            <v>President Directorate</v>
          </cell>
          <cell r="H215" t="str">
            <v>Dept. of Communication, Legal &amp; GA</v>
          </cell>
          <cell r="I215" t="str">
            <v>Unit of TJSL</v>
          </cell>
          <cell r="J215" t="str">
            <v>Staff of Partnership Program</v>
          </cell>
        </row>
        <row r="216">
          <cell r="A216">
            <v>4919</v>
          </cell>
          <cell r="B216" t="str">
            <v>7395274</v>
          </cell>
          <cell r="C216">
            <v>50021010</v>
          </cell>
          <cell r="D216" t="str">
            <v>YUYUN MUJIREJEKI</v>
          </cell>
          <cell r="E216" t="str">
            <v>Administration &amp; Financial Jr Officer</v>
          </cell>
          <cell r="F216" t="str">
            <v>Supervisor</v>
          </cell>
          <cell r="G216" t="str">
            <v>President Directorate</v>
          </cell>
          <cell r="H216" t="str">
            <v>Dept. of Communication, Legal &amp; GA</v>
          </cell>
          <cell r="I216" t="str">
            <v>Unit of TJSL</v>
          </cell>
          <cell r="J216" t="str">
            <v>Staff of Administration &amp; Financial</v>
          </cell>
        </row>
        <row r="217">
          <cell r="A217">
            <v>4920</v>
          </cell>
          <cell r="B217" t="str">
            <v>7406447</v>
          </cell>
          <cell r="C217">
            <v>50066808</v>
          </cell>
          <cell r="D217" t="str">
            <v>IBRAHIM</v>
          </cell>
          <cell r="E217" t="str">
            <v>Quality Control Jr Officer</v>
          </cell>
          <cell r="F217" t="str">
            <v>Supervisor</v>
          </cell>
          <cell r="G217" t="str">
            <v>Operation Directorate</v>
          </cell>
          <cell r="H217" t="str">
            <v>Dept. of Production Planning &amp; Control</v>
          </cell>
          <cell r="I217" t="str">
            <v>Unit of Quality Control</v>
          </cell>
          <cell r="J217" t="str">
            <v>Section of Quality Development &amp; Eval.</v>
          </cell>
        </row>
        <row r="218">
          <cell r="A218">
            <v>4921</v>
          </cell>
          <cell r="B218" t="str">
            <v>7302210</v>
          </cell>
          <cell r="C218">
            <v>50070709</v>
          </cell>
          <cell r="D218" t="str">
            <v>UMAR T., SE.</v>
          </cell>
          <cell r="E218" t="str">
            <v>Sultra, Sulut &amp; Gorontalo TSO</v>
          </cell>
          <cell r="F218" t="str">
            <v>Supervisor</v>
          </cell>
          <cell r="G218" t="str">
            <v>President Directorate</v>
          </cell>
          <cell r="H218" t="str">
            <v>Dept. of Sales</v>
          </cell>
          <cell r="I218" t="str">
            <v>Unit of Sales 1</v>
          </cell>
          <cell r="J218" t="str">
            <v>Section of Sultra, Sulut &amp; Gorontalo</v>
          </cell>
        </row>
        <row r="219">
          <cell r="A219">
            <v>4922</v>
          </cell>
          <cell r="B219" t="str">
            <v>7395275</v>
          </cell>
          <cell r="C219">
            <v>50068320</v>
          </cell>
          <cell r="D219" t="str">
            <v>ELDY PUTRATAMA, SE.</v>
          </cell>
          <cell r="E219" t="str">
            <v>SM of Warehouse</v>
          </cell>
          <cell r="F219" t="str">
            <v>Senior Manager</v>
          </cell>
          <cell r="G219" t="str">
            <v>Finance Risk Mgmt &amp; General Directorate</v>
          </cell>
          <cell r="I219" t="str">
            <v>Unit of Warehouse</v>
          </cell>
        </row>
        <row r="220">
          <cell r="A220">
            <v>4924</v>
          </cell>
          <cell r="B220" t="str">
            <v>7395015</v>
          </cell>
          <cell r="C220">
            <v>50066600</v>
          </cell>
          <cell r="D220" t="str">
            <v>AHMAD</v>
          </cell>
          <cell r="E220" t="str">
            <v>C TPM Officer</v>
          </cell>
          <cell r="F220" t="str">
            <v>Manager</v>
          </cell>
          <cell r="G220" t="str">
            <v>Operation Directorate</v>
          </cell>
          <cell r="H220" t="str">
            <v>Dep. of Project Mngmnt &amp; Maint. Support</v>
          </cell>
          <cell r="I220" t="str">
            <v>Staff of TPM Officer</v>
          </cell>
        </row>
        <row r="221">
          <cell r="A221">
            <v>4925</v>
          </cell>
          <cell r="B221" t="str">
            <v>7395098</v>
          </cell>
          <cell r="C221">
            <v>50008475</v>
          </cell>
          <cell r="D221" t="str">
            <v>YUSUF BUDI PAKADANG, ST.</v>
          </cell>
          <cell r="E221" t="str">
            <v>Spv of PP Electr Load Ctrl (2/3/4/5)</v>
          </cell>
          <cell r="F221" t="str">
            <v>Supervisor</v>
          </cell>
          <cell r="G221" t="str">
            <v>Operation Directorate</v>
          </cell>
          <cell r="H221" t="str">
            <v>Dept. of Mining &amp; Power Plant</v>
          </cell>
          <cell r="I221" t="str">
            <v>Unit of Power Distribution</v>
          </cell>
          <cell r="J221" t="str">
            <v>Section of Electricity Load Control</v>
          </cell>
        </row>
        <row r="222">
          <cell r="A222">
            <v>4926</v>
          </cell>
          <cell r="B222" t="str">
            <v>7395099</v>
          </cell>
          <cell r="C222">
            <v>50066699</v>
          </cell>
          <cell r="D222" t="str">
            <v>ARIFUDDIN</v>
          </cell>
          <cell r="E222" t="str">
            <v>GA &amp; Facility 2 (Tonasa 2) Jr Officer</v>
          </cell>
          <cell r="F222" t="str">
            <v>Supervisor</v>
          </cell>
          <cell r="G222" t="str">
            <v>President Directorate</v>
          </cell>
          <cell r="H222" t="str">
            <v>Dept. of Communication, Legal &amp; GA</v>
          </cell>
          <cell r="I222" t="str">
            <v>Unit of General Facility &amp; Asset</v>
          </cell>
          <cell r="J222" t="str">
            <v>Section of General Affair &amp; Facility 2</v>
          </cell>
        </row>
        <row r="223">
          <cell r="A223">
            <v>4929</v>
          </cell>
          <cell r="B223" t="str">
            <v>7302212</v>
          </cell>
          <cell r="C223">
            <v>50069315</v>
          </cell>
          <cell r="D223" t="str">
            <v>ABD.MAJID S.</v>
          </cell>
          <cell r="E223" t="str">
            <v>Spv of Operation BIP</v>
          </cell>
          <cell r="F223" t="str">
            <v>Supervisor</v>
          </cell>
          <cell r="G223" t="str">
            <v>Operation Directorate</v>
          </cell>
          <cell r="H223" t="str">
            <v>Dept. of Clinker &amp; Cement Production</v>
          </cell>
          <cell r="I223" t="str">
            <v>Unit of Derivative Product  &amp; Supporting</v>
          </cell>
          <cell r="J223" t="str">
            <v>Section of Derivative Prod. &amp; Opr. 2/3</v>
          </cell>
        </row>
        <row r="224">
          <cell r="A224">
            <v>4930</v>
          </cell>
          <cell r="B224" t="str">
            <v>7302213</v>
          </cell>
          <cell r="C224">
            <v>50071566</v>
          </cell>
          <cell r="D224" t="str">
            <v>RUSTAM AZIS</v>
          </cell>
          <cell r="E224" t="str">
            <v>Mat. Fuel &amp; Packaging Mgmt Jr Officer</v>
          </cell>
          <cell r="F224" t="str">
            <v>Supervisor</v>
          </cell>
          <cell r="G224" t="str">
            <v>Finance Risk Mgmt &amp; General Directorate</v>
          </cell>
          <cell r="I224" t="str">
            <v>Unit of Warehouse</v>
          </cell>
          <cell r="J224" t="str">
            <v>Section of Mat. Fuel &amp; Packaging Mgmt</v>
          </cell>
        </row>
        <row r="225">
          <cell r="A225">
            <v>4931</v>
          </cell>
          <cell r="B225" t="str">
            <v>7302214</v>
          </cell>
          <cell r="C225">
            <v>50069382</v>
          </cell>
          <cell r="D225" t="str">
            <v>MARKUS SULE</v>
          </cell>
          <cell r="E225" t="str">
            <v>Spv of Line 4 KCM Field Specialist</v>
          </cell>
          <cell r="F225" t="str">
            <v>Supervisor</v>
          </cell>
          <cell r="G225" t="str">
            <v>Operation Directorate</v>
          </cell>
          <cell r="H225" t="str">
            <v>Dept. of Clinker &amp; Cement Production</v>
          </cell>
          <cell r="I225" t="str">
            <v>Unit of Clinker Production</v>
          </cell>
          <cell r="J225" t="str">
            <v>Section of Line 4 RKC Operation</v>
          </cell>
        </row>
        <row r="226">
          <cell r="A226">
            <v>4932</v>
          </cell>
          <cell r="B226" t="str">
            <v>7302215</v>
          </cell>
          <cell r="C226">
            <v>50070263</v>
          </cell>
          <cell r="D226" t="str">
            <v>WANTY.R</v>
          </cell>
          <cell r="E226" t="str">
            <v>Procurement Officer</v>
          </cell>
          <cell r="F226" t="str">
            <v>Manager</v>
          </cell>
          <cell r="G226" t="str">
            <v>Direktorat Human Capital</v>
          </cell>
          <cell r="H226" t="str">
            <v>Department of Energy &amp; Materials Proc.</v>
          </cell>
          <cell r="I226" t="str">
            <v>Unit of Import Management</v>
          </cell>
        </row>
        <row r="227">
          <cell r="A227">
            <v>4933</v>
          </cell>
          <cell r="B227" t="str">
            <v>7395016</v>
          </cell>
          <cell r="C227">
            <v>50055751</v>
          </cell>
          <cell r="D227" t="str">
            <v>SUHARTO ABDULLAH</v>
          </cell>
          <cell r="E227" t="str">
            <v>Maintenance Inspection Officer</v>
          </cell>
          <cell r="F227" t="str">
            <v>Manager</v>
          </cell>
          <cell r="G227" t="str">
            <v>Operation Directorate</v>
          </cell>
          <cell r="H227" t="str">
            <v>Dept. of Maintenance</v>
          </cell>
          <cell r="I227" t="str">
            <v>Unit of Reliability Maintenance</v>
          </cell>
          <cell r="J227" t="str">
            <v>Staff of Maintenance Inspection</v>
          </cell>
        </row>
        <row r="228">
          <cell r="A228">
            <v>4934</v>
          </cell>
          <cell r="B228" t="str">
            <v>7395100</v>
          </cell>
          <cell r="C228">
            <v>50069678</v>
          </cell>
          <cell r="D228" t="str">
            <v>YUNUS PALANDONGAN</v>
          </cell>
          <cell r="E228" t="str">
            <v>PP Planning &amp; Controlling Jr Officer</v>
          </cell>
          <cell r="F228" t="str">
            <v>Supervisor</v>
          </cell>
          <cell r="G228" t="str">
            <v>Operation Directorate</v>
          </cell>
          <cell r="H228" t="str">
            <v>Dept. of Mining &amp; Power Plant</v>
          </cell>
          <cell r="I228" t="str">
            <v>Unit of Power Plant Machine Maint</v>
          </cell>
          <cell r="J228" t="str">
            <v>Section of PP Planning &amp; Controlling</v>
          </cell>
        </row>
        <row r="229">
          <cell r="A229">
            <v>4935</v>
          </cell>
          <cell r="B229" t="str">
            <v>7395155</v>
          </cell>
          <cell r="C229">
            <v>50070997</v>
          </cell>
          <cell r="D229" t="str">
            <v>EKO SUDARMANTO</v>
          </cell>
          <cell r="E229" t="str">
            <v>D Autonomous Kiln &amp; CM 4/5 Jr Officer</v>
          </cell>
          <cell r="F229" t="str">
            <v>Supervisor</v>
          </cell>
          <cell r="G229" t="str">
            <v>Operation Directorate</v>
          </cell>
          <cell r="H229" t="str">
            <v>Dept. of Clinker &amp; Cement Production</v>
          </cell>
          <cell r="I229" t="str">
            <v>Unit of Clinker Production</v>
          </cell>
          <cell r="J229" t="str">
            <v>Section of Kiln Production Coach</v>
          </cell>
        </row>
        <row r="230">
          <cell r="A230">
            <v>4936</v>
          </cell>
          <cell r="B230" t="str">
            <v>7395195</v>
          </cell>
          <cell r="C230">
            <v>50070666</v>
          </cell>
          <cell r="D230" t="str">
            <v>MUH.AMIN, SE.</v>
          </cell>
          <cell r="E230" t="str">
            <v>Sulsel TSO</v>
          </cell>
          <cell r="F230" t="str">
            <v>Supervisor</v>
          </cell>
          <cell r="G230" t="str">
            <v>President Directorate</v>
          </cell>
          <cell r="H230" t="str">
            <v>Dept. of Sales</v>
          </cell>
          <cell r="I230" t="str">
            <v>Unit of Sales 1</v>
          </cell>
          <cell r="J230" t="str">
            <v>Section of Sulsel</v>
          </cell>
        </row>
        <row r="231">
          <cell r="A231">
            <v>4937</v>
          </cell>
          <cell r="B231" t="str">
            <v>7395196</v>
          </cell>
          <cell r="C231">
            <v>50034258</v>
          </cell>
          <cell r="D231" t="str">
            <v>HASNAWING</v>
          </cell>
          <cell r="E231" t="str">
            <v>Spv of Power Plant CCR</v>
          </cell>
          <cell r="F231" t="str">
            <v>Supervisor</v>
          </cell>
          <cell r="G231" t="str">
            <v>Operation Directorate</v>
          </cell>
          <cell r="H231" t="str">
            <v>Dept. of Mining &amp; Power Plant</v>
          </cell>
          <cell r="I231" t="str">
            <v>Unit of Power Plant Operation</v>
          </cell>
          <cell r="J231" t="str">
            <v>Section of Power Plant Operation</v>
          </cell>
        </row>
        <row r="232">
          <cell r="A232">
            <v>4938</v>
          </cell>
          <cell r="B232" t="str">
            <v>7395197</v>
          </cell>
          <cell r="C232">
            <v>50069380</v>
          </cell>
          <cell r="D232" t="str">
            <v>MUSLIMIN MUNADIR, S.M.</v>
          </cell>
          <cell r="E232" t="str">
            <v>Spv of Line 4 KCM Field Specialist</v>
          </cell>
          <cell r="F232" t="str">
            <v>Supervisor</v>
          </cell>
          <cell r="G232" t="str">
            <v>Operation Directorate</v>
          </cell>
          <cell r="H232" t="str">
            <v>Dept. of Clinker &amp; Cement Production</v>
          </cell>
          <cell r="I232" t="str">
            <v>Unit of Clinker Production</v>
          </cell>
          <cell r="J232" t="str">
            <v>Section of Line 4 RKC Operation</v>
          </cell>
        </row>
        <row r="233">
          <cell r="A233">
            <v>4939</v>
          </cell>
          <cell r="B233" t="str">
            <v>7406456</v>
          </cell>
          <cell r="C233">
            <v>50053937</v>
          </cell>
          <cell r="D233" t="str">
            <v>JOHN.B</v>
          </cell>
          <cell r="E233" t="str">
            <v>Spv of Line 4 FM Field</v>
          </cell>
          <cell r="F233" t="str">
            <v>Supervisor</v>
          </cell>
          <cell r="G233" t="str">
            <v>Operation Directorate</v>
          </cell>
          <cell r="H233" t="str">
            <v>Dept. of Clinker &amp; Cement Production</v>
          </cell>
          <cell r="I233" t="str">
            <v>Unit of Cement Production</v>
          </cell>
          <cell r="J233" t="str">
            <v>Section of Line 4 Finish Mill Operation</v>
          </cell>
        </row>
        <row r="234">
          <cell r="A234">
            <v>4940</v>
          </cell>
          <cell r="B234" t="str">
            <v>7302216</v>
          </cell>
          <cell r="C234">
            <v>50021723</v>
          </cell>
          <cell r="D234" t="str">
            <v>BACHTIAR, SE.</v>
          </cell>
          <cell r="E234" t="str">
            <v>Security Jr Officer</v>
          </cell>
          <cell r="F234" t="str">
            <v>Supervisor</v>
          </cell>
          <cell r="G234" t="str">
            <v>President Directorate</v>
          </cell>
          <cell r="H234" t="str">
            <v>Dept. of Communication, Legal &amp; GA</v>
          </cell>
          <cell r="I234" t="str">
            <v>Unit of Security</v>
          </cell>
          <cell r="J234" t="str">
            <v>Staff of Security</v>
          </cell>
        </row>
        <row r="235">
          <cell r="A235">
            <v>4941</v>
          </cell>
          <cell r="B235" t="str">
            <v>7302217</v>
          </cell>
          <cell r="C235">
            <v>50069102</v>
          </cell>
          <cell r="D235" t="str">
            <v>BAHTIAR KUBA</v>
          </cell>
          <cell r="E235" t="str">
            <v>Spv of Line 2/3 Packer &amp; Bulk Field</v>
          </cell>
          <cell r="F235" t="str">
            <v>Supervisor</v>
          </cell>
          <cell r="G235" t="str">
            <v>Operation Directorate</v>
          </cell>
          <cell r="H235" t="str">
            <v>Dept. of Infrastructure</v>
          </cell>
          <cell r="I235" t="str">
            <v>Unit of Plant &amp; Port Prod Discharge Opr</v>
          </cell>
          <cell r="J235" t="str">
            <v>Section of Plant Site Packer &amp; Bulk Opr</v>
          </cell>
        </row>
        <row r="236">
          <cell r="A236">
            <v>4942</v>
          </cell>
          <cell r="B236" t="str">
            <v>7395017</v>
          </cell>
          <cell r="C236">
            <v>50024329</v>
          </cell>
          <cell r="D236" t="str">
            <v>YULIUS DAEL</v>
          </cell>
          <cell r="E236" t="str">
            <v>Spv of LS,CL,SL 2/3/4 Crusher PdM &amp; PM</v>
          </cell>
          <cell r="F236" t="str">
            <v>Supervisor</v>
          </cell>
          <cell r="G236" t="str">
            <v>Operation Directorate</v>
          </cell>
          <cell r="H236" t="str">
            <v>Dept. of Maintenance</v>
          </cell>
          <cell r="I236" t="str">
            <v>Unit of Elins Maintenance 1</v>
          </cell>
          <cell r="J236" t="str">
            <v>Section of Crusher Elins Maintenance</v>
          </cell>
        </row>
        <row r="237">
          <cell r="A237">
            <v>4943</v>
          </cell>
          <cell r="B237" t="str">
            <v>7395156</v>
          </cell>
          <cell r="C237">
            <v>50069314</v>
          </cell>
          <cell r="D237" t="str">
            <v>SAHIDE</v>
          </cell>
          <cell r="E237" t="str">
            <v>Spv of Operation BIP</v>
          </cell>
          <cell r="F237" t="str">
            <v>Supervisor</v>
          </cell>
          <cell r="G237" t="str">
            <v>Operation Directorate</v>
          </cell>
          <cell r="H237" t="str">
            <v>Dept. of Clinker &amp; Cement Production</v>
          </cell>
          <cell r="I237" t="str">
            <v>Unit of Derivative Product  &amp; Supporting</v>
          </cell>
          <cell r="J237" t="str">
            <v>Section of Derivative Prod. &amp; Opr. 2/3</v>
          </cell>
        </row>
        <row r="238">
          <cell r="A238">
            <v>4944</v>
          </cell>
          <cell r="B238" t="str">
            <v>7395198</v>
          </cell>
          <cell r="C238">
            <v>50069475</v>
          </cell>
          <cell r="D238" t="str">
            <v>ISMAIL AMIN</v>
          </cell>
          <cell r="E238" t="str">
            <v>Spv of Heavy Equip. &amp; Tyre Support Maint</v>
          </cell>
          <cell r="F238" t="str">
            <v>Supervisor</v>
          </cell>
          <cell r="G238" t="str">
            <v>Operation Directorate</v>
          </cell>
          <cell r="H238" t="str">
            <v>Dept. of Production Planning &amp; Control</v>
          </cell>
          <cell r="I238" t="str">
            <v>Unit of Production Support</v>
          </cell>
          <cell r="J238" t="str">
            <v>Section of Heavy Equipment &amp; Coal Transp</v>
          </cell>
        </row>
        <row r="239">
          <cell r="A239">
            <v>4945</v>
          </cell>
          <cell r="B239" t="str">
            <v>7395199</v>
          </cell>
          <cell r="C239">
            <v>50069571</v>
          </cell>
          <cell r="D239" t="str">
            <v>MUH.ARIEF, SE.</v>
          </cell>
          <cell r="E239" t="str">
            <v>Spv of Troubleshooting</v>
          </cell>
          <cell r="F239" t="str">
            <v>Supervisor</v>
          </cell>
          <cell r="G239" t="str">
            <v>Operation Directorate</v>
          </cell>
          <cell r="H239" t="str">
            <v>Dept. of Maintenance</v>
          </cell>
          <cell r="I239" t="str">
            <v>Unit of Port Product Discharge Maint.</v>
          </cell>
          <cell r="J239" t="str">
            <v>Section of Port Facility Machine Maint.</v>
          </cell>
        </row>
        <row r="240">
          <cell r="A240">
            <v>4946</v>
          </cell>
          <cell r="B240" t="str">
            <v>7395276</v>
          </cell>
          <cell r="C240">
            <v>50007320</v>
          </cell>
          <cell r="D240" t="str">
            <v>KRISTINA KEBO</v>
          </cell>
          <cell r="E240" t="str">
            <v>Secretariate &amp; Protocol Jr Officer</v>
          </cell>
          <cell r="F240" t="str">
            <v>Supervisor</v>
          </cell>
          <cell r="G240" t="str">
            <v>President Directorate</v>
          </cell>
          <cell r="H240" t="str">
            <v>Dept. of Communication, Legal &amp; GA</v>
          </cell>
          <cell r="I240" t="str">
            <v>Unit of Communication &amp; Secretariate</v>
          </cell>
          <cell r="J240" t="str">
            <v>Staff of Secretariate &amp; Protocol</v>
          </cell>
        </row>
        <row r="241">
          <cell r="A241">
            <v>4947</v>
          </cell>
          <cell r="B241" t="str">
            <v>7395277</v>
          </cell>
          <cell r="C241">
            <v>50070193</v>
          </cell>
          <cell r="D241" t="str">
            <v>ALBERTIN SAGTI, SE.</v>
          </cell>
          <cell r="E241" t="str">
            <v>Procurement Jr Officer</v>
          </cell>
          <cell r="F241" t="str">
            <v>Supervisor</v>
          </cell>
          <cell r="G241" t="str">
            <v>Direktorat Human Capital</v>
          </cell>
          <cell r="H241" t="str">
            <v>Department of Services Procurement</v>
          </cell>
          <cell r="I241" t="str">
            <v>Unit of Logistic Procurement</v>
          </cell>
        </row>
        <row r="242">
          <cell r="A242">
            <v>4949</v>
          </cell>
          <cell r="B242" t="str">
            <v>7406461</v>
          </cell>
          <cell r="C242">
            <v>50071561</v>
          </cell>
          <cell r="D242" t="str">
            <v>SAFARUDDIN</v>
          </cell>
          <cell r="E242" t="str">
            <v>Sparepart &amp; Consumable Mgmt Adm officer</v>
          </cell>
          <cell r="F242" t="str">
            <v>Associate</v>
          </cell>
          <cell r="G242" t="str">
            <v>Finance Risk Mgmt &amp; General Directorate</v>
          </cell>
          <cell r="I242" t="str">
            <v>Unit of Warehouse</v>
          </cell>
          <cell r="J242" t="str">
            <v>Section of Sparepart &amp; Consumable Mgmt</v>
          </cell>
        </row>
        <row r="243">
          <cell r="A243">
            <v>4950</v>
          </cell>
          <cell r="B243" t="str">
            <v>7301002</v>
          </cell>
          <cell r="C243">
            <v>50007190</v>
          </cell>
          <cell r="D243" t="str">
            <v>A.IRSAL WAHID</v>
          </cell>
          <cell r="E243" t="str">
            <v>Internal Audit Officer</v>
          </cell>
          <cell r="F243" t="str">
            <v>Manager</v>
          </cell>
          <cell r="G243" t="str">
            <v>President Directorate</v>
          </cell>
          <cell r="H243" t="str">
            <v>Department of Internal Audit</v>
          </cell>
          <cell r="I243" t="str">
            <v>Staff of Internal Audit</v>
          </cell>
        </row>
        <row r="244">
          <cell r="A244">
            <v>4951</v>
          </cell>
          <cell r="B244" t="str">
            <v>7302218</v>
          </cell>
          <cell r="C244">
            <v>50068535</v>
          </cell>
          <cell r="D244" t="str">
            <v>ABD.LATIF</v>
          </cell>
          <cell r="E244" t="str">
            <v>Shipment Management Adm Officer</v>
          </cell>
          <cell r="F244" t="str">
            <v>Associate</v>
          </cell>
          <cell r="G244" t="str">
            <v>President Directorate</v>
          </cell>
          <cell r="H244" t="str">
            <v>Dept. of Sales</v>
          </cell>
          <cell r="I244" t="str">
            <v>Unit of Outbound Logistic</v>
          </cell>
          <cell r="J244" t="str">
            <v>Section of Shipment Management</v>
          </cell>
        </row>
        <row r="245">
          <cell r="A245">
            <v>4952</v>
          </cell>
          <cell r="B245" t="str">
            <v>7302219</v>
          </cell>
          <cell r="C245">
            <v>50055595</v>
          </cell>
          <cell r="D245" t="str">
            <v>HAERUDDIN N.</v>
          </cell>
          <cell r="E245" t="str">
            <v>Spv of Line 4/5 Silica Crusher</v>
          </cell>
          <cell r="F245" t="str">
            <v>Supervisor</v>
          </cell>
          <cell r="G245" t="str">
            <v>Operation Directorate</v>
          </cell>
          <cell r="H245" t="str">
            <v>Dept. of Mining &amp; Power Plant</v>
          </cell>
          <cell r="I245" t="str">
            <v>Unit of Raw Material Management</v>
          </cell>
          <cell r="J245" t="str">
            <v>Section of Clay Crusher Operation</v>
          </cell>
        </row>
        <row r="246">
          <cell r="A246">
            <v>4953</v>
          </cell>
          <cell r="B246" t="str">
            <v>7395101</v>
          </cell>
          <cell r="C246">
            <v>50069106</v>
          </cell>
          <cell r="D246" t="str">
            <v>AGUS</v>
          </cell>
          <cell r="E246" t="str">
            <v>Spv of Line 4 Packer &amp; Bulk Field</v>
          </cell>
          <cell r="F246" t="str">
            <v>Supervisor</v>
          </cell>
          <cell r="G246" t="str">
            <v>Operation Directorate</v>
          </cell>
          <cell r="H246" t="str">
            <v>Dept. of Infrastructure</v>
          </cell>
          <cell r="I246" t="str">
            <v>Unit of Plant &amp; Port Prod Discharge Opr</v>
          </cell>
          <cell r="J246" t="str">
            <v>Section of Plant Site Packer &amp; Bulk Opr</v>
          </cell>
        </row>
        <row r="247">
          <cell r="A247">
            <v>4954</v>
          </cell>
          <cell r="B247" t="str">
            <v>7395102</v>
          </cell>
          <cell r="C247">
            <v>50065465</v>
          </cell>
          <cell r="D247" t="str">
            <v>AGUS RIFANDY</v>
          </cell>
          <cell r="E247" t="str">
            <v>Spv of LS, CL, SL 5 PvM</v>
          </cell>
          <cell r="F247" t="str">
            <v>Supervisor</v>
          </cell>
          <cell r="G247" t="str">
            <v>Operation Directorate</v>
          </cell>
          <cell r="H247" t="str">
            <v>Dept. of Maintenance</v>
          </cell>
          <cell r="I247" t="str">
            <v>Unit of Machine Maintenance 1</v>
          </cell>
          <cell r="J247" t="str">
            <v>Section of Crusher Machine &amp; Conv Maint.</v>
          </cell>
        </row>
        <row r="248">
          <cell r="A248">
            <v>4955</v>
          </cell>
          <cell r="B248" t="str">
            <v>7406465</v>
          </cell>
          <cell r="C248">
            <v>50069487</v>
          </cell>
          <cell r="D248" t="str">
            <v>M.RIVAI.AP</v>
          </cell>
          <cell r="E248" t="str">
            <v>Spv of AFR &amp; 3rd Material (Shift)</v>
          </cell>
          <cell r="F248" t="str">
            <v>Supervisor</v>
          </cell>
          <cell r="G248" t="str">
            <v>Operation Directorate</v>
          </cell>
          <cell r="H248" t="str">
            <v>Dept. of Production Planning &amp; Control</v>
          </cell>
          <cell r="I248" t="str">
            <v>Unit of AFR &amp; Energy</v>
          </cell>
          <cell r="J248" t="str">
            <v>Section of AFR &amp; 3rd Material</v>
          </cell>
        </row>
        <row r="249">
          <cell r="A249">
            <v>4956</v>
          </cell>
          <cell r="B249" t="str">
            <v>7302220</v>
          </cell>
          <cell r="C249">
            <v>50007332</v>
          </cell>
          <cell r="D249" t="str">
            <v>ANDI MULYADI S., SE.</v>
          </cell>
          <cell r="E249" t="str">
            <v>D Legal Jr Officer</v>
          </cell>
          <cell r="F249" t="str">
            <v>Supervisor</v>
          </cell>
          <cell r="G249" t="str">
            <v>President Directorate</v>
          </cell>
          <cell r="H249" t="str">
            <v>Dept. of Communication, Legal &amp; GA</v>
          </cell>
          <cell r="I249" t="str">
            <v>Unit of Legal</v>
          </cell>
          <cell r="J249" t="str">
            <v>Staff of legal</v>
          </cell>
        </row>
        <row r="250">
          <cell r="A250">
            <v>4957</v>
          </cell>
          <cell r="B250" t="str">
            <v>7302221</v>
          </cell>
          <cell r="C250">
            <v>50069486</v>
          </cell>
          <cell r="D250" t="str">
            <v>ABD.RAHMAN.A</v>
          </cell>
          <cell r="E250" t="str">
            <v>Spv of AFR &amp; 3rd Material (Shift)</v>
          </cell>
          <cell r="F250" t="str">
            <v>Supervisor</v>
          </cell>
          <cell r="G250" t="str">
            <v>Operation Directorate</v>
          </cell>
          <cell r="H250" t="str">
            <v>Dept. of Production Planning &amp; Control</v>
          </cell>
          <cell r="I250" t="str">
            <v>Unit of AFR &amp; Energy</v>
          </cell>
          <cell r="J250" t="str">
            <v>Section of AFR &amp; 3rd Material</v>
          </cell>
        </row>
        <row r="251">
          <cell r="A251">
            <v>4958</v>
          </cell>
          <cell r="B251" t="str">
            <v>7302222</v>
          </cell>
          <cell r="C251">
            <v>50046169</v>
          </cell>
          <cell r="D251" t="str">
            <v>FACHRUDDIN</v>
          </cell>
          <cell r="E251" t="str">
            <v>Troubleshooting Jr Officer</v>
          </cell>
          <cell r="F251" t="str">
            <v>Supervisor</v>
          </cell>
          <cell r="G251" t="str">
            <v>Operation Directorate</v>
          </cell>
          <cell r="H251" t="str">
            <v>Dept. of Maintenance</v>
          </cell>
          <cell r="I251" t="str">
            <v>Unit of Reliability Maintenance</v>
          </cell>
          <cell r="J251" t="str">
            <v>Staff of Troubleshooting</v>
          </cell>
        </row>
        <row r="252">
          <cell r="A252">
            <v>4959</v>
          </cell>
          <cell r="B252" t="str">
            <v>7302223</v>
          </cell>
          <cell r="C252">
            <v>50047083</v>
          </cell>
          <cell r="D252" t="str">
            <v>MARANG</v>
          </cell>
          <cell r="E252" t="str">
            <v>Troubleshooting Jr Officer</v>
          </cell>
          <cell r="F252" t="str">
            <v>Supervisor</v>
          </cell>
          <cell r="G252" t="str">
            <v>Operation Directorate</v>
          </cell>
          <cell r="H252" t="str">
            <v>Dept. of Maintenance</v>
          </cell>
          <cell r="I252" t="str">
            <v>Unit of Reliability Maintenance</v>
          </cell>
          <cell r="J252" t="str">
            <v>Staff of Troubleshooting</v>
          </cell>
        </row>
        <row r="253">
          <cell r="A253">
            <v>4960</v>
          </cell>
          <cell r="B253" t="str">
            <v>7302224</v>
          </cell>
          <cell r="C253">
            <v>50071477</v>
          </cell>
          <cell r="D253" t="str">
            <v>SURADI</v>
          </cell>
          <cell r="E253" t="str">
            <v>HC OD &amp; Career Management Jr Officer</v>
          </cell>
          <cell r="F253" t="str">
            <v>Supervisor</v>
          </cell>
          <cell r="G253" t="str">
            <v>Finance Risk Mgmt &amp; General Directorate</v>
          </cell>
          <cell r="H253" t="str">
            <v>Department of Human Capital &amp; GRC</v>
          </cell>
          <cell r="I253" t="str">
            <v>Unit of HC Planning &amp; Development</v>
          </cell>
          <cell r="J253" t="str">
            <v>Section of HC OD &amp; Career Management</v>
          </cell>
        </row>
        <row r="254">
          <cell r="A254">
            <v>4961</v>
          </cell>
          <cell r="B254" t="str">
            <v>7395103</v>
          </cell>
          <cell r="C254">
            <v>50024606</v>
          </cell>
          <cell r="D254" t="str">
            <v>KARLIN</v>
          </cell>
          <cell r="E254" t="str">
            <v>Spv of Power Plant CCR</v>
          </cell>
          <cell r="F254" t="str">
            <v>Supervisor</v>
          </cell>
          <cell r="G254" t="str">
            <v>Operation Directorate</v>
          </cell>
          <cell r="H254" t="str">
            <v>Dept. of Mining &amp; Power Plant</v>
          </cell>
          <cell r="I254" t="str">
            <v>Unit of Power Plant Operation</v>
          </cell>
          <cell r="J254" t="str">
            <v>Section of Power Plant Operation</v>
          </cell>
        </row>
        <row r="255">
          <cell r="A255">
            <v>4962</v>
          </cell>
          <cell r="B255" t="str">
            <v>7395200</v>
          </cell>
          <cell r="C255">
            <v>50047832</v>
          </cell>
          <cell r="D255" t="str">
            <v>FARIS AQIL, SE.</v>
          </cell>
          <cell r="E255" t="str">
            <v>PGO Jr Officer</v>
          </cell>
          <cell r="F255" t="str">
            <v>Supervisor</v>
          </cell>
          <cell r="G255" t="str">
            <v>Operation Directorate</v>
          </cell>
          <cell r="H255" t="str">
            <v>Dept. of Maintenance</v>
          </cell>
          <cell r="I255" t="str">
            <v>Unit of Reliability Maintenance</v>
          </cell>
          <cell r="J255" t="str">
            <v>Staff of PGO</v>
          </cell>
        </row>
        <row r="256">
          <cell r="A256">
            <v>4963</v>
          </cell>
          <cell r="B256" t="str">
            <v>7395202</v>
          </cell>
          <cell r="C256">
            <v>50069573</v>
          </cell>
          <cell r="D256" t="str">
            <v>SYAMSU RIJAL</v>
          </cell>
          <cell r="E256" t="str">
            <v>Spv of Packer Port Machine Maint</v>
          </cell>
          <cell r="F256" t="str">
            <v>Supervisor</v>
          </cell>
          <cell r="G256" t="str">
            <v>Operation Directorate</v>
          </cell>
          <cell r="H256" t="str">
            <v>Dept. of Maintenance</v>
          </cell>
          <cell r="I256" t="str">
            <v>Unit of Port Product Discharge Maint.</v>
          </cell>
          <cell r="J256" t="str">
            <v>Section of Port Facility Machine Maint.</v>
          </cell>
        </row>
        <row r="257">
          <cell r="A257">
            <v>4964</v>
          </cell>
          <cell r="B257" t="str">
            <v>7395203</v>
          </cell>
          <cell r="C257">
            <v>50053163</v>
          </cell>
          <cell r="D257" t="str">
            <v>SAHABUDDIN</v>
          </cell>
          <cell r="E257" t="str">
            <v>Spv of CCR RKC &amp; Trass Dryer 4</v>
          </cell>
          <cell r="F257" t="str">
            <v>Supervisor</v>
          </cell>
          <cell r="G257" t="str">
            <v>Operation Directorate</v>
          </cell>
          <cell r="H257" t="str">
            <v>Dept. of Clinker &amp; Cement Production</v>
          </cell>
          <cell r="I257" t="str">
            <v>Unit of Clinker Production</v>
          </cell>
          <cell r="J257" t="str">
            <v>Section of Line 4 RKC Operation</v>
          </cell>
        </row>
        <row r="258">
          <cell r="A258">
            <v>4965</v>
          </cell>
          <cell r="B258" t="str">
            <v>7395278</v>
          </cell>
          <cell r="C258">
            <v>50069619</v>
          </cell>
          <cell r="D258" t="str">
            <v>SUPRIADI</v>
          </cell>
          <cell r="E258" t="str">
            <v>Spv of Clay Mining</v>
          </cell>
          <cell r="F258" t="str">
            <v>Supervisor</v>
          </cell>
          <cell r="G258" t="str">
            <v>Operation Directorate</v>
          </cell>
          <cell r="H258" t="str">
            <v>Dept. of Mining &amp; Power Plant</v>
          </cell>
          <cell r="I258" t="str">
            <v>Unit of Mining Operation</v>
          </cell>
          <cell r="J258" t="str">
            <v>Section of Clay Mining</v>
          </cell>
        </row>
        <row r="259">
          <cell r="A259">
            <v>4966</v>
          </cell>
          <cell r="B259" t="str">
            <v>7398024</v>
          </cell>
          <cell r="C259">
            <v>50067233</v>
          </cell>
          <cell r="D259" t="str">
            <v>A.CHAERUDDIN PI., SE. MM.</v>
          </cell>
          <cell r="E259" t="str">
            <v>OOTC (Press Dir of DPST)</v>
          </cell>
          <cell r="F259" t="str">
            <v>General Manager</v>
          </cell>
          <cell r="G259" t="str">
            <v>President Directorate</v>
          </cell>
          <cell r="I259" t="str">
            <v>Staff of Pres Dir (Dana Pensiun)</v>
          </cell>
        </row>
        <row r="260">
          <cell r="A260">
            <v>4967</v>
          </cell>
          <cell r="B260" t="str">
            <v>7406470</v>
          </cell>
          <cell r="C260">
            <v>50069669</v>
          </cell>
          <cell r="D260" t="str">
            <v>M.YUNUS</v>
          </cell>
          <cell r="E260" t="str">
            <v>Spv of PdM &amp; PM Schedule CUS Elins</v>
          </cell>
          <cell r="F260" t="str">
            <v>Supervisor</v>
          </cell>
          <cell r="G260" t="str">
            <v>Operation Directorate</v>
          </cell>
          <cell r="H260" t="str">
            <v>Dept. of Mining &amp; Power Plant</v>
          </cell>
          <cell r="I260" t="str">
            <v>Unit of Power Plant Machine Maint</v>
          </cell>
          <cell r="J260" t="str">
            <v>Section of CUS Maintenance</v>
          </cell>
        </row>
        <row r="261">
          <cell r="A261">
            <v>4968</v>
          </cell>
          <cell r="B261" t="str">
            <v>7406471</v>
          </cell>
          <cell r="C261">
            <v>50061756</v>
          </cell>
          <cell r="D261" t="str">
            <v>M.ALI</v>
          </cell>
          <cell r="E261" t="str">
            <v>Spv of BKS Facilities OHS</v>
          </cell>
          <cell r="F261" t="str">
            <v>Supervisor</v>
          </cell>
          <cell r="G261" t="str">
            <v>Operation Directorate</v>
          </cell>
          <cell r="H261" t="str">
            <v>Dept. of Production Planning &amp; Control</v>
          </cell>
          <cell r="I261" t="str">
            <v>Unit of OHS</v>
          </cell>
          <cell r="J261" t="str">
            <v>Section of BKS Occupational Healt &amp; Saf.</v>
          </cell>
        </row>
        <row r="262">
          <cell r="A262">
            <v>4969</v>
          </cell>
          <cell r="B262" t="str">
            <v>7406472</v>
          </cell>
          <cell r="C262">
            <v>50070306</v>
          </cell>
          <cell r="D262" t="str">
            <v>AZIS ACHMAD</v>
          </cell>
          <cell r="E262" t="str">
            <v>E Assc of Autonomous</v>
          </cell>
          <cell r="F262" t="str">
            <v>Associate</v>
          </cell>
          <cell r="G262" t="str">
            <v>Operation Directorate</v>
          </cell>
          <cell r="H262" t="str">
            <v>Dept. of Infrastructure</v>
          </cell>
          <cell r="I262" t="str">
            <v>Unit of Plant &amp; Port Prod Discharge Opr</v>
          </cell>
          <cell r="J262" t="str">
            <v>Section of Port Opr (Packer &amp; Curah)</v>
          </cell>
        </row>
        <row r="263">
          <cell r="A263">
            <v>4970</v>
          </cell>
          <cell r="B263" t="str">
            <v>7302225</v>
          </cell>
          <cell r="C263">
            <v>50066794</v>
          </cell>
          <cell r="D263" t="str">
            <v>HAMBALI KADU</v>
          </cell>
          <cell r="E263" t="str">
            <v>Spv of X - Ray &amp; Analysis (4)</v>
          </cell>
          <cell r="F263" t="str">
            <v>Supervisor</v>
          </cell>
          <cell r="G263" t="str">
            <v>Operation Directorate</v>
          </cell>
          <cell r="H263" t="str">
            <v>Dept. of Production Planning &amp; Control</v>
          </cell>
          <cell r="I263" t="str">
            <v>Unit of Quality Control</v>
          </cell>
          <cell r="J263" t="str">
            <v>Section of Quality Control (4/5)</v>
          </cell>
        </row>
        <row r="264">
          <cell r="A264">
            <v>4971</v>
          </cell>
          <cell r="B264" t="str">
            <v>7302226</v>
          </cell>
          <cell r="C264">
            <v>50053945</v>
          </cell>
          <cell r="D264" t="str">
            <v>RAMLAN</v>
          </cell>
          <cell r="E264" t="str">
            <v>Spv of Line 4 FM Field</v>
          </cell>
          <cell r="F264" t="str">
            <v>Supervisor</v>
          </cell>
          <cell r="G264" t="str">
            <v>Operation Directorate</v>
          </cell>
          <cell r="H264" t="str">
            <v>Dept. of Clinker &amp; Cement Production</v>
          </cell>
          <cell r="I264" t="str">
            <v>Unit of Cement Production</v>
          </cell>
          <cell r="J264" t="str">
            <v>Section of Line 4 Finish Mill Operation</v>
          </cell>
        </row>
        <row r="265">
          <cell r="A265">
            <v>4972</v>
          </cell>
          <cell r="B265" t="str">
            <v>7302227</v>
          </cell>
          <cell r="C265">
            <v>50034259</v>
          </cell>
          <cell r="D265" t="str">
            <v>SYAHRIR.HN.</v>
          </cell>
          <cell r="E265" t="str">
            <v>Spv of Power Plant CCR</v>
          </cell>
          <cell r="F265" t="str">
            <v>Supervisor</v>
          </cell>
          <cell r="G265" t="str">
            <v>Operation Directorate</v>
          </cell>
          <cell r="H265" t="str">
            <v>Dept. of Mining &amp; Power Plant</v>
          </cell>
          <cell r="I265" t="str">
            <v>Unit of Power Plant Operation</v>
          </cell>
          <cell r="J265" t="str">
            <v>Section of Power Plant Operation</v>
          </cell>
        </row>
        <row r="266">
          <cell r="A266">
            <v>4973</v>
          </cell>
          <cell r="B266" t="str">
            <v>7302228</v>
          </cell>
          <cell r="C266">
            <v>50071556</v>
          </cell>
          <cell r="D266" t="str">
            <v>MUH.RUSTAM</v>
          </cell>
          <cell r="E266" t="str">
            <v>Sparepart &amp; Consumable Mgmt Jr officer</v>
          </cell>
          <cell r="F266" t="str">
            <v>Supervisor</v>
          </cell>
          <cell r="G266" t="str">
            <v>Finance Risk Mgmt &amp; General Directorate</v>
          </cell>
          <cell r="I266" t="str">
            <v>Unit of Warehouse</v>
          </cell>
          <cell r="J266" t="str">
            <v>Section of Sparepart &amp; Consumable Mgmt</v>
          </cell>
        </row>
        <row r="267">
          <cell r="A267">
            <v>4974</v>
          </cell>
          <cell r="B267" t="str">
            <v>7302229</v>
          </cell>
          <cell r="C267">
            <v>50068532</v>
          </cell>
          <cell r="D267" t="str">
            <v>SANGKALA</v>
          </cell>
          <cell r="E267" t="str">
            <v>Shipment Management Jr Officer</v>
          </cell>
          <cell r="F267" t="str">
            <v>Supervisor</v>
          </cell>
          <cell r="G267" t="str">
            <v>President Directorate</v>
          </cell>
          <cell r="H267" t="str">
            <v>Dept. of Sales</v>
          </cell>
          <cell r="I267" t="str">
            <v>Unit of Outbound Logistic</v>
          </cell>
          <cell r="J267" t="str">
            <v>Section of Shipment Management</v>
          </cell>
        </row>
        <row r="268">
          <cell r="A268">
            <v>4975</v>
          </cell>
          <cell r="B268" t="str">
            <v>7302230</v>
          </cell>
          <cell r="C268">
            <v>50065983</v>
          </cell>
          <cell r="D268" t="str">
            <v>RUSTAM</v>
          </cell>
          <cell r="E268" t="str">
            <v>Verification Jr Officer</v>
          </cell>
          <cell r="F268" t="str">
            <v>Supervisor</v>
          </cell>
          <cell r="G268" t="str">
            <v>Finance Risk Mgmt &amp; General Directorate</v>
          </cell>
          <cell r="H268" t="str">
            <v>Department of Finance &amp; Accounting</v>
          </cell>
          <cell r="I268" t="str">
            <v>Unit of Accounting</v>
          </cell>
          <cell r="J268" t="str">
            <v>Section of Verification</v>
          </cell>
        </row>
        <row r="269">
          <cell r="A269">
            <v>4976</v>
          </cell>
          <cell r="B269" t="str">
            <v>7395019</v>
          </cell>
          <cell r="C269">
            <v>50066818</v>
          </cell>
          <cell r="D269" t="str">
            <v>ABD.RAHMAN P.</v>
          </cell>
          <cell r="E269" t="str">
            <v>Troubleshooting Officer</v>
          </cell>
          <cell r="F269" t="str">
            <v>Manager</v>
          </cell>
          <cell r="G269" t="str">
            <v>Operation Directorate</v>
          </cell>
          <cell r="H269" t="str">
            <v>Dept. of Maintenance</v>
          </cell>
          <cell r="I269" t="str">
            <v>Unit of Reliability Maintenance</v>
          </cell>
          <cell r="J269" t="str">
            <v>Staff of Troubleshooting</v>
          </cell>
        </row>
        <row r="270">
          <cell r="A270">
            <v>4977</v>
          </cell>
          <cell r="B270" t="str">
            <v>7395104</v>
          </cell>
          <cell r="C270">
            <v>50069591</v>
          </cell>
          <cell r="D270" t="str">
            <v>RUSLI, ST.</v>
          </cell>
          <cell r="E270" t="str">
            <v>PGO Officer</v>
          </cell>
          <cell r="F270" t="str">
            <v>Manager</v>
          </cell>
          <cell r="G270" t="str">
            <v>Operation Directorate</v>
          </cell>
          <cell r="H270" t="str">
            <v>Dept. of Maintenance</v>
          </cell>
          <cell r="I270" t="str">
            <v>Unit of Reliability Maintenance</v>
          </cell>
          <cell r="J270" t="str">
            <v>Staff of PGO</v>
          </cell>
        </row>
        <row r="271">
          <cell r="A271">
            <v>4978</v>
          </cell>
          <cell r="B271" t="str">
            <v>7395279</v>
          </cell>
          <cell r="C271">
            <v>50069127</v>
          </cell>
          <cell r="D271" t="str">
            <v>ASZRIADI, SE.</v>
          </cell>
          <cell r="E271" t="str">
            <v>Mgr of Land Interplant &amp; DEPO Mngmnt</v>
          </cell>
          <cell r="F271" t="str">
            <v>Manager</v>
          </cell>
          <cell r="G271" t="str">
            <v>Operation Directorate</v>
          </cell>
          <cell r="H271" t="str">
            <v>Dept. of Infrastructure</v>
          </cell>
          <cell r="I271" t="str">
            <v>Unit of Interplant Logistic</v>
          </cell>
          <cell r="J271" t="str">
            <v>Section of Land Interplant &amp; DEPO Mngmnt</v>
          </cell>
        </row>
        <row r="272">
          <cell r="A272">
            <v>4979</v>
          </cell>
          <cell r="B272" t="str">
            <v>7302231</v>
          </cell>
          <cell r="C272">
            <v>50069375</v>
          </cell>
          <cell r="D272" t="str">
            <v>SYAMSUL</v>
          </cell>
          <cell r="E272" t="str">
            <v>Spv of Line 4 RM Field Specialist</v>
          </cell>
          <cell r="F272" t="str">
            <v>Supervisor</v>
          </cell>
          <cell r="G272" t="str">
            <v>Operation Directorate</v>
          </cell>
          <cell r="H272" t="str">
            <v>Dept. of Clinker &amp; Cement Production</v>
          </cell>
          <cell r="I272" t="str">
            <v>Unit of Clinker Production</v>
          </cell>
          <cell r="J272" t="str">
            <v>Section of Line 4 RKC Operation</v>
          </cell>
        </row>
        <row r="273">
          <cell r="A273">
            <v>4980</v>
          </cell>
          <cell r="B273" t="str">
            <v>7302232</v>
          </cell>
          <cell r="C273">
            <v>50069679</v>
          </cell>
          <cell r="D273" t="str">
            <v>HAIRUDDIN, SE., MM.</v>
          </cell>
          <cell r="E273" t="str">
            <v>PP Planning &amp; Controlling Jr Officer</v>
          </cell>
          <cell r="F273" t="str">
            <v>Supervisor</v>
          </cell>
          <cell r="G273" t="str">
            <v>Operation Directorate</v>
          </cell>
          <cell r="H273" t="str">
            <v>Dept. of Mining &amp; Power Plant</v>
          </cell>
          <cell r="I273" t="str">
            <v>Unit of Power Plant Machine Maint</v>
          </cell>
          <cell r="J273" t="str">
            <v>Section of PP Planning &amp; Controlling</v>
          </cell>
        </row>
        <row r="274">
          <cell r="A274">
            <v>4981</v>
          </cell>
          <cell r="B274" t="str">
            <v>7395157</v>
          </cell>
          <cell r="C274">
            <v>50069129</v>
          </cell>
          <cell r="D274" t="str">
            <v>JOHN PERDI.L</v>
          </cell>
          <cell r="E274" t="str">
            <v>Land Interplant &amp; DEPO Mngmnt Jr Officer</v>
          </cell>
          <cell r="F274" t="str">
            <v>Supervisor</v>
          </cell>
          <cell r="G274" t="str">
            <v>Operation Directorate</v>
          </cell>
          <cell r="H274" t="str">
            <v>Dept. of Infrastructure</v>
          </cell>
          <cell r="I274" t="str">
            <v>Unit of Interplant Logistic</v>
          </cell>
          <cell r="J274" t="str">
            <v>Section of Land Interplant &amp; DEPO Mngmnt</v>
          </cell>
        </row>
        <row r="275">
          <cell r="A275">
            <v>4982</v>
          </cell>
          <cell r="B275" t="str">
            <v>7395204</v>
          </cell>
          <cell r="C275">
            <v>50070159</v>
          </cell>
          <cell r="D275" t="str">
            <v>AZHARI, SE.</v>
          </cell>
          <cell r="E275" t="str">
            <v>Procurement Jr Officer</v>
          </cell>
          <cell r="F275" t="str">
            <v>Supervisor</v>
          </cell>
          <cell r="G275" t="str">
            <v>Direktorat Human Capital</v>
          </cell>
          <cell r="H275" t="str">
            <v>Department of Services Procurement</v>
          </cell>
          <cell r="I275" t="str">
            <v>Unit of Production Service 1 Procurement</v>
          </cell>
        </row>
        <row r="276">
          <cell r="A276">
            <v>4983</v>
          </cell>
          <cell r="B276" t="str">
            <v>7406476</v>
          </cell>
          <cell r="C276">
            <v>50069891</v>
          </cell>
          <cell r="D276" t="str">
            <v>RUSLI</v>
          </cell>
          <cell r="E276" t="str">
            <v>E Sea Transportation Adm &amp; Eval Officer</v>
          </cell>
          <cell r="F276" t="str">
            <v>Associate</v>
          </cell>
          <cell r="G276" t="str">
            <v>President Directorate</v>
          </cell>
          <cell r="H276" t="str">
            <v>Dept. of Sales</v>
          </cell>
          <cell r="I276" t="str">
            <v>Unit of Outbound Logistic</v>
          </cell>
          <cell r="J276" t="str">
            <v>Section of Sea Transportation</v>
          </cell>
        </row>
        <row r="277">
          <cell r="A277">
            <v>4984</v>
          </cell>
          <cell r="B277" t="str">
            <v>7302233</v>
          </cell>
          <cell r="C277">
            <v>50071557</v>
          </cell>
          <cell r="D277" t="str">
            <v>ILYAS</v>
          </cell>
          <cell r="E277" t="str">
            <v>Sparepart &amp; Consumable Mgmt Jr officer</v>
          </cell>
          <cell r="F277" t="str">
            <v>Supervisor</v>
          </cell>
          <cell r="G277" t="str">
            <v>Finance Risk Mgmt &amp; General Directorate</v>
          </cell>
          <cell r="I277" t="str">
            <v>Unit of Warehouse</v>
          </cell>
          <cell r="J277" t="str">
            <v>Section of Sparepart &amp; Consumable Mgmt</v>
          </cell>
        </row>
        <row r="278">
          <cell r="A278">
            <v>4985</v>
          </cell>
          <cell r="B278" t="str">
            <v>7302234</v>
          </cell>
          <cell r="C278">
            <v>50069114</v>
          </cell>
          <cell r="D278" t="str">
            <v>DANIEL PAROMON</v>
          </cell>
          <cell r="E278" t="str">
            <v>Spv of Bag Packer Plant Inspection</v>
          </cell>
          <cell r="F278" t="str">
            <v>Supervisor</v>
          </cell>
          <cell r="G278" t="str">
            <v>Operation Directorate</v>
          </cell>
          <cell r="H278" t="str">
            <v>Dept. of Infrastructure</v>
          </cell>
          <cell r="I278" t="str">
            <v>Unit of Plant &amp; Port Prod Discharge Opr</v>
          </cell>
          <cell r="J278" t="str">
            <v>Section of Plant Site Packer &amp; Bulk Opr</v>
          </cell>
        </row>
        <row r="279">
          <cell r="A279">
            <v>4986</v>
          </cell>
          <cell r="B279" t="str">
            <v>7302235</v>
          </cell>
          <cell r="C279">
            <v>50066704</v>
          </cell>
          <cell r="D279" t="str">
            <v>DORCE</v>
          </cell>
          <cell r="E279" t="str">
            <v>Household Jr Officer</v>
          </cell>
          <cell r="F279" t="str">
            <v>Supervisor</v>
          </cell>
          <cell r="G279" t="str">
            <v>President Directorate</v>
          </cell>
          <cell r="H279" t="str">
            <v>Dept. of Communication, Legal &amp; GA</v>
          </cell>
          <cell r="I279" t="str">
            <v>Unit of General Facility &amp; Asset</v>
          </cell>
          <cell r="J279" t="str">
            <v>Section of Household</v>
          </cell>
        </row>
        <row r="280">
          <cell r="A280">
            <v>4987</v>
          </cell>
          <cell r="B280" t="str">
            <v>7302236</v>
          </cell>
          <cell r="C280">
            <v>50071558</v>
          </cell>
          <cell r="D280" t="str">
            <v>MULYADI M.</v>
          </cell>
          <cell r="E280" t="str">
            <v>Sparepart &amp; Consumable Mgmt Jr officer</v>
          </cell>
          <cell r="F280" t="str">
            <v>Supervisor</v>
          </cell>
          <cell r="G280" t="str">
            <v>Finance Risk Mgmt &amp; General Directorate</v>
          </cell>
          <cell r="I280" t="str">
            <v>Unit of Warehouse</v>
          </cell>
          <cell r="J280" t="str">
            <v>Section of Sparepart &amp; Consumable Mgmt</v>
          </cell>
        </row>
        <row r="281">
          <cell r="A281">
            <v>4988</v>
          </cell>
          <cell r="B281" t="str">
            <v>7302237</v>
          </cell>
          <cell r="C281">
            <v>50061709</v>
          </cell>
          <cell r="D281" t="str">
            <v>DIPARTO ALDES ABIA A.</v>
          </cell>
          <cell r="E281" t="str">
            <v>Spv of Plant OHS</v>
          </cell>
          <cell r="F281" t="str">
            <v>Supervisor</v>
          </cell>
          <cell r="G281" t="str">
            <v>Operation Directorate</v>
          </cell>
          <cell r="H281" t="str">
            <v>Dept. of Production Planning &amp; Control</v>
          </cell>
          <cell r="I281" t="str">
            <v>Unit of OHS</v>
          </cell>
          <cell r="J281" t="str">
            <v>Section of Plant Occupational Hea &amp; Saf.</v>
          </cell>
        </row>
        <row r="282">
          <cell r="A282">
            <v>4989</v>
          </cell>
          <cell r="B282" t="str">
            <v>7395020</v>
          </cell>
          <cell r="C282">
            <v>50053941</v>
          </cell>
          <cell r="D282" t="str">
            <v>SYAFRUDDIN, SE.</v>
          </cell>
          <cell r="E282" t="str">
            <v>Spv of Line 2/3 FM Field</v>
          </cell>
          <cell r="F282" t="str">
            <v>Supervisor</v>
          </cell>
          <cell r="G282" t="str">
            <v>Operation Directorate</v>
          </cell>
          <cell r="H282" t="str">
            <v>Dept. of Clinker &amp; Cement Production</v>
          </cell>
          <cell r="I282" t="str">
            <v>Unit of Cement Production</v>
          </cell>
          <cell r="J282" t="str">
            <v>Section of Line 2/3 FM Operation</v>
          </cell>
        </row>
        <row r="283">
          <cell r="A283">
            <v>4990</v>
          </cell>
          <cell r="B283" t="str">
            <v>7395169</v>
          </cell>
          <cell r="C283">
            <v>50065703</v>
          </cell>
          <cell r="D283" t="str">
            <v>M.HALIS</v>
          </cell>
          <cell r="E283" t="str">
            <v>D TPM Jr Officer</v>
          </cell>
          <cell r="F283" t="str">
            <v>Supervisor</v>
          </cell>
          <cell r="G283" t="str">
            <v>Operation Directorate</v>
          </cell>
          <cell r="H283" t="str">
            <v>Dep. of Project Mngmnt &amp; Maint. Support</v>
          </cell>
          <cell r="I283" t="str">
            <v>Staff of TPM Officer</v>
          </cell>
        </row>
        <row r="284">
          <cell r="A284">
            <v>4991</v>
          </cell>
          <cell r="B284" t="str">
            <v>7395205</v>
          </cell>
          <cell r="C284">
            <v>50047085</v>
          </cell>
          <cell r="D284" t="str">
            <v>SUFRIADI DJOJONEGORO, SE.</v>
          </cell>
          <cell r="E284" t="str">
            <v>Troubleshooting Jr Officer</v>
          </cell>
          <cell r="F284" t="str">
            <v>Supervisor</v>
          </cell>
          <cell r="G284" t="str">
            <v>Operation Directorate</v>
          </cell>
          <cell r="H284" t="str">
            <v>Dept. of Maintenance</v>
          </cell>
          <cell r="I284" t="str">
            <v>Unit of Reliability Maintenance</v>
          </cell>
          <cell r="J284" t="str">
            <v>Staff of Troubleshooting</v>
          </cell>
        </row>
        <row r="285">
          <cell r="A285">
            <v>4992</v>
          </cell>
          <cell r="B285" t="str">
            <v>7395206</v>
          </cell>
          <cell r="C285">
            <v>50009158</v>
          </cell>
          <cell r="D285" t="str">
            <v>MUH.AKHDHARISA SJ, SH. MH, CLA.CGP., DR.</v>
          </cell>
          <cell r="E285" t="str">
            <v>GM of Human Capital &amp; GRC</v>
          </cell>
          <cell r="F285" t="str">
            <v>General Manager</v>
          </cell>
          <cell r="G285" t="str">
            <v>Finance Risk Mgmt &amp; General Directorate</v>
          </cell>
          <cell r="H285" t="str">
            <v>Department of Human Capital &amp; GRC</v>
          </cell>
        </row>
        <row r="286">
          <cell r="A286">
            <v>4993</v>
          </cell>
          <cell r="B286" t="str">
            <v>7395207</v>
          </cell>
          <cell r="C286">
            <v>50071565</v>
          </cell>
          <cell r="D286" t="str">
            <v>ABUBAKAR</v>
          </cell>
          <cell r="E286" t="str">
            <v>Mat. Fuel &amp; Packaging Mgmt Jr Officer</v>
          </cell>
          <cell r="F286" t="str">
            <v>Supervisor</v>
          </cell>
          <cell r="G286" t="str">
            <v>Finance Risk Mgmt &amp; General Directorate</v>
          </cell>
          <cell r="I286" t="str">
            <v>Unit of Warehouse</v>
          </cell>
          <cell r="J286" t="str">
            <v>Section of Mat. Fuel &amp; Packaging Mgmt</v>
          </cell>
        </row>
        <row r="287">
          <cell r="A287">
            <v>4994</v>
          </cell>
          <cell r="B287" t="str">
            <v>7395280</v>
          </cell>
          <cell r="C287">
            <v>50065608</v>
          </cell>
          <cell r="D287" t="str">
            <v>DANANG REZKI FAJAR</v>
          </cell>
          <cell r="E287" t="str">
            <v>Spv of Outer Clay Quarry</v>
          </cell>
          <cell r="F287" t="str">
            <v>Supervisor</v>
          </cell>
          <cell r="G287" t="str">
            <v>Operation Directorate</v>
          </cell>
          <cell r="H287" t="str">
            <v>Dept. of Mining &amp; Power Plant</v>
          </cell>
          <cell r="I287" t="str">
            <v>Unit of Mining Operation</v>
          </cell>
          <cell r="J287" t="str">
            <v>Section of Clay Mining</v>
          </cell>
        </row>
        <row r="288">
          <cell r="A288">
            <v>4996</v>
          </cell>
          <cell r="B288" t="str">
            <v>7402239</v>
          </cell>
          <cell r="C288">
            <v>50069410</v>
          </cell>
          <cell r="D288" t="str">
            <v>AMIRULLAH</v>
          </cell>
          <cell r="E288" t="str">
            <v>Spv of Line 5 RM Field Specialist</v>
          </cell>
          <cell r="F288" t="str">
            <v>Supervisor</v>
          </cell>
          <cell r="G288" t="str">
            <v>Operation Directorate</v>
          </cell>
          <cell r="H288" t="str">
            <v>Dept. of Clinker &amp; Cement Production</v>
          </cell>
          <cell r="I288" t="str">
            <v>Unit of Clinker Production</v>
          </cell>
          <cell r="J288" t="str">
            <v>Section of Line 5 RKC Operation</v>
          </cell>
        </row>
        <row r="289">
          <cell r="A289">
            <v>4997</v>
          </cell>
          <cell r="B289" t="str">
            <v>7402240</v>
          </cell>
          <cell r="C289">
            <v>50069612</v>
          </cell>
          <cell r="D289" t="str">
            <v>SYAMSUAR, SE.</v>
          </cell>
          <cell r="E289" t="str">
            <v>Spv of Mining Safety Supervision</v>
          </cell>
          <cell r="F289" t="str">
            <v>Supervisor</v>
          </cell>
          <cell r="G289" t="str">
            <v>Operation Directorate</v>
          </cell>
          <cell r="H289" t="str">
            <v>Dept. of Mining &amp; Power Plant</v>
          </cell>
          <cell r="I289" t="str">
            <v>Unit of Mine Plan</v>
          </cell>
          <cell r="J289" t="str">
            <v>Section of Mine Safety Reclamation</v>
          </cell>
        </row>
        <row r="290">
          <cell r="A290">
            <v>4999</v>
          </cell>
          <cell r="B290" t="str">
            <v>7402242</v>
          </cell>
          <cell r="C290">
            <v>50069137</v>
          </cell>
          <cell r="D290" t="str">
            <v>H. MANSYUR</v>
          </cell>
          <cell r="E290" t="str">
            <v>Sea Interplant Jr officer</v>
          </cell>
          <cell r="F290" t="str">
            <v>Supervisor</v>
          </cell>
          <cell r="G290" t="str">
            <v>Operation Directorate</v>
          </cell>
          <cell r="H290" t="str">
            <v>Dept. of Infrastructure</v>
          </cell>
          <cell r="I290" t="str">
            <v>Unit of Interplant Logistic</v>
          </cell>
          <cell r="J290" t="str">
            <v>Section of Sea Interplant</v>
          </cell>
        </row>
        <row r="291">
          <cell r="A291">
            <v>5000</v>
          </cell>
          <cell r="B291" t="str">
            <v>7495021</v>
          </cell>
          <cell r="C291">
            <v>50069576</v>
          </cell>
          <cell r="D291" t="str">
            <v>HERMANTO KURNIAWAN</v>
          </cell>
          <cell r="E291" t="str">
            <v>Spv of Silo &amp; Jetty Mechanical Maint.</v>
          </cell>
          <cell r="F291" t="str">
            <v>Supervisor</v>
          </cell>
          <cell r="G291" t="str">
            <v>Operation Directorate</v>
          </cell>
          <cell r="H291" t="str">
            <v>Dept. of Maintenance</v>
          </cell>
          <cell r="I291" t="str">
            <v>Unit of Port Product Discharge Maint.</v>
          </cell>
          <cell r="J291" t="str">
            <v>Section of Port Facility Machine Maint.</v>
          </cell>
        </row>
        <row r="292">
          <cell r="A292">
            <v>5001</v>
          </cell>
          <cell r="B292" t="str">
            <v>7495022</v>
          </cell>
          <cell r="C292">
            <v>50062612</v>
          </cell>
          <cell r="D292" t="str">
            <v>EDY SARTO APPANG</v>
          </cell>
          <cell r="E292" t="str">
            <v>Jr of Enviromental Monitoring</v>
          </cell>
          <cell r="F292" t="str">
            <v>Supervisor</v>
          </cell>
          <cell r="G292" t="str">
            <v>Operation Directorate</v>
          </cell>
          <cell r="H292" t="str">
            <v>Dept. of Production Planning &amp; Control</v>
          </cell>
          <cell r="I292" t="str">
            <v>Unit of Prod. Plan Eval. &amp; Environmental</v>
          </cell>
          <cell r="J292" t="str">
            <v>Section of Enviromental Monitoring</v>
          </cell>
        </row>
        <row r="293">
          <cell r="A293">
            <v>5003</v>
          </cell>
          <cell r="B293" t="str">
            <v>7506484</v>
          </cell>
          <cell r="C293">
            <v>50047221</v>
          </cell>
          <cell r="D293" t="str">
            <v>ALI AMRAN</v>
          </cell>
          <cell r="E293" t="str">
            <v>Troubleshooting Jr Officer</v>
          </cell>
          <cell r="F293" t="str">
            <v>Supervisor</v>
          </cell>
          <cell r="G293" t="str">
            <v>Operation Directorate</v>
          </cell>
          <cell r="H293" t="str">
            <v>Dept. of Maintenance</v>
          </cell>
          <cell r="I293" t="str">
            <v>Unit of Reliability Maintenance</v>
          </cell>
          <cell r="J293" t="str">
            <v>Staff of Troubleshooting</v>
          </cell>
        </row>
        <row r="294">
          <cell r="A294">
            <v>5004</v>
          </cell>
          <cell r="B294" t="str">
            <v>7402243</v>
          </cell>
          <cell r="C294">
            <v>50053142</v>
          </cell>
          <cell r="D294" t="str">
            <v>ALIMUDDIN R.</v>
          </cell>
          <cell r="E294" t="str">
            <v>Spv of Line 5 Packer Machine Maint.</v>
          </cell>
          <cell r="F294" t="str">
            <v>Supervisor</v>
          </cell>
          <cell r="G294" t="str">
            <v>Operation Directorate</v>
          </cell>
          <cell r="H294" t="str">
            <v>Dept. of Maintenance</v>
          </cell>
          <cell r="I294" t="str">
            <v>Unit of Machine Maintenance 1</v>
          </cell>
          <cell r="J294" t="str">
            <v>Section of Packer Machine Maint.</v>
          </cell>
        </row>
        <row r="295">
          <cell r="A295">
            <v>5005</v>
          </cell>
          <cell r="B295" t="str">
            <v>7402244</v>
          </cell>
          <cell r="C295">
            <v>50069381</v>
          </cell>
          <cell r="D295" t="str">
            <v>SYAMSUL P.</v>
          </cell>
          <cell r="E295" t="str">
            <v>Spv of Line 4 KCM Field Specialist</v>
          </cell>
          <cell r="F295" t="str">
            <v>Supervisor</v>
          </cell>
          <cell r="G295" t="str">
            <v>Operation Directorate</v>
          </cell>
          <cell r="H295" t="str">
            <v>Dept. of Clinker &amp; Cement Production</v>
          </cell>
          <cell r="I295" t="str">
            <v>Unit of Clinker Production</v>
          </cell>
          <cell r="J295" t="str">
            <v>Section of Line 4 RKC Operation</v>
          </cell>
        </row>
        <row r="296">
          <cell r="A296">
            <v>5006</v>
          </cell>
          <cell r="B296" t="str">
            <v>7402245</v>
          </cell>
          <cell r="C296">
            <v>50070291</v>
          </cell>
          <cell r="D296" t="str">
            <v>YANAH, SE.</v>
          </cell>
          <cell r="E296" t="str">
            <v>Goods Control Adm</v>
          </cell>
          <cell r="F296" t="str">
            <v>Associate</v>
          </cell>
          <cell r="G296" t="str">
            <v>Direktorat Human Capital</v>
          </cell>
          <cell r="H296" t="str">
            <v>Department of Goods Proc. Plan. &amp; Policy</v>
          </cell>
          <cell r="I296" t="str">
            <v>Unit of Electrical Goods Control</v>
          </cell>
        </row>
        <row r="297">
          <cell r="A297">
            <v>5007</v>
          </cell>
          <cell r="B297" t="str">
            <v>7495023</v>
          </cell>
          <cell r="C297">
            <v>50069101</v>
          </cell>
          <cell r="D297" t="str">
            <v>RIONI TANTAYO</v>
          </cell>
          <cell r="E297" t="str">
            <v>Spv of Line 2/3 Packer &amp; Bulk Field</v>
          </cell>
          <cell r="F297" t="str">
            <v>Supervisor</v>
          </cell>
          <cell r="G297" t="str">
            <v>Operation Directorate</v>
          </cell>
          <cell r="H297" t="str">
            <v>Dept. of Infrastructure</v>
          </cell>
          <cell r="I297" t="str">
            <v>Unit of Plant &amp; Port Prod Discharge Opr</v>
          </cell>
          <cell r="J297" t="str">
            <v>Section of Plant Site Packer &amp; Bulk Opr</v>
          </cell>
        </row>
        <row r="298">
          <cell r="A298">
            <v>5009</v>
          </cell>
          <cell r="B298" t="str">
            <v>7495106</v>
          </cell>
          <cell r="C298">
            <v>50066695</v>
          </cell>
          <cell r="D298" t="str">
            <v>HERY</v>
          </cell>
          <cell r="E298" t="str">
            <v>General Facility 1 (Tonasa 1) Jr Officer</v>
          </cell>
          <cell r="F298" t="str">
            <v>Supervisor</v>
          </cell>
          <cell r="G298" t="str">
            <v>President Directorate</v>
          </cell>
          <cell r="H298" t="str">
            <v>Dept. of Communication, Legal &amp; GA</v>
          </cell>
          <cell r="I298" t="str">
            <v>Unit of General Facility &amp; Asset</v>
          </cell>
          <cell r="J298" t="str">
            <v>Section of General Facility 1 (Tonasa 1)</v>
          </cell>
        </row>
        <row r="299">
          <cell r="A299">
            <v>5010</v>
          </cell>
          <cell r="B299" t="str">
            <v>7495107</v>
          </cell>
          <cell r="C299">
            <v>50007423</v>
          </cell>
          <cell r="D299" t="str">
            <v>H. FERRY WARDANA</v>
          </cell>
          <cell r="E299" t="str">
            <v>Mgr of Limestone Mining</v>
          </cell>
          <cell r="F299" t="str">
            <v>Manager</v>
          </cell>
          <cell r="G299" t="str">
            <v>Operation Directorate</v>
          </cell>
          <cell r="H299" t="str">
            <v>Dept. of Mining &amp; Power Plant</v>
          </cell>
          <cell r="I299" t="str">
            <v>Unit of Mining Operation</v>
          </cell>
          <cell r="J299" t="str">
            <v>Section of Limestone Mining</v>
          </cell>
        </row>
        <row r="300">
          <cell r="A300">
            <v>5011</v>
          </cell>
          <cell r="B300" t="str">
            <v>7495208</v>
          </cell>
          <cell r="C300">
            <v>50069111</v>
          </cell>
          <cell r="D300" t="str">
            <v>MUH.SYAHTAR, SE.</v>
          </cell>
          <cell r="E300" t="str">
            <v>Spv of Line 5 Packer &amp; Bulk Field</v>
          </cell>
          <cell r="F300" t="str">
            <v>Supervisor</v>
          </cell>
          <cell r="G300" t="str">
            <v>Operation Directorate</v>
          </cell>
          <cell r="H300" t="str">
            <v>Dept. of Infrastructure</v>
          </cell>
          <cell r="I300" t="str">
            <v>Unit of Plant &amp; Port Prod Discharge Opr</v>
          </cell>
          <cell r="J300" t="str">
            <v>Section of Plant Site Packer &amp; Bulk Opr</v>
          </cell>
        </row>
        <row r="301">
          <cell r="A301">
            <v>5012</v>
          </cell>
          <cell r="B301" t="str">
            <v>7495209</v>
          </cell>
          <cell r="C301">
            <v>50066614</v>
          </cell>
          <cell r="D301" t="str">
            <v>IGNASIUS LANDE</v>
          </cell>
          <cell r="E301" t="str">
            <v>Employee Facility Jr Officer</v>
          </cell>
          <cell r="F301" t="str">
            <v>Supervisor</v>
          </cell>
          <cell r="G301" t="str">
            <v>Finance Risk Mgmt &amp; General Directorate</v>
          </cell>
          <cell r="H301" t="str">
            <v>Department of Human Capital &amp; GRC</v>
          </cell>
          <cell r="I301" t="str">
            <v>Unit of HC Operational</v>
          </cell>
          <cell r="J301" t="str">
            <v>Section of Employee Facility</v>
          </cell>
        </row>
        <row r="302">
          <cell r="A302">
            <v>5013</v>
          </cell>
          <cell r="B302" t="str">
            <v>7495210</v>
          </cell>
          <cell r="C302">
            <v>50066487</v>
          </cell>
          <cell r="D302" t="str">
            <v>ANDI RAHMAN</v>
          </cell>
          <cell r="E302" t="str">
            <v>Spv of BKS &amp; Other Facilities OHS</v>
          </cell>
          <cell r="F302" t="str">
            <v>Supervisor</v>
          </cell>
          <cell r="G302" t="str">
            <v>Operation Directorate</v>
          </cell>
          <cell r="H302" t="str">
            <v>Dept. of Production Planning &amp; Control</v>
          </cell>
          <cell r="I302" t="str">
            <v>Unit of OHS</v>
          </cell>
          <cell r="J302" t="str">
            <v>Section of BKS Occupational Healt &amp; Saf.</v>
          </cell>
        </row>
        <row r="303">
          <cell r="A303">
            <v>5014</v>
          </cell>
          <cell r="B303" t="str">
            <v>7495281</v>
          </cell>
          <cell r="C303">
            <v>50035558</v>
          </cell>
          <cell r="D303" t="str">
            <v>ARHAM ARDIYANTO</v>
          </cell>
          <cell r="E303" t="str">
            <v>Spv of Line 2/3 Green Services</v>
          </cell>
          <cell r="F303" t="str">
            <v>Supervisor</v>
          </cell>
          <cell r="G303" t="str">
            <v>Operation Directorate</v>
          </cell>
          <cell r="H303" t="str">
            <v>Dept. of Production Planning &amp; Control</v>
          </cell>
          <cell r="I303" t="str">
            <v>Unit of Production Support</v>
          </cell>
          <cell r="J303" t="str">
            <v>Section of Plant Hygiene</v>
          </cell>
        </row>
        <row r="304">
          <cell r="A304">
            <v>5015</v>
          </cell>
          <cell r="B304" t="str">
            <v>7402246</v>
          </cell>
          <cell r="C304">
            <v>50066701</v>
          </cell>
          <cell r="D304" t="str">
            <v>BAHTIAR, SE.</v>
          </cell>
          <cell r="E304" t="str">
            <v>GA &amp; Facility 2 (Tonasa 2) Jr Officer</v>
          </cell>
          <cell r="F304" t="str">
            <v>Supervisor</v>
          </cell>
          <cell r="G304" t="str">
            <v>President Directorate</v>
          </cell>
          <cell r="H304" t="str">
            <v>Dept. of Communication, Legal &amp; GA</v>
          </cell>
          <cell r="I304" t="str">
            <v>Unit of General Facility &amp; Asset</v>
          </cell>
          <cell r="J304" t="str">
            <v>Section of General Affair &amp; Facility 2</v>
          </cell>
        </row>
        <row r="305">
          <cell r="A305">
            <v>5016</v>
          </cell>
          <cell r="B305" t="str">
            <v>7402247</v>
          </cell>
          <cell r="C305">
            <v>50065725</v>
          </cell>
          <cell r="D305" t="str">
            <v>HIRWAN, AMD.</v>
          </cell>
          <cell r="E305" t="str">
            <v>Spv of Outer Clay Quarry</v>
          </cell>
          <cell r="F305" t="str">
            <v>Supervisor</v>
          </cell>
          <cell r="G305" t="str">
            <v>Operation Directorate</v>
          </cell>
          <cell r="H305" t="str">
            <v>Dept. of Mining &amp; Power Plant</v>
          </cell>
          <cell r="I305" t="str">
            <v>Unit of Mining Operation</v>
          </cell>
          <cell r="J305" t="str">
            <v>Section of Clay Mining</v>
          </cell>
        </row>
        <row r="306">
          <cell r="A306">
            <v>5017</v>
          </cell>
          <cell r="B306" t="str">
            <v>7402248</v>
          </cell>
          <cell r="C306">
            <v>50069478</v>
          </cell>
          <cell r="D306" t="str">
            <v>HUSAIN.M</v>
          </cell>
          <cell r="E306" t="str">
            <v>Spv of Mutation Clinker Control</v>
          </cell>
          <cell r="F306" t="str">
            <v>Supervisor</v>
          </cell>
          <cell r="G306" t="str">
            <v>Operation Directorate</v>
          </cell>
          <cell r="H306" t="str">
            <v>Dept. of Production Planning &amp; Control</v>
          </cell>
          <cell r="I306" t="str">
            <v>Unit of Production Support</v>
          </cell>
          <cell r="J306" t="str">
            <v>Section of Heavy Equipment &amp; Coal Transp</v>
          </cell>
        </row>
        <row r="307">
          <cell r="A307">
            <v>5018</v>
          </cell>
          <cell r="B307" t="str">
            <v>7495025</v>
          </cell>
          <cell r="C307">
            <v>50061693</v>
          </cell>
          <cell r="D307" t="str">
            <v>SJARIFUDDIN SAID, ST.</v>
          </cell>
          <cell r="E307" t="str">
            <v>Mgr of Plant Occupational Health &amp; Safet</v>
          </cell>
          <cell r="F307" t="str">
            <v>Manager</v>
          </cell>
          <cell r="G307" t="str">
            <v>Operation Directorate</v>
          </cell>
          <cell r="H307" t="str">
            <v>Dept. of Production Planning &amp; Control</v>
          </cell>
          <cell r="I307" t="str">
            <v>Unit of OHS</v>
          </cell>
          <cell r="J307" t="str">
            <v>Section of Plant Occupational Hea &amp; Saf.</v>
          </cell>
        </row>
        <row r="308">
          <cell r="A308">
            <v>5019</v>
          </cell>
          <cell r="B308" t="str">
            <v>7495027</v>
          </cell>
          <cell r="C308">
            <v>50066675</v>
          </cell>
          <cell r="D308" t="str">
            <v>YOSEF ARIS, S.Kom.</v>
          </cell>
          <cell r="E308" t="str">
            <v>Governance Compliance &amp; ESG Officer</v>
          </cell>
          <cell r="F308" t="str">
            <v>Manager</v>
          </cell>
          <cell r="G308" t="str">
            <v>Finance Risk Mgmt &amp; General Directorate</v>
          </cell>
          <cell r="H308" t="str">
            <v>Department of Human Capital &amp; GRC</v>
          </cell>
          <cell r="I308" t="str">
            <v>Unit of GRC Management</v>
          </cell>
          <cell r="J308" t="str">
            <v>Staff of Governance Compliance &amp; ESG</v>
          </cell>
        </row>
        <row r="309">
          <cell r="A309">
            <v>5020</v>
          </cell>
          <cell r="B309" t="str">
            <v>7495108</v>
          </cell>
          <cell r="C309">
            <v>50069311</v>
          </cell>
          <cell r="D309" t="str">
            <v>IRWAN</v>
          </cell>
          <cell r="E309" t="str">
            <v>Spv of Operation RKC 2/3</v>
          </cell>
          <cell r="F309" t="str">
            <v>Supervisor</v>
          </cell>
          <cell r="G309" t="str">
            <v>Operation Directorate</v>
          </cell>
          <cell r="H309" t="str">
            <v>Dept. of Clinker &amp; Cement Production</v>
          </cell>
          <cell r="I309" t="str">
            <v>Unit of Derivative Product  &amp; Supporting</v>
          </cell>
          <cell r="J309" t="str">
            <v>Section of Derivative Prod. &amp; Opr. 2/3</v>
          </cell>
        </row>
        <row r="310">
          <cell r="A310">
            <v>5021</v>
          </cell>
          <cell r="B310" t="str">
            <v>7495211</v>
          </cell>
          <cell r="C310">
            <v>50071524</v>
          </cell>
          <cell r="D310" t="str">
            <v>LUTHER MANGEDONG</v>
          </cell>
          <cell r="E310" t="str">
            <v>Mgr of Inbound &amp; Billing Administration</v>
          </cell>
          <cell r="F310" t="str">
            <v>Manager</v>
          </cell>
          <cell r="G310" t="str">
            <v>Finance Risk Mgmt &amp; General Directorate</v>
          </cell>
          <cell r="I310" t="str">
            <v>Unit of Warehouse</v>
          </cell>
          <cell r="J310" t="str">
            <v>Section of Inbound &amp; Billing Admin.</v>
          </cell>
        </row>
        <row r="311">
          <cell r="A311">
            <v>5022</v>
          </cell>
          <cell r="B311" t="str">
            <v>7495213</v>
          </cell>
          <cell r="C311">
            <v>50069618</v>
          </cell>
          <cell r="D311" t="str">
            <v>BAKRI SALIM</v>
          </cell>
          <cell r="E311" t="str">
            <v>Spv of Limestone Loading &amp; Hauling</v>
          </cell>
          <cell r="F311" t="str">
            <v>Supervisor</v>
          </cell>
          <cell r="G311" t="str">
            <v>Operation Directorate</v>
          </cell>
          <cell r="H311" t="str">
            <v>Dept. of Mining &amp; Power Plant</v>
          </cell>
          <cell r="I311" t="str">
            <v>Unit of Mining Operation</v>
          </cell>
          <cell r="J311" t="str">
            <v>Section of Limestone Mining</v>
          </cell>
        </row>
        <row r="312">
          <cell r="A312">
            <v>5024</v>
          </cell>
          <cell r="B312" t="str">
            <v>7495215</v>
          </cell>
          <cell r="C312">
            <v>50062616</v>
          </cell>
          <cell r="D312" t="str">
            <v>BAHARUDDIN LASAPE, SE.</v>
          </cell>
          <cell r="E312" t="str">
            <v>Jr of PROPER &amp; CDM</v>
          </cell>
          <cell r="F312" t="str">
            <v>Supervisor</v>
          </cell>
          <cell r="G312" t="str">
            <v>Operation Directorate</v>
          </cell>
          <cell r="H312" t="str">
            <v>Dept. of Production Planning &amp; Control</v>
          </cell>
          <cell r="I312" t="str">
            <v>Unit of Prod. Plan Eval. &amp; Environmental</v>
          </cell>
          <cell r="J312" t="str">
            <v>Section of PROPER &amp; CDM</v>
          </cell>
        </row>
        <row r="313">
          <cell r="A313">
            <v>5025</v>
          </cell>
          <cell r="B313" t="str">
            <v>7495221</v>
          </cell>
          <cell r="C313">
            <v>50069321</v>
          </cell>
          <cell r="D313" t="str">
            <v>WIBOWO, SE.</v>
          </cell>
          <cell r="E313" t="str">
            <v>Mgr of Product Contract Compliance &amp; SLA</v>
          </cell>
          <cell r="F313" t="str">
            <v>Manager</v>
          </cell>
          <cell r="G313" t="str">
            <v>Operation Directorate</v>
          </cell>
          <cell r="H313" t="str">
            <v>Dept. of Clinker &amp; Cement Production</v>
          </cell>
          <cell r="I313" t="str">
            <v>Unit of Derivative Product  &amp; Supporting</v>
          </cell>
          <cell r="J313" t="str">
            <v>Section of Product Ctr. Compliance &amp; SLA</v>
          </cell>
        </row>
        <row r="314">
          <cell r="A314">
            <v>5027</v>
          </cell>
          <cell r="B314" t="str">
            <v>7495029</v>
          </cell>
          <cell r="C314">
            <v>50018554</v>
          </cell>
          <cell r="D314" t="str">
            <v>H. ALIMUDDIN</v>
          </cell>
          <cell r="E314" t="str">
            <v>Mgr of Line 4/5 RKC Elctr. Maint.</v>
          </cell>
          <cell r="F314" t="str">
            <v>Manager</v>
          </cell>
          <cell r="G314" t="str">
            <v>Operation Directorate</v>
          </cell>
          <cell r="H314" t="str">
            <v>Dept. of Maintenance</v>
          </cell>
          <cell r="I314" t="str">
            <v>Unit of Elins Maintenance 2</v>
          </cell>
          <cell r="J314" t="str">
            <v>Section of Line 4/5 RKC Elctr. Maint.</v>
          </cell>
        </row>
        <row r="315">
          <cell r="A315">
            <v>5028</v>
          </cell>
          <cell r="B315" t="str">
            <v>7495109</v>
          </cell>
          <cell r="C315">
            <v>50065626</v>
          </cell>
          <cell r="D315" t="str">
            <v>ENOS, SE., MH.</v>
          </cell>
          <cell r="E315" t="str">
            <v>OOTC (Staff of DPST)</v>
          </cell>
          <cell r="F315" t="str">
            <v>Supervisor</v>
          </cell>
          <cell r="G315" t="str">
            <v>President Directorate</v>
          </cell>
          <cell r="I315" t="str">
            <v>Staff of Pres Dir (Dana Pensiun)</v>
          </cell>
        </row>
        <row r="316">
          <cell r="A316">
            <v>5030</v>
          </cell>
          <cell r="B316" t="str">
            <v>7402249</v>
          </cell>
          <cell r="C316">
            <v>50069569</v>
          </cell>
          <cell r="D316" t="str">
            <v>WAHAR E.</v>
          </cell>
          <cell r="E316" t="str">
            <v>Spv of Troubleshooting</v>
          </cell>
          <cell r="F316" t="str">
            <v>Supervisor</v>
          </cell>
          <cell r="G316" t="str">
            <v>Operation Directorate</v>
          </cell>
          <cell r="H316" t="str">
            <v>Dept. of Maintenance</v>
          </cell>
          <cell r="I316" t="str">
            <v>Unit of Port Product Discharge Maint.</v>
          </cell>
          <cell r="J316" t="str">
            <v>Section of Port Facility Machine Maint.</v>
          </cell>
        </row>
        <row r="317">
          <cell r="A317">
            <v>5031</v>
          </cell>
          <cell r="B317" t="str">
            <v>7495030</v>
          </cell>
          <cell r="C317">
            <v>50070844</v>
          </cell>
          <cell r="D317" t="str">
            <v>EDY LIMBONG, SE.</v>
          </cell>
          <cell r="E317" t="str">
            <v>Prod Planning &amp; Control Jr Planner</v>
          </cell>
          <cell r="F317" t="str">
            <v>Supervisor</v>
          </cell>
          <cell r="G317" t="str">
            <v>Operation Directorate</v>
          </cell>
          <cell r="H317" t="str">
            <v>Dept. of Production Planning &amp; Control</v>
          </cell>
        </row>
        <row r="318">
          <cell r="A318">
            <v>5032</v>
          </cell>
          <cell r="B318" t="str">
            <v>7495031</v>
          </cell>
          <cell r="C318">
            <v>50008450</v>
          </cell>
          <cell r="D318" t="str">
            <v>LAMASI, ST.</v>
          </cell>
          <cell r="E318" t="str">
            <v>Mgr of Electricity Load Control</v>
          </cell>
          <cell r="F318" t="str">
            <v>Manager</v>
          </cell>
          <cell r="G318" t="str">
            <v>Operation Directorate</v>
          </cell>
          <cell r="H318" t="str">
            <v>Dept. of Mining &amp; Power Plant</v>
          </cell>
          <cell r="I318" t="str">
            <v>Unit of Power Distribution</v>
          </cell>
          <cell r="J318" t="str">
            <v>Section of Electricity Load Control</v>
          </cell>
        </row>
        <row r="319">
          <cell r="A319">
            <v>5033</v>
          </cell>
          <cell r="B319" t="str">
            <v>7495032</v>
          </cell>
          <cell r="C319">
            <v>50071438</v>
          </cell>
          <cell r="D319" t="str">
            <v>DJUMHARI</v>
          </cell>
          <cell r="E319" t="str">
            <v>HC Partner &amp; Corp Culture Officer</v>
          </cell>
          <cell r="F319" t="str">
            <v>Manager</v>
          </cell>
          <cell r="G319" t="str">
            <v>Finance Risk Mgmt &amp; General Directorate</v>
          </cell>
          <cell r="H319" t="str">
            <v>Department of Human Capital &amp; GRC</v>
          </cell>
          <cell r="I319" t="str">
            <v>Unit of HC Operational</v>
          </cell>
          <cell r="J319" t="str">
            <v>Staff of HC Partner &amp; Corp Culture</v>
          </cell>
        </row>
        <row r="320">
          <cell r="A320">
            <v>5034</v>
          </cell>
          <cell r="B320" t="str">
            <v>7495110</v>
          </cell>
          <cell r="C320">
            <v>50069414</v>
          </cell>
          <cell r="D320" t="str">
            <v>HARIS D.</v>
          </cell>
          <cell r="E320" t="str">
            <v>Spv of Line 5 KCM Field Specialist</v>
          </cell>
          <cell r="F320" t="str">
            <v>Supervisor</v>
          </cell>
          <cell r="G320" t="str">
            <v>Operation Directorate</v>
          </cell>
          <cell r="H320" t="str">
            <v>Dept. of Clinker &amp; Cement Production</v>
          </cell>
          <cell r="I320" t="str">
            <v>Unit of Clinker Production</v>
          </cell>
          <cell r="J320" t="str">
            <v>Section of Line 5 RKC Operation</v>
          </cell>
        </row>
        <row r="321">
          <cell r="A321">
            <v>5035</v>
          </cell>
          <cell r="B321" t="str">
            <v>7495111</v>
          </cell>
          <cell r="C321">
            <v>50069120</v>
          </cell>
          <cell r="D321" t="str">
            <v>YUSRAN YUNUS</v>
          </cell>
          <cell r="E321" t="str">
            <v>Spv of Plant Cement Silo Operation</v>
          </cell>
          <cell r="F321" t="str">
            <v>Supervisor</v>
          </cell>
          <cell r="G321" t="str">
            <v>Operation Directorate</v>
          </cell>
          <cell r="H321" t="str">
            <v>Dept. of Infrastructure</v>
          </cell>
          <cell r="I321" t="str">
            <v>Unit of Plant &amp; Port Prod Discharge Opr</v>
          </cell>
          <cell r="J321" t="str">
            <v>Section of Plant Site Packer &amp; Bulk Opr</v>
          </cell>
        </row>
        <row r="322">
          <cell r="A322">
            <v>5036</v>
          </cell>
          <cell r="B322" t="str">
            <v>7495159</v>
          </cell>
          <cell r="C322">
            <v>50069899</v>
          </cell>
          <cell r="D322" t="str">
            <v>M.RIDWAN, ST.</v>
          </cell>
          <cell r="E322" t="str">
            <v>OOTC (Dir of Technical PT PKM)</v>
          </cell>
          <cell r="F322" t="str">
            <v>Manager</v>
          </cell>
          <cell r="G322" t="str">
            <v>President Directorate</v>
          </cell>
          <cell r="I322" t="str">
            <v>Staff of Pres Dir (PKM)</v>
          </cell>
        </row>
        <row r="323">
          <cell r="A323">
            <v>5037</v>
          </cell>
          <cell r="B323" t="str">
            <v>7495217</v>
          </cell>
          <cell r="C323">
            <v>50066249</v>
          </cell>
          <cell r="D323" t="str">
            <v>ZULFIKAR SHINDU DHARMA, SE.</v>
          </cell>
          <cell r="E323" t="str">
            <v>Mechanical Design Engineer Jr Officer</v>
          </cell>
          <cell r="F323" t="str">
            <v>Supervisor</v>
          </cell>
          <cell r="G323" t="str">
            <v>Operation Directorate</v>
          </cell>
          <cell r="H323" t="str">
            <v>Dep. of Project Mngmnt &amp; Maint. Support</v>
          </cell>
          <cell r="I323" t="str">
            <v>Unit of Engineering</v>
          </cell>
          <cell r="J323" t="str">
            <v>Staff of Mechanical Design Engineer</v>
          </cell>
        </row>
        <row r="324">
          <cell r="A324">
            <v>5038</v>
          </cell>
          <cell r="B324" t="str">
            <v>7495218</v>
          </cell>
          <cell r="C324">
            <v>50065469</v>
          </cell>
          <cell r="D324" t="str">
            <v>ANDRE L.G.TAPILOUW</v>
          </cell>
          <cell r="E324" t="str">
            <v>Spv of Troubleshooting LS CL SC 2/3/4</v>
          </cell>
          <cell r="F324" t="str">
            <v>Supervisor</v>
          </cell>
          <cell r="G324" t="str">
            <v>Operation Directorate</v>
          </cell>
          <cell r="H324" t="str">
            <v>Dept. of Maintenance</v>
          </cell>
          <cell r="I324" t="str">
            <v>Unit of Machine Maintenance 1</v>
          </cell>
          <cell r="J324" t="str">
            <v>Section of Crusher Machine &amp; Conv Maint.</v>
          </cell>
        </row>
        <row r="325">
          <cell r="A325">
            <v>5039</v>
          </cell>
          <cell r="B325" t="str">
            <v>7495283</v>
          </cell>
          <cell r="C325">
            <v>50007169</v>
          </cell>
          <cell r="D325" t="str">
            <v>SYARIFUDDIN, SE.</v>
          </cell>
          <cell r="E325" t="str">
            <v>OOTC (Pres Dir of Kopkar PTST)</v>
          </cell>
          <cell r="F325" t="str">
            <v>Senior Manager</v>
          </cell>
          <cell r="G325" t="str">
            <v>President Directorate</v>
          </cell>
          <cell r="I325" t="str">
            <v>Staff of Pres Dir (Kopkar)</v>
          </cell>
        </row>
        <row r="326">
          <cell r="A326">
            <v>5040</v>
          </cell>
          <cell r="B326" t="str">
            <v>7495284</v>
          </cell>
          <cell r="C326">
            <v>50045502</v>
          </cell>
          <cell r="D326" t="str">
            <v>JUWASNI D, S.Psi.</v>
          </cell>
          <cell r="E326" t="str">
            <v>OOTC</v>
          </cell>
          <cell r="F326" t="str">
            <v>Senior Manager</v>
          </cell>
          <cell r="G326" t="str">
            <v>President Directorate</v>
          </cell>
          <cell r="H326" t="str">
            <v>Staff of Pres Dir - BU Non Cement</v>
          </cell>
        </row>
        <row r="327">
          <cell r="A327">
            <v>5041</v>
          </cell>
          <cell r="B327" t="str">
            <v>7506494</v>
          </cell>
          <cell r="C327">
            <v>50066696</v>
          </cell>
          <cell r="D327" t="str">
            <v>ISLAMUDDIN</v>
          </cell>
          <cell r="E327" t="str">
            <v>General Facility 1 (Tonasa 1) Jr Officer</v>
          </cell>
          <cell r="F327" t="str">
            <v>Supervisor</v>
          </cell>
          <cell r="G327" t="str">
            <v>President Directorate</v>
          </cell>
          <cell r="H327" t="str">
            <v>Dept. of Communication, Legal &amp; GA</v>
          </cell>
          <cell r="I327" t="str">
            <v>Unit of General Facility &amp; Asset</v>
          </cell>
          <cell r="J327" t="str">
            <v>Section of General Facility 1 (Tonasa 1)</v>
          </cell>
        </row>
        <row r="328">
          <cell r="A328">
            <v>5042</v>
          </cell>
          <cell r="B328" t="str">
            <v>7506495</v>
          </cell>
          <cell r="C328">
            <v>50069104</v>
          </cell>
          <cell r="D328" t="str">
            <v>ACHMAD.S</v>
          </cell>
          <cell r="E328" t="str">
            <v>Spv of Line 2/3 Packer &amp; Bulk Field</v>
          </cell>
          <cell r="F328" t="str">
            <v>Supervisor</v>
          </cell>
          <cell r="G328" t="str">
            <v>Operation Directorate</v>
          </cell>
          <cell r="H328" t="str">
            <v>Dept. of Infrastructure</v>
          </cell>
          <cell r="I328" t="str">
            <v>Unit of Plant &amp; Port Prod Discharge Opr</v>
          </cell>
          <cell r="J328" t="str">
            <v>Section of Plant Site Packer &amp; Bulk Opr</v>
          </cell>
        </row>
        <row r="329">
          <cell r="A329">
            <v>5043</v>
          </cell>
          <cell r="B329" t="str">
            <v>7402250</v>
          </cell>
          <cell r="C329">
            <v>50008300</v>
          </cell>
          <cell r="D329" t="str">
            <v>BAKRI</v>
          </cell>
          <cell r="E329" t="str">
            <v>Spv of Line 2/3/4/5 Water Treat Opn</v>
          </cell>
          <cell r="F329" t="str">
            <v>Supervisor</v>
          </cell>
          <cell r="G329" t="str">
            <v>Operation Directorate</v>
          </cell>
          <cell r="H329" t="str">
            <v>Dept. of Production Planning &amp; Control</v>
          </cell>
          <cell r="I329" t="str">
            <v>Unit of Production Support</v>
          </cell>
          <cell r="J329" t="str">
            <v>Section of Utility</v>
          </cell>
        </row>
        <row r="330">
          <cell r="A330">
            <v>5044</v>
          </cell>
          <cell r="B330" t="str">
            <v>7402251</v>
          </cell>
          <cell r="C330">
            <v>50008326</v>
          </cell>
          <cell r="D330" t="str">
            <v>ARMIN ARSYAD</v>
          </cell>
          <cell r="E330" t="str">
            <v>Spv of Power Plant CCR</v>
          </cell>
          <cell r="F330" t="str">
            <v>Supervisor</v>
          </cell>
          <cell r="G330" t="str">
            <v>Operation Directorate</v>
          </cell>
          <cell r="H330" t="str">
            <v>Dept. of Mining &amp; Power Plant</v>
          </cell>
          <cell r="I330" t="str">
            <v>Unit of Power Plant Operation</v>
          </cell>
          <cell r="J330" t="str">
            <v>Section of Power Plant Operation</v>
          </cell>
        </row>
        <row r="331">
          <cell r="A331">
            <v>5047</v>
          </cell>
          <cell r="B331" t="str">
            <v>7495034</v>
          </cell>
          <cell r="C331">
            <v>50067127</v>
          </cell>
          <cell r="D331" t="str">
            <v>MUH.ALI N., S.Kom.</v>
          </cell>
          <cell r="E331" t="str">
            <v>OOTC (Pres Dir of PT BR)</v>
          </cell>
          <cell r="F331" t="str">
            <v>Senior Manager</v>
          </cell>
          <cell r="G331" t="str">
            <v>President Directorate</v>
          </cell>
          <cell r="I331" t="str">
            <v>Staff of Pres Dir (BKS Raya)</v>
          </cell>
        </row>
        <row r="332">
          <cell r="A332">
            <v>5048</v>
          </cell>
          <cell r="B332" t="str">
            <v>7495112</v>
          </cell>
          <cell r="C332">
            <v>50069558</v>
          </cell>
          <cell r="D332" t="str">
            <v>ERVAN HARDJO</v>
          </cell>
          <cell r="E332" t="str">
            <v>Spv of 4 EP/DC Pvm</v>
          </cell>
          <cell r="F332" t="str">
            <v>Supervisor</v>
          </cell>
          <cell r="G332" t="str">
            <v>Operation Directorate</v>
          </cell>
          <cell r="H332" t="str">
            <v>Dept. of Maintenance</v>
          </cell>
          <cell r="I332" t="str">
            <v>Unit of Elins Maintenance 2</v>
          </cell>
          <cell r="J332" t="str">
            <v>Section of EP/DC Maintenance</v>
          </cell>
        </row>
        <row r="333">
          <cell r="A333">
            <v>5050</v>
          </cell>
          <cell r="B333" t="str">
            <v>7495219</v>
          </cell>
          <cell r="C333">
            <v>50052135</v>
          </cell>
          <cell r="D333" t="str">
            <v>AHMAD RIFAI, ST.</v>
          </cell>
          <cell r="E333" t="str">
            <v>Maintenance Inspection Officer</v>
          </cell>
          <cell r="F333" t="str">
            <v>Manager</v>
          </cell>
          <cell r="G333" t="str">
            <v>Operation Directorate</v>
          </cell>
          <cell r="H333" t="str">
            <v>Dept. of Maintenance</v>
          </cell>
          <cell r="I333" t="str">
            <v>Unit of Reliability Maintenance</v>
          </cell>
          <cell r="J333" t="str">
            <v>Staff of Maintenance Inspection</v>
          </cell>
        </row>
        <row r="334">
          <cell r="A334">
            <v>5051</v>
          </cell>
          <cell r="B334" t="str">
            <v>7495220</v>
          </cell>
          <cell r="C334">
            <v>50024312</v>
          </cell>
          <cell r="D334" t="str">
            <v>RAHMADI R.</v>
          </cell>
          <cell r="E334" t="str">
            <v>Spv of Line 2/3/4/5 Crusher Elins PvM</v>
          </cell>
          <cell r="F334" t="str">
            <v>Supervisor</v>
          </cell>
          <cell r="G334" t="str">
            <v>Operation Directorate</v>
          </cell>
          <cell r="H334" t="str">
            <v>Dept. of Maintenance</v>
          </cell>
          <cell r="I334" t="str">
            <v>Unit of Elins Maintenance 1</v>
          </cell>
          <cell r="J334" t="str">
            <v>Section of Crusher Elins Maintenance</v>
          </cell>
        </row>
        <row r="335">
          <cell r="A335">
            <v>5052</v>
          </cell>
          <cell r="B335" t="str">
            <v>7495285</v>
          </cell>
          <cell r="C335">
            <v>50007166</v>
          </cell>
          <cell r="D335" t="str">
            <v>UTARI SRI MINARNI</v>
          </cell>
          <cell r="E335" t="str">
            <v>OOTC (Staff of DPST)</v>
          </cell>
          <cell r="F335" t="str">
            <v>Supervisor</v>
          </cell>
          <cell r="G335" t="str">
            <v>President Directorate</v>
          </cell>
          <cell r="I335" t="str">
            <v>Staff of Pres Dir (Dana Pensiun)</v>
          </cell>
        </row>
        <row r="336">
          <cell r="A336">
            <v>5053</v>
          </cell>
          <cell r="B336" t="str">
            <v>7495286</v>
          </cell>
          <cell r="C336">
            <v>50054254</v>
          </cell>
          <cell r="D336" t="str">
            <v>SYAMSUL RIZAL</v>
          </cell>
          <cell r="E336" t="str">
            <v>Internal Audit Officer</v>
          </cell>
          <cell r="F336" t="str">
            <v>Manager</v>
          </cell>
          <cell r="G336" t="str">
            <v>President Directorate</v>
          </cell>
          <cell r="H336" t="str">
            <v>Department of Internal Audit</v>
          </cell>
          <cell r="I336" t="str">
            <v>Staff of Internal Audit</v>
          </cell>
        </row>
        <row r="337">
          <cell r="A337">
            <v>5054</v>
          </cell>
          <cell r="B337" t="str">
            <v>7402254</v>
          </cell>
          <cell r="C337">
            <v>50007357</v>
          </cell>
          <cell r="D337" t="str">
            <v>ABD.MALIK SORE</v>
          </cell>
          <cell r="E337" t="str">
            <v>TJSL &amp; Community Development Jr Officer</v>
          </cell>
          <cell r="F337" t="str">
            <v>Supervisor</v>
          </cell>
          <cell r="G337" t="str">
            <v>President Directorate</v>
          </cell>
          <cell r="H337" t="str">
            <v>Dept. of Communication, Legal &amp; GA</v>
          </cell>
          <cell r="I337" t="str">
            <v>Unit of TJSL</v>
          </cell>
          <cell r="J337" t="str">
            <v>Staff of TJSL &amp; Community Development</v>
          </cell>
        </row>
        <row r="338">
          <cell r="A338">
            <v>5055</v>
          </cell>
          <cell r="B338" t="str">
            <v>7402255</v>
          </cell>
          <cell r="C338">
            <v>50069657</v>
          </cell>
          <cell r="D338" t="str">
            <v>ARDIANSYAH</v>
          </cell>
          <cell r="E338" t="str">
            <v>Spv of CR Clay Crusher (2/3/4/5)</v>
          </cell>
          <cell r="F338" t="str">
            <v>Supervisor</v>
          </cell>
          <cell r="G338" t="str">
            <v>Operation Directorate</v>
          </cell>
          <cell r="H338" t="str">
            <v>Dept. of Mining &amp; Power Plant</v>
          </cell>
          <cell r="I338" t="str">
            <v>Unit of Raw Material Management</v>
          </cell>
          <cell r="J338" t="str">
            <v>Section of Clay Crusher Operation</v>
          </cell>
        </row>
        <row r="339">
          <cell r="A339">
            <v>5056</v>
          </cell>
          <cell r="B339" t="str">
            <v>7495035</v>
          </cell>
          <cell r="C339">
            <v>50069019</v>
          </cell>
          <cell r="D339" t="str">
            <v>MATHIUS ROTA, SE.</v>
          </cell>
          <cell r="E339" t="str">
            <v>Mgr of Makassar Packing Plant</v>
          </cell>
          <cell r="F339" t="str">
            <v>Manager</v>
          </cell>
          <cell r="G339" t="str">
            <v>Operation Directorate</v>
          </cell>
          <cell r="H339" t="str">
            <v>Dept. of Infrastructure</v>
          </cell>
          <cell r="I339" t="str">
            <v>Unit of Packing Plant 1</v>
          </cell>
          <cell r="J339" t="str">
            <v>Section of Makassar Packing Plant</v>
          </cell>
        </row>
        <row r="340">
          <cell r="A340">
            <v>5057</v>
          </cell>
          <cell r="B340" t="str">
            <v>7495036</v>
          </cell>
          <cell r="C340">
            <v>50063500</v>
          </cell>
          <cell r="D340" t="str">
            <v>YOHAN ARIFIN IMAN S, ST.</v>
          </cell>
          <cell r="E340" t="str">
            <v>Maintenance Technical Services Officer</v>
          </cell>
          <cell r="F340" t="str">
            <v>Manager</v>
          </cell>
          <cell r="G340" t="str">
            <v>Direktorat Operasi</v>
          </cell>
          <cell r="H340" t="str">
            <v>Department of Maintenance Management</v>
          </cell>
          <cell r="I340" t="str">
            <v>Unit of Maintenance Technical Services</v>
          </cell>
        </row>
        <row r="341">
          <cell r="A341">
            <v>5058</v>
          </cell>
          <cell r="B341" t="str">
            <v>7495037</v>
          </cell>
          <cell r="C341">
            <v>50007353</v>
          </cell>
          <cell r="D341" t="str">
            <v>MUSTAKIM</v>
          </cell>
          <cell r="E341" t="str">
            <v>TJSL &amp; Com. Dev. Officer</v>
          </cell>
          <cell r="F341" t="str">
            <v>Manager</v>
          </cell>
          <cell r="G341" t="str">
            <v>President Directorate</v>
          </cell>
          <cell r="H341" t="str">
            <v>Dept. of Communication, Legal &amp; GA</v>
          </cell>
          <cell r="I341" t="str">
            <v>Unit of TJSL</v>
          </cell>
          <cell r="J341" t="str">
            <v>Staff of TJSL &amp; Community Development</v>
          </cell>
        </row>
        <row r="342">
          <cell r="A342">
            <v>5059</v>
          </cell>
          <cell r="B342" t="str">
            <v>7495222</v>
          </cell>
          <cell r="C342">
            <v>50069445</v>
          </cell>
          <cell r="D342" t="str">
            <v>SAMIRUDDIN</v>
          </cell>
          <cell r="E342" t="str">
            <v>Overhaul Management Jr Officer</v>
          </cell>
          <cell r="F342" t="str">
            <v>Supervisor</v>
          </cell>
          <cell r="G342" t="str">
            <v>Operation Directorate</v>
          </cell>
          <cell r="H342" t="str">
            <v>Dep. of Project Mngmnt &amp; Maint. Support</v>
          </cell>
          <cell r="I342" t="str">
            <v>Unit of Project Management</v>
          </cell>
          <cell r="J342" t="str">
            <v>Staff of OVH Management</v>
          </cell>
        </row>
        <row r="343">
          <cell r="A343">
            <v>5060</v>
          </cell>
          <cell r="B343" t="str">
            <v>7402157</v>
          </cell>
          <cell r="C343">
            <v>50069732</v>
          </cell>
          <cell r="D343" t="str">
            <v>AMIRUDDIN G.</v>
          </cell>
          <cell r="E343" t="str">
            <v>Autonomous Wat Treat &amp; CUS Op Jr Officer</v>
          </cell>
          <cell r="F343" t="str">
            <v>Supervisor</v>
          </cell>
          <cell r="G343" t="str">
            <v>Operation Directorate</v>
          </cell>
          <cell r="H343" t="str">
            <v>Dept. of Mining &amp; Power Plant</v>
          </cell>
          <cell r="I343" t="str">
            <v>Unit of Power Plant Operation</v>
          </cell>
          <cell r="J343" t="str">
            <v>Section of Water Treatment &amp; CUS Opr</v>
          </cell>
        </row>
        <row r="344">
          <cell r="A344">
            <v>5061</v>
          </cell>
          <cell r="B344" t="str">
            <v>7402256</v>
          </cell>
          <cell r="C344">
            <v>50069650</v>
          </cell>
          <cell r="D344" t="str">
            <v>NASRUDDIN L.</v>
          </cell>
          <cell r="E344" t="str">
            <v>Spv of Line 2/3/4/5 Clay Crusher</v>
          </cell>
          <cell r="F344" t="str">
            <v>Supervisor</v>
          </cell>
          <cell r="G344" t="str">
            <v>Operation Directorate</v>
          </cell>
          <cell r="H344" t="str">
            <v>Dept. of Mining &amp; Power Plant</v>
          </cell>
          <cell r="I344" t="str">
            <v>Unit of Raw Material Management</v>
          </cell>
          <cell r="J344" t="str">
            <v>Section of Clay Crusher Operation</v>
          </cell>
        </row>
        <row r="345">
          <cell r="A345">
            <v>5062</v>
          </cell>
          <cell r="B345" t="str">
            <v>7402258</v>
          </cell>
          <cell r="C345">
            <v>50053139</v>
          </cell>
          <cell r="D345" t="str">
            <v>JOSEPH</v>
          </cell>
          <cell r="E345" t="str">
            <v>Spv of Plant Cement Silo Mach Maint</v>
          </cell>
          <cell r="F345" t="str">
            <v>Supervisor</v>
          </cell>
          <cell r="G345" t="str">
            <v>Operation Directorate</v>
          </cell>
          <cell r="H345" t="str">
            <v>Dept. of Maintenance</v>
          </cell>
          <cell r="I345" t="str">
            <v>Unit of Machine Maintenance 1</v>
          </cell>
          <cell r="J345" t="str">
            <v>Section of Packer Machine Maint.</v>
          </cell>
        </row>
        <row r="346">
          <cell r="A346">
            <v>5063</v>
          </cell>
          <cell r="B346" t="str">
            <v>7495038</v>
          </cell>
          <cell r="C346">
            <v>50066020</v>
          </cell>
          <cell r="D346" t="str">
            <v>ANWAR, ST.</v>
          </cell>
          <cell r="E346" t="str">
            <v>TPM Sr Officer</v>
          </cell>
          <cell r="F346" t="str">
            <v>Senior Manager</v>
          </cell>
          <cell r="G346" t="str">
            <v>Operation Directorate</v>
          </cell>
          <cell r="H346" t="str">
            <v>Dep. of Project Mngmnt &amp; Maint. Support</v>
          </cell>
          <cell r="I346" t="str">
            <v>Staff of TPM Officer</v>
          </cell>
        </row>
        <row r="347">
          <cell r="A347">
            <v>5064</v>
          </cell>
          <cell r="B347" t="str">
            <v>7495039</v>
          </cell>
          <cell r="C347">
            <v>50053095</v>
          </cell>
          <cell r="D347" t="str">
            <v>H. SYAHRUDDIN, SE.</v>
          </cell>
          <cell r="E347" t="str">
            <v>Mgr of Line 2/3 RKC Machine Maint.</v>
          </cell>
          <cell r="F347" t="str">
            <v>Manager</v>
          </cell>
          <cell r="G347" t="str">
            <v>Operation Directorate</v>
          </cell>
          <cell r="H347" t="str">
            <v>Dept. of Maintenance</v>
          </cell>
          <cell r="I347" t="str">
            <v>Unit of Machine Maintenance 1</v>
          </cell>
          <cell r="J347" t="str">
            <v>Section of Line 2/3 RKC Machine Maint.</v>
          </cell>
        </row>
        <row r="348">
          <cell r="A348">
            <v>5065</v>
          </cell>
          <cell r="B348" t="str">
            <v>7495113</v>
          </cell>
          <cell r="C348">
            <v>50068306</v>
          </cell>
          <cell r="D348" t="str">
            <v>GUSRIANTO P.JAFAR, ST.</v>
          </cell>
          <cell r="E348" t="str">
            <v>SM of Market Intel. Channel &amp; SF Mgmt</v>
          </cell>
          <cell r="F348" t="str">
            <v>Senior Manager</v>
          </cell>
          <cell r="G348" t="str">
            <v>President Directorate</v>
          </cell>
          <cell r="H348" t="str">
            <v>Dept. of Market Planning &amp; Development</v>
          </cell>
          <cell r="I348" t="str">
            <v>Unit of Market Intel. Channel &amp; SF Mgmt</v>
          </cell>
        </row>
        <row r="349">
          <cell r="A349">
            <v>5066</v>
          </cell>
          <cell r="B349" t="str">
            <v>7495114</v>
          </cell>
          <cell r="C349">
            <v>50007345</v>
          </cell>
          <cell r="D349" t="str">
            <v>ABBAS, SE.</v>
          </cell>
          <cell r="E349" t="str">
            <v>SM of TJSL</v>
          </cell>
          <cell r="F349" t="str">
            <v>Senior Manager</v>
          </cell>
          <cell r="G349" t="str">
            <v>President Directorate</v>
          </cell>
          <cell r="H349" t="str">
            <v>Dept. of Communication, Legal &amp; GA</v>
          </cell>
          <cell r="I349" t="str">
            <v>Unit of TJSL</v>
          </cell>
        </row>
        <row r="350">
          <cell r="A350">
            <v>5067</v>
          </cell>
          <cell r="B350" t="str">
            <v>7495223</v>
          </cell>
          <cell r="C350">
            <v>50024608</v>
          </cell>
          <cell r="D350" t="str">
            <v>RAHADIANSYAH</v>
          </cell>
          <cell r="E350" t="str">
            <v>Spv of Power Plant CCR</v>
          </cell>
          <cell r="F350" t="str">
            <v>Supervisor</v>
          </cell>
          <cell r="G350" t="str">
            <v>Operation Directorate</v>
          </cell>
          <cell r="H350" t="str">
            <v>Dept. of Mining &amp; Power Plant</v>
          </cell>
          <cell r="I350" t="str">
            <v>Unit of Power Plant Operation</v>
          </cell>
          <cell r="J350" t="str">
            <v>Section of Power Plant Operation</v>
          </cell>
        </row>
        <row r="351">
          <cell r="A351">
            <v>5068</v>
          </cell>
          <cell r="B351" t="str">
            <v>7495224</v>
          </cell>
          <cell r="C351">
            <v>50066129</v>
          </cell>
          <cell r="D351" t="str">
            <v>ABD.RASAK, ST.</v>
          </cell>
          <cell r="E351" t="str">
            <v>Overhaul Management Officer</v>
          </cell>
          <cell r="F351" t="str">
            <v>Manager</v>
          </cell>
          <cell r="G351" t="str">
            <v>Operation Directorate</v>
          </cell>
          <cell r="H351" t="str">
            <v>Dep. of Project Mngmnt &amp; Maint. Support</v>
          </cell>
          <cell r="I351" t="str">
            <v>Unit of Project Management</v>
          </cell>
          <cell r="J351" t="str">
            <v>Staff of OVH Management</v>
          </cell>
        </row>
        <row r="352">
          <cell r="A352">
            <v>5069</v>
          </cell>
          <cell r="B352" t="str">
            <v>7495225</v>
          </cell>
          <cell r="C352">
            <v>50065629</v>
          </cell>
          <cell r="D352" t="str">
            <v>WIRA PURNAMA, SE.</v>
          </cell>
          <cell r="E352" t="str">
            <v>OOTC (Staff of DPST)</v>
          </cell>
          <cell r="F352" t="str">
            <v>Manager</v>
          </cell>
          <cell r="G352" t="str">
            <v>President Directorate</v>
          </cell>
          <cell r="I352" t="str">
            <v>Staff of Pres Dir (Dana Pensiun)</v>
          </cell>
        </row>
        <row r="353">
          <cell r="A353">
            <v>5070</v>
          </cell>
          <cell r="B353" t="str">
            <v>7495226</v>
          </cell>
          <cell r="C353">
            <v>50069024</v>
          </cell>
          <cell r="D353" t="str">
            <v>ISAK, ST.</v>
          </cell>
          <cell r="E353" t="str">
            <v>Mgr of Samarinda Packing Plant</v>
          </cell>
          <cell r="F353" t="str">
            <v>Manager</v>
          </cell>
          <cell r="G353" t="str">
            <v>Operation Directorate</v>
          </cell>
          <cell r="H353" t="str">
            <v>Dept. of Infrastructure</v>
          </cell>
          <cell r="I353" t="str">
            <v>Unit of Packing Plant 1</v>
          </cell>
          <cell r="J353" t="str">
            <v>Section of Samarinda Packing Plant</v>
          </cell>
        </row>
        <row r="354">
          <cell r="A354">
            <v>5071</v>
          </cell>
          <cell r="B354" t="str">
            <v>7495227</v>
          </cell>
          <cell r="C354">
            <v>50060626</v>
          </cell>
          <cell r="D354" t="str">
            <v>ARIFUDDIN AMIN SIKKI</v>
          </cell>
          <cell r="E354" t="str">
            <v>D Jr of Planning &amp; Ctrl Mining &amp; Raw Mat</v>
          </cell>
          <cell r="F354" t="str">
            <v>Supervisor</v>
          </cell>
          <cell r="G354" t="str">
            <v>Operation Directorate</v>
          </cell>
          <cell r="H354" t="str">
            <v>Dept. of Mining &amp; Power Plant</v>
          </cell>
        </row>
        <row r="355">
          <cell r="A355">
            <v>5072</v>
          </cell>
          <cell r="B355" t="str">
            <v>7495228</v>
          </cell>
          <cell r="C355">
            <v>50069085</v>
          </cell>
          <cell r="D355" t="str">
            <v>DARWADI, SE.</v>
          </cell>
          <cell r="E355" t="str">
            <v>Spv of Silo &amp; Jetty Operation</v>
          </cell>
          <cell r="F355" t="str">
            <v>Supervisor</v>
          </cell>
          <cell r="G355" t="str">
            <v>Operation Directorate</v>
          </cell>
          <cell r="H355" t="str">
            <v>Dept. of Infrastructure</v>
          </cell>
          <cell r="I355" t="str">
            <v>Unit of Plant &amp; Port Prod Discharge Opr</v>
          </cell>
          <cell r="J355" t="str">
            <v>Section of Port Opr (Silo, Aux. T &amp; SM)</v>
          </cell>
        </row>
        <row r="356">
          <cell r="A356">
            <v>5073</v>
          </cell>
          <cell r="B356" t="str">
            <v>7506504</v>
          </cell>
          <cell r="C356">
            <v>50069251</v>
          </cell>
          <cell r="D356" t="str">
            <v>GUSTIANTO</v>
          </cell>
          <cell r="E356" t="str">
            <v>Transportation Billing Jr Officer</v>
          </cell>
          <cell r="F356" t="str">
            <v>Supervisor</v>
          </cell>
          <cell r="G356" t="str">
            <v>President Directorate</v>
          </cell>
          <cell r="H356" t="str">
            <v>Dept. of Sales</v>
          </cell>
          <cell r="I356" t="str">
            <v>Unit of Outbound Logistic</v>
          </cell>
        </row>
        <row r="357">
          <cell r="A357">
            <v>5074</v>
          </cell>
          <cell r="B357" t="str">
            <v>7401003</v>
          </cell>
          <cell r="C357">
            <v>50069065</v>
          </cell>
          <cell r="D357" t="str">
            <v>SIMON SALEA, ST, M.Si</v>
          </cell>
          <cell r="E357" t="str">
            <v>SM of Plant &amp; Port Product Discharge Opr</v>
          </cell>
          <cell r="F357" t="str">
            <v>Senior Manager</v>
          </cell>
          <cell r="G357" t="str">
            <v>Operation Directorate</v>
          </cell>
          <cell r="H357" t="str">
            <v>Dept. of Infrastructure</v>
          </cell>
          <cell r="I357" t="str">
            <v>Unit of Plant &amp; Port Prod Discharge Opr</v>
          </cell>
        </row>
        <row r="358">
          <cell r="A358">
            <v>5075</v>
          </cell>
          <cell r="B358" t="str">
            <v>7495040</v>
          </cell>
          <cell r="C358">
            <v>50069540</v>
          </cell>
          <cell r="D358" t="str">
            <v>MUHAMMAD RAIS</v>
          </cell>
          <cell r="E358" t="str">
            <v>Spv of Line 5 RKCM Instr PdM &amp; PM Schd</v>
          </cell>
          <cell r="F358" t="str">
            <v>Supervisor</v>
          </cell>
          <cell r="G358" t="str">
            <v>Operation Directorate</v>
          </cell>
          <cell r="H358" t="str">
            <v>Dept. of Maintenance</v>
          </cell>
          <cell r="I358" t="str">
            <v>Unit of Elins Maintenance 2</v>
          </cell>
          <cell r="J358" t="str">
            <v>Section of Line 4/5 RKC Instr. Maint.</v>
          </cell>
        </row>
        <row r="359">
          <cell r="A359">
            <v>5077</v>
          </cell>
          <cell r="B359" t="str">
            <v>7495117</v>
          </cell>
          <cell r="C359">
            <v>50069675</v>
          </cell>
          <cell r="D359" t="str">
            <v>SYAIRUL TONAPA, SE.</v>
          </cell>
          <cell r="E359" t="str">
            <v>PP Planning &amp; Controlling Jr Officer</v>
          </cell>
          <cell r="F359" t="str">
            <v>Supervisor</v>
          </cell>
          <cell r="G359" t="str">
            <v>Operation Directorate</v>
          </cell>
          <cell r="H359" t="str">
            <v>Dept. of Mining &amp; Power Plant</v>
          </cell>
          <cell r="I359" t="str">
            <v>Unit of Power Plant Machine Maint</v>
          </cell>
          <cell r="J359" t="str">
            <v>Section of PP Planning &amp; Controlling</v>
          </cell>
        </row>
        <row r="360">
          <cell r="A360">
            <v>5078</v>
          </cell>
          <cell r="B360" t="str">
            <v>7495216</v>
          </cell>
          <cell r="C360">
            <v>50024565</v>
          </cell>
          <cell r="D360" t="str">
            <v>JERRI JUSTINUS L.</v>
          </cell>
          <cell r="E360" t="str">
            <v>Spv of Electrical Instalation Maint</v>
          </cell>
          <cell r="F360" t="str">
            <v>Supervisor</v>
          </cell>
          <cell r="G360" t="str">
            <v>Operation Directorate</v>
          </cell>
          <cell r="H360" t="str">
            <v>Dept. of Mining &amp; Power Plant</v>
          </cell>
          <cell r="I360" t="str">
            <v>Unit of Power Distribution</v>
          </cell>
          <cell r="J360" t="str">
            <v>Section of Electrical Network Maint</v>
          </cell>
        </row>
        <row r="361">
          <cell r="A361">
            <v>5079</v>
          </cell>
          <cell r="B361" t="str">
            <v>7495229</v>
          </cell>
          <cell r="C361">
            <v>50071442</v>
          </cell>
          <cell r="D361" t="str">
            <v>MOH.JERRYNINDRA, ST.,S.I.Kom., M.I.Kom.</v>
          </cell>
          <cell r="E361" t="str">
            <v>C Risk Management &amp; BCM Officer</v>
          </cell>
          <cell r="F361" t="str">
            <v>Manager</v>
          </cell>
          <cell r="G361" t="str">
            <v>Finance Risk Mgmt &amp; General Directorate</v>
          </cell>
          <cell r="H361" t="str">
            <v>Department of Human Capital &amp; GRC</v>
          </cell>
          <cell r="I361" t="str">
            <v>Unit of GRC Management</v>
          </cell>
          <cell r="J361" t="str">
            <v>Staff of Risk Management &amp; BCM</v>
          </cell>
        </row>
        <row r="362">
          <cell r="A362">
            <v>5080</v>
          </cell>
          <cell r="B362" t="str">
            <v>7495287</v>
          </cell>
          <cell r="C362">
            <v>50069450</v>
          </cell>
          <cell r="D362" t="str">
            <v>RAMLA AMBO TUWO</v>
          </cell>
          <cell r="E362" t="str">
            <v>Service Planning Jr Officer</v>
          </cell>
          <cell r="F362" t="str">
            <v>Supervisor</v>
          </cell>
          <cell r="G362" t="str">
            <v>Operation Directorate</v>
          </cell>
          <cell r="H362" t="str">
            <v>Dep. of Project Mngmnt &amp; Maint. Support</v>
          </cell>
          <cell r="I362" t="str">
            <v>Unit of Maintenance Planning &amp; Eval.</v>
          </cell>
          <cell r="J362" t="str">
            <v>Staff of Service Planning</v>
          </cell>
        </row>
        <row r="363">
          <cell r="A363">
            <v>5082</v>
          </cell>
          <cell r="B363" t="str">
            <v>7495041</v>
          </cell>
          <cell r="C363">
            <v>50034735</v>
          </cell>
          <cell r="D363" t="str">
            <v>ABD.WAHID</v>
          </cell>
          <cell r="E363" t="str">
            <v>SM of Power Plant Elec Instr Maint</v>
          </cell>
          <cell r="F363" t="str">
            <v>Senior Manager</v>
          </cell>
          <cell r="G363" t="str">
            <v>Operation Directorate</v>
          </cell>
          <cell r="H363" t="str">
            <v>Dept. of Mining &amp; Power Plant</v>
          </cell>
          <cell r="I363" t="str">
            <v>Unit of Power Plant Elins Maintenance</v>
          </cell>
        </row>
        <row r="364">
          <cell r="A364">
            <v>5083</v>
          </cell>
          <cell r="B364" t="str">
            <v>7495044</v>
          </cell>
          <cell r="C364">
            <v>50065459</v>
          </cell>
          <cell r="D364" t="str">
            <v>RUDI SUSANTO</v>
          </cell>
          <cell r="E364" t="str">
            <v>Spv of LS, CL, SL 2/3/4 PvM</v>
          </cell>
          <cell r="F364" t="str">
            <v>Supervisor</v>
          </cell>
          <cell r="G364" t="str">
            <v>Operation Directorate</v>
          </cell>
          <cell r="H364" t="str">
            <v>Dept. of Maintenance</v>
          </cell>
          <cell r="I364" t="str">
            <v>Unit of Machine Maintenance 1</v>
          </cell>
          <cell r="J364" t="str">
            <v>Section of Crusher Machine &amp; Conv Maint.</v>
          </cell>
        </row>
        <row r="365">
          <cell r="A365">
            <v>5084</v>
          </cell>
          <cell r="B365" t="str">
            <v>7495118</v>
          </cell>
          <cell r="C365">
            <v>50069792</v>
          </cell>
          <cell r="D365" t="str">
            <v>M.TAUFIK M., ST.</v>
          </cell>
          <cell r="E365" t="str">
            <v>Spv of PdM Mach Trass Mill 4</v>
          </cell>
          <cell r="F365" t="str">
            <v>Supervisor</v>
          </cell>
          <cell r="G365" t="str">
            <v>Operation Directorate</v>
          </cell>
          <cell r="H365" t="str">
            <v>Dept. of Maintenance</v>
          </cell>
          <cell r="I365" t="str">
            <v>Unit of Machine Maintenance 2</v>
          </cell>
          <cell r="J365" t="str">
            <v>Section of Line 4/5 FM Machine Maint</v>
          </cell>
        </row>
        <row r="366">
          <cell r="A366">
            <v>5085</v>
          </cell>
          <cell r="B366" t="str">
            <v>7495230</v>
          </cell>
          <cell r="C366">
            <v>50008221</v>
          </cell>
          <cell r="D366" t="str">
            <v>VICTOR NURDIN SITOLA</v>
          </cell>
          <cell r="E366" t="str">
            <v>Maintenance Inspection Jr Officer</v>
          </cell>
          <cell r="F366" t="str">
            <v>Supervisor</v>
          </cell>
          <cell r="G366" t="str">
            <v>Operation Directorate</v>
          </cell>
          <cell r="H366" t="str">
            <v>Dept. of Maintenance</v>
          </cell>
          <cell r="I366" t="str">
            <v>Unit of Reliability Maintenance</v>
          </cell>
          <cell r="J366" t="str">
            <v>Staff of Maintenance Inspection</v>
          </cell>
        </row>
        <row r="367">
          <cell r="A367">
            <v>5086</v>
          </cell>
          <cell r="B367" t="str">
            <v>7495042</v>
          </cell>
          <cell r="C367">
            <v>50047087</v>
          </cell>
          <cell r="D367" t="str">
            <v>ALBERT FAISAL, ST.</v>
          </cell>
          <cell r="E367" t="str">
            <v>Troubleshooting Jr Officer</v>
          </cell>
          <cell r="F367" t="str">
            <v>Supervisor</v>
          </cell>
          <cell r="G367" t="str">
            <v>Operation Directorate</v>
          </cell>
          <cell r="H367" t="str">
            <v>Dept. of Maintenance</v>
          </cell>
          <cell r="I367" t="str">
            <v>Unit of Reliability Maintenance</v>
          </cell>
          <cell r="J367" t="str">
            <v>Staff of Troubleshooting</v>
          </cell>
        </row>
        <row r="368">
          <cell r="A368">
            <v>5087</v>
          </cell>
          <cell r="B368" t="str">
            <v>7495043</v>
          </cell>
          <cell r="C368">
            <v>50066250</v>
          </cell>
          <cell r="D368" t="str">
            <v>MUH.FAISAL</v>
          </cell>
          <cell r="E368" t="str">
            <v>Elins Design Engineer Jr Officer</v>
          </cell>
          <cell r="F368" t="str">
            <v>Supervisor</v>
          </cell>
          <cell r="G368" t="str">
            <v>Operation Directorate</v>
          </cell>
          <cell r="H368" t="str">
            <v>Dep. of Project Mngmnt &amp; Maint. Support</v>
          </cell>
          <cell r="I368" t="str">
            <v>Unit of Engineering</v>
          </cell>
          <cell r="J368" t="str">
            <v>Staff of Elins Design Engineer</v>
          </cell>
        </row>
        <row r="369">
          <cell r="A369">
            <v>5088</v>
          </cell>
          <cell r="B369" t="str">
            <v>7495045</v>
          </cell>
          <cell r="C369">
            <v>50008952</v>
          </cell>
          <cell r="D369" t="str">
            <v>IRWAN SAPARUDDIN</v>
          </cell>
          <cell r="E369" t="str">
            <v>Mgr of Packer Plant Elins Maint</v>
          </cell>
          <cell r="F369" t="str">
            <v>Manager</v>
          </cell>
          <cell r="G369" t="str">
            <v>Operation Directorate</v>
          </cell>
          <cell r="H369" t="str">
            <v>Dept. of Maintenance</v>
          </cell>
          <cell r="I369" t="str">
            <v>Unit of Elins Maintenance 1</v>
          </cell>
          <cell r="J369" t="str">
            <v>Section of Packer Elins Maint</v>
          </cell>
        </row>
        <row r="370">
          <cell r="A370">
            <v>5089</v>
          </cell>
          <cell r="B370" t="str">
            <v>7495231</v>
          </cell>
          <cell r="C370">
            <v>50061695</v>
          </cell>
          <cell r="D370" t="str">
            <v>M.YASIN, SE.</v>
          </cell>
          <cell r="E370" t="str">
            <v>Mgr of Enviromental Monitoring</v>
          </cell>
          <cell r="F370" t="str">
            <v>Manager</v>
          </cell>
          <cell r="G370" t="str">
            <v>Operation Directorate</v>
          </cell>
          <cell r="H370" t="str">
            <v>Dept. of Production Planning &amp; Control</v>
          </cell>
          <cell r="I370" t="str">
            <v>Unit of Prod. Plan Eval. &amp; Environmental</v>
          </cell>
          <cell r="J370" t="str">
            <v>Section of Enviromental Monitoring</v>
          </cell>
        </row>
        <row r="371">
          <cell r="A371">
            <v>5090</v>
          </cell>
          <cell r="B371" t="str">
            <v>7006511</v>
          </cell>
          <cell r="C371">
            <v>50069113</v>
          </cell>
          <cell r="D371" t="str">
            <v>ASNAWI</v>
          </cell>
          <cell r="E371" t="str">
            <v>Spv of Bag Packer Plant Inspection</v>
          </cell>
          <cell r="F371" t="str">
            <v>Supervisor</v>
          </cell>
          <cell r="G371" t="str">
            <v>Operation Directorate</v>
          </cell>
          <cell r="H371" t="str">
            <v>Dept. of Infrastructure</v>
          </cell>
          <cell r="I371" t="str">
            <v>Unit of Plant &amp; Port Prod Discharge Opr</v>
          </cell>
          <cell r="J371" t="str">
            <v>Section of Plant Site Packer &amp; Bulk Opr</v>
          </cell>
        </row>
        <row r="372">
          <cell r="A372">
            <v>5091</v>
          </cell>
          <cell r="B372" t="str">
            <v>7401004</v>
          </cell>
          <cell r="C372">
            <v>50070308</v>
          </cell>
          <cell r="D372" t="str">
            <v>SHABIR</v>
          </cell>
          <cell r="E372" t="str">
            <v>Procurement Officer</v>
          </cell>
          <cell r="F372" t="str">
            <v>Manager</v>
          </cell>
          <cell r="G372" t="str">
            <v>Direktorat Human Capital</v>
          </cell>
          <cell r="H372" t="str">
            <v>Department of Goods &amp; Capex Procurement</v>
          </cell>
          <cell r="I372" t="str">
            <v>Unit of Electrical Procurement</v>
          </cell>
        </row>
        <row r="373">
          <cell r="A373">
            <v>5092</v>
          </cell>
          <cell r="B373" t="str">
            <v>7402259</v>
          </cell>
          <cell r="C373">
            <v>50066605</v>
          </cell>
          <cell r="D373" t="str">
            <v>NATAN S.</v>
          </cell>
          <cell r="E373" t="str">
            <v>Spv of PP Machine Maintenance</v>
          </cell>
          <cell r="F373" t="str">
            <v>Supervisor</v>
          </cell>
          <cell r="G373" t="str">
            <v>Operation Directorate</v>
          </cell>
          <cell r="H373" t="str">
            <v>Dept. of Mining &amp; Power Plant</v>
          </cell>
          <cell r="I373" t="str">
            <v>Unit of Power Plant Machine Maint</v>
          </cell>
          <cell r="J373" t="str">
            <v>Section of Power Plant Machine Maint</v>
          </cell>
        </row>
        <row r="374">
          <cell r="A374">
            <v>5093</v>
          </cell>
          <cell r="B374" t="str">
            <v>7402260</v>
          </cell>
          <cell r="C374">
            <v>50069040</v>
          </cell>
          <cell r="D374" t="str">
            <v>BACHTIAR T.</v>
          </cell>
          <cell r="E374" t="str">
            <v>Spv of North Maluku PP Maintenance</v>
          </cell>
          <cell r="F374" t="str">
            <v>Supervisor</v>
          </cell>
          <cell r="G374" t="str">
            <v>Operation Directorate</v>
          </cell>
          <cell r="H374" t="str">
            <v>Dept. of Infrastructure</v>
          </cell>
          <cell r="I374" t="str">
            <v>Unit of Packing Plant 2</v>
          </cell>
          <cell r="J374" t="str">
            <v>Section of North Maluku Packing Plant</v>
          </cell>
        </row>
        <row r="375">
          <cell r="A375">
            <v>5094</v>
          </cell>
          <cell r="B375" t="str">
            <v>7495046</v>
          </cell>
          <cell r="C375">
            <v>50069059</v>
          </cell>
          <cell r="D375" t="str">
            <v>JAMALUDDIN, SE.</v>
          </cell>
          <cell r="E375" t="str">
            <v>Mgr of Mamuju Packing Plant</v>
          </cell>
          <cell r="F375" t="str">
            <v>Manager</v>
          </cell>
          <cell r="G375" t="str">
            <v>Operation Directorate</v>
          </cell>
          <cell r="H375" t="str">
            <v>Dept. of Infrastructure</v>
          </cell>
          <cell r="I375" t="str">
            <v>Unit of Packing Plant 2</v>
          </cell>
          <cell r="J375" t="str">
            <v>Section of Mamuju Packing Plant</v>
          </cell>
        </row>
        <row r="376">
          <cell r="A376">
            <v>5095</v>
          </cell>
          <cell r="B376" t="str">
            <v>7495047</v>
          </cell>
          <cell r="C376">
            <v>50008309</v>
          </cell>
          <cell r="D376" t="str">
            <v>ISMAIL</v>
          </cell>
          <cell r="E376" t="str">
            <v>Spv of Tns I Water Treatmt Opn &amp; Maint</v>
          </cell>
          <cell r="F376" t="str">
            <v>Supervisor</v>
          </cell>
          <cell r="G376" t="str">
            <v>Operation Directorate</v>
          </cell>
          <cell r="H376" t="str">
            <v>Dept. of Production Planning &amp; Control</v>
          </cell>
          <cell r="I376" t="str">
            <v>Unit of Production Support</v>
          </cell>
          <cell r="J376" t="str">
            <v>Section of Utility</v>
          </cell>
        </row>
        <row r="377">
          <cell r="A377">
            <v>5096</v>
          </cell>
          <cell r="B377" t="str">
            <v>7495048</v>
          </cell>
          <cell r="C377">
            <v>50061518</v>
          </cell>
          <cell r="D377" t="str">
            <v>M.ALIANTO M, ST.</v>
          </cell>
          <cell r="E377" t="str">
            <v>SM of OHS</v>
          </cell>
          <cell r="F377" t="str">
            <v>Senior Manager</v>
          </cell>
          <cell r="G377" t="str">
            <v>Operation Directorate</v>
          </cell>
          <cell r="H377" t="str">
            <v>Dept. of Production Planning &amp; Control</v>
          </cell>
          <cell r="I377" t="str">
            <v>Unit of OHS</v>
          </cell>
        </row>
        <row r="378">
          <cell r="A378">
            <v>5097</v>
          </cell>
          <cell r="B378" t="str">
            <v>7495232</v>
          </cell>
          <cell r="C378">
            <v>50069169</v>
          </cell>
          <cell r="D378" t="str">
            <v>MUH.RAFIUDDIN, SE.</v>
          </cell>
          <cell r="E378" t="str">
            <v>Spv of Product Inspection</v>
          </cell>
          <cell r="F378" t="str">
            <v>Supervisor</v>
          </cell>
          <cell r="G378" t="str">
            <v>Operation Directorate</v>
          </cell>
          <cell r="I378" t="str">
            <v>Unit of Quality Assurance</v>
          </cell>
          <cell r="J378" t="str">
            <v>Section of Product Quality Assurance</v>
          </cell>
        </row>
        <row r="379">
          <cell r="A379">
            <v>5098</v>
          </cell>
          <cell r="B379" t="str">
            <v>7495288</v>
          </cell>
          <cell r="C379">
            <v>50052085</v>
          </cell>
          <cell r="D379" t="str">
            <v>HASNAWATI, SE., PIA.</v>
          </cell>
          <cell r="E379" t="str">
            <v>Internal Audit Officer</v>
          </cell>
          <cell r="F379" t="str">
            <v>Manager</v>
          </cell>
          <cell r="G379" t="str">
            <v>President Directorate</v>
          </cell>
          <cell r="H379" t="str">
            <v>Department of Internal Audit</v>
          </cell>
          <cell r="I379" t="str">
            <v>Staff of Internal Audit</v>
          </cell>
        </row>
        <row r="380">
          <cell r="A380">
            <v>5100</v>
          </cell>
          <cell r="B380" t="str">
            <v>7495290</v>
          </cell>
          <cell r="C380">
            <v>50008536</v>
          </cell>
          <cell r="D380" t="str">
            <v>M.ASDAR BASIR, SE.</v>
          </cell>
          <cell r="E380" t="str">
            <v>OOTC (Pres Dir of PT Topabiring Trans)</v>
          </cell>
          <cell r="F380" t="str">
            <v>Senior Manager</v>
          </cell>
          <cell r="G380" t="str">
            <v>President Directorate</v>
          </cell>
          <cell r="I380" t="str">
            <v>Staff of Pres Dir (Topabiring)</v>
          </cell>
        </row>
        <row r="381">
          <cell r="A381">
            <v>5101</v>
          </cell>
          <cell r="B381" t="str">
            <v>7498019</v>
          </cell>
          <cell r="C381">
            <v>50070062</v>
          </cell>
          <cell r="D381" t="str">
            <v>HIKMATILLAH</v>
          </cell>
          <cell r="E381" t="str">
            <v>C Human Capital Officer</v>
          </cell>
          <cell r="F381" t="str">
            <v>Manager</v>
          </cell>
          <cell r="G381" t="str">
            <v>Finance Risk Mgmt &amp; General Directorate</v>
          </cell>
          <cell r="H381" t="str">
            <v>Department of Human Capital &amp; GRC</v>
          </cell>
        </row>
        <row r="382">
          <cell r="A382">
            <v>5102</v>
          </cell>
          <cell r="B382" t="str">
            <v>7498020</v>
          </cell>
          <cell r="C382">
            <v>50009114</v>
          </cell>
          <cell r="D382" t="str">
            <v>DEASY PRAGAWATI, S.Sos.</v>
          </cell>
          <cell r="E382" t="str">
            <v>Verification Jr Officer</v>
          </cell>
          <cell r="F382" t="str">
            <v>Supervisor</v>
          </cell>
          <cell r="G382" t="str">
            <v>Finance Risk Mgmt &amp; General Directorate</v>
          </cell>
          <cell r="H382" t="str">
            <v>Department of Finance &amp; Accounting</v>
          </cell>
          <cell r="I382" t="str">
            <v>Unit of Accounting</v>
          </cell>
          <cell r="J382" t="str">
            <v>Section of Verification</v>
          </cell>
        </row>
        <row r="383">
          <cell r="A383">
            <v>5103</v>
          </cell>
          <cell r="B383" t="str">
            <v>7595049</v>
          </cell>
          <cell r="C383">
            <v>50062555</v>
          </cell>
          <cell r="D383" t="str">
            <v>ILHAM</v>
          </cell>
          <cell r="E383" t="str">
            <v>Troubleshooting Officer</v>
          </cell>
          <cell r="F383" t="str">
            <v>Manager</v>
          </cell>
          <cell r="G383" t="str">
            <v>Operation Directorate</v>
          </cell>
          <cell r="H383" t="str">
            <v>Dept. of Maintenance</v>
          </cell>
          <cell r="I383" t="str">
            <v>Unit of Reliability Maintenance</v>
          </cell>
          <cell r="J383" t="str">
            <v>Staff of Troubleshooting</v>
          </cell>
        </row>
        <row r="384">
          <cell r="A384">
            <v>5104</v>
          </cell>
          <cell r="B384" t="str">
            <v>7502261</v>
          </cell>
          <cell r="C384">
            <v>50069121</v>
          </cell>
          <cell r="D384" t="str">
            <v>ALI SOFAH</v>
          </cell>
          <cell r="E384" t="str">
            <v>Autonomous Packer 2345 &amp; BC Jr Officer</v>
          </cell>
          <cell r="F384" t="str">
            <v>Supervisor</v>
          </cell>
          <cell r="G384" t="str">
            <v>Operation Directorate</v>
          </cell>
          <cell r="H384" t="str">
            <v>Dept. of Infrastructure</v>
          </cell>
          <cell r="I384" t="str">
            <v>Unit of Plant &amp; Port Prod Discharge Opr</v>
          </cell>
          <cell r="J384" t="str">
            <v>Section of Plant Site Packer &amp; Bulk Opr</v>
          </cell>
        </row>
        <row r="385">
          <cell r="A385">
            <v>5105</v>
          </cell>
          <cell r="B385" t="str">
            <v>7595119</v>
          </cell>
          <cell r="C385">
            <v>50069626</v>
          </cell>
          <cell r="D385" t="str">
            <v>MUH.MIFTAH EMIL A.</v>
          </cell>
          <cell r="E385" t="str">
            <v>Spv of Line 4 Limestone Crusher</v>
          </cell>
          <cell r="F385" t="str">
            <v>Supervisor</v>
          </cell>
          <cell r="G385" t="str">
            <v>Operation Directorate</v>
          </cell>
          <cell r="H385" t="str">
            <v>Dept. of Mining &amp; Power Plant</v>
          </cell>
          <cell r="I385" t="str">
            <v>Unit of Raw Material Management</v>
          </cell>
          <cell r="J385" t="str">
            <v>Section of Limestone Crusher Operation</v>
          </cell>
        </row>
        <row r="386">
          <cell r="A386">
            <v>5106</v>
          </cell>
          <cell r="B386" t="str">
            <v>7606514</v>
          </cell>
          <cell r="C386">
            <v>50069073</v>
          </cell>
          <cell r="D386" t="str">
            <v>LUKMAN</v>
          </cell>
          <cell r="E386" t="str">
            <v>Spv of Port Operation</v>
          </cell>
          <cell r="F386" t="str">
            <v>Supervisor</v>
          </cell>
          <cell r="G386" t="str">
            <v>Operation Directorate</v>
          </cell>
          <cell r="H386" t="str">
            <v>Dept. of Infrastructure</v>
          </cell>
          <cell r="I386" t="str">
            <v>Unit of Plant &amp; Port Prod Discharge Opr</v>
          </cell>
          <cell r="J386" t="str">
            <v>Section of Port Opr (Packer &amp; Curah)</v>
          </cell>
        </row>
        <row r="387">
          <cell r="A387">
            <v>5107</v>
          </cell>
          <cell r="B387" t="str">
            <v>7502262</v>
          </cell>
          <cell r="C387">
            <v>50047844</v>
          </cell>
          <cell r="D387" t="str">
            <v>SYARIFUDDIN.S, SE.</v>
          </cell>
          <cell r="E387" t="str">
            <v>PGO Jr Officer</v>
          </cell>
          <cell r="F387" t="str">
            <v>Supervisor</v>
          </cell>
          <cell r="G387" t="str">
            <v>Operation Directorate</v>
          </cell>
          <cell r="H387" t="str">
            <v>Dept. of Maintenance</v>
          </cell>
          <cell r="I387" t="str">
            <v>Unit of Reliability Maintenance</v>
          </cell>
          <cell r="J387" t="str">
            <v>Staff of PGO</v>
          </cell>
        </row>
        <row r="388">
          <cell r="A388">
            <v>5108</v>
          </cell>
          <cell r="B388" t="str">
            <v>7502263</v>
          </cell>
          <cell r="C388">
            <v>50068533</v>
          </cell>
          <cell r="D388" t="str">
            <v>ALIMUDDIN</v>
          </cell>
          <cell r="E388" t="str">
            <v>Shipment Management Adm Officer</v>
          </cell>
          <cell r="F388" t="str">
            <v>Associate</v>
          </cell>
          <cell r="G388" t="str">
            <v>President Directorate</v>
          </cell>
          <cell r="H388" t="str">
            <v>Dept. of Sales</v>
          </cell>
          <cell r="I388" t="str">
            <v>Unit of Outbound Logistic</v>
          </cell>
          <cell r="J388" t="str">
            <v>Section of Shipment Management</v>
          </cell>
        </row>
        <row r="389">
          <cell r="A389">
            <v>5109</v>
          </cell>
          <cell r="B389" t="str">
            <v>7502264</v>
          </cell>
          <cell r="C389">
            <v>50069592</v>
          </cell>
          <cell r="D389" t="str">
            <v>BERENS TANGKUNA, SE.</v>
          </cell>
          <cell r="E389" t="str">
            <v>Planning &amp; Scheduling Jr Officer</v>
          </cell>
          <cell r="F389" t="str">
            <v>Supervisor</v>
          </cell>
          <cell r="G389" t="str">
            <v>Operation Directorate</v>
          </cell>
          <cell r="H389" t="str">
            <v>Dept. of Maintenance</v>
          </cell>
          <cell r="I389" t="str">
            <v>Unit of Reliability Maintenance</v>
          </cell>
          <cell r="J389" t="str">
            <v>Staff of Planning &amp; Scheduling</v>
          </cell>
        </row>
        <row r="390">
          <cell r="A390">
            <v>5110</v>
          </cell>
          <cell r="B390" t="str">
            <v>7502265</v>
          </cell>
          <cell r="C390">
            <v>50068530</v>
          </cell>
          <cell r="D390" t="str">
            <v>MAHARUDDIN</v>
          </cell>
          <cell r="E390" t="str">
            <v>Shipment Management Jr Officer</v>
          </cell>
          <cell r="F390" t="str">
            <v>Supervisor</v>
          </cell>
          <cell r="G390" t="str">
            <v>President Directorate</v>
          </cell>
          <cell r="H390" t="str">
            <v>Dept. of Sales</v>
          </cell>
          <cell r="I390" t="str">
            <v>Unit of Outbound Logistic</v>
          </cell>
          <cell r="J390" t="str">
            <v>Section of Shipment Management</v>
          </cell>
        </row>
        <row r="391">
          <cell r="A391">
            <v>5111</v>
          </cell>
          <cell r="B391" t="str">
            <v>7595050</v>
          </cell>
          <cell r="C391">
            <v>50008136</v>
          </cell>
          <cell r="D391" t="str">
            <v>MARYONO, SE.</v>
          </cell>
          <cell r="E391" t="str">
            <v>SM of Reliability Maintenance</v>
          </cell>
          <cell r="F391" t="str">
            <v>Senior Manager</v>
          </cell>
          <cell r="G391" t="str">
            <v>Operation Directorate</v>
          </cell>
          <cell r="H391" t="str">
            <v>Dept. of Maintenance</v>
          </cell>
          <cell r="I391" t="str">
            <v>Unit of Reliability Maintenance</v>
          </cell>
        </row>
        <row r="392">
          <cell r="A392">
            <v>5112</v>
          </cell>
          <cell r="B392" t="str">
            <v>7595051</v>
          </cell>
          <cell r="C392">
            <v>50069051</v>
          </cell>
          <cell r="D392" t="str">
            <v>BUNGIN R., ST.</v>
          </cell>
          <cell r="E392" t="str">
            <v>Mgr of Kendari Packing Plant</v>
          </cell>
          <cell r="F392" t="str">
            <v>Manager</v>
          </cell>
          <cell r="G392" t="str">
            <v>Operation Directorate</v>
          </cell>
          <cell r="H392" t="str">
            <v>Dept. of Infrastructure</v>
          </cell>
          <cell r="I392" t="str">
            <v>Unit of Packing Plant 2</v>
          </cell>
          <cell r="J392" t="str">
            <v>Section of Kendari Packing Plant</v>
          </cell>
        </row>
        <row r="393">
          <cell r="A393">
            <v>5113</v>
          </cell>
          <cell r="B393" t="str">
            <v>7595052</v>
          </cell>
          <cell r="C393">
            <v>50029875</v>
          </cell>
          <cell r="D393" t="str">
            <v>JAMALUDDIN SESA</v>
          </cell>
          <cell r="E393" t="str">
            <v>Spv of Automation</v>
          </cell>
          <cell r="F393" t="str">
            <v>Supervisor</v>
          </cell>
          <cell r="G393" t="str">
            <v>Operation Directorate</v>
          </cell>
          <cell r="H393" t="str">
            <v>Dept. of Mining &amp; Power Plant</v>
          </cell>
          <cell r="I393" t="str">
            <v>Unit of Power Plant Elins Maintenance</v>
          </cell>
          <cell r="J393" t="str">
            <v>Section of Power Plant Instrument Maint.</v>
          </cell>
        </row>
        <row r="394">
          <cell r="A394">
            <v>5114</v>
          </cell>
          <cell r="B394" t="str">
            <v>7595121</v>
          </cell>
          <cell r="C394">
            <v>50069755</v>
          </cell>
          <cell r="D394" t="str">
            <v>MUH.RIZAL</v>
          </cell>
          <cell r="E394" t="str">
            <v>Spv of Makassar PP Operation</v>
          </cell>
          <cell r="F394" t="str">
            <v>Supervisor</v>
          </cell>
          <cell r="G394" t="str">
            <v>Operation Directorate</v>
          </cell>
          <cell r="H394" t="str">
            <v>Dept. of Infrastructure</v>
          </cell>
          <cell r="I394" t="str">
            <v>Unit of Packing Plant 1</v>
          </cell>
          <cell r="J394" t="str">
            <v>Section of Makassar Packing Plant</v>
          </cell>
        </row>
        <row r="395">
          <cell r="A395">
            <v>5116</v>
          </cell>
          <cell r="B395" t="str">
            <v>7606516</v>
          </cell>
          <cell r="C395">
            <v>50069083</v>
          </cell>
          <cell r="D395" t="str">
            <v>MUHARRAM</v>
          </cell>
          <cell r="E395" t="str">
            <v>Spv of Silo &amp; Jetty Operation</v>
          </cell>
          <cell r="F395" t="str">
            <v>Supervisor</v>
          </cell>
          <cell r="G395" t="str">
            <v>Operation Directorate</v>
          </cell>
          <cell r="H395" t="str">
            <v>Dept. of Infrastructure</v>
          </cell>
          <cell r="I395" t="str">
            <v>Unit of Plant &amp; Port Prod Discharge Opr</v>
          </cell>
          <cell r="J395" t="str">
            <v>Section of Port Opr (Silo, Aux. T &amp; SM)</v>
          </cell>
        </row>
        <row r="396">
          <cell r="A396">
            <v>5117</v>
          </cell>
          <cell r="B396" t="str">
            <v>7502269</v>
          </cell>
          <cell r="C396">
            <v>50053096</v>
          </cell>
          <cell r="D396" t="str">
            <v>ABD.SALAM</v>
          </cell>
          <cell r="E396" t="str">
            <v>Mgr of Packer  Machine Maintenance</v>
          </cell>
          <cell r="F396" t="str">
            <v>Manager</v>
          </cell>
          <cell r="G396" t="str">
            <v>Operation Directorate</v>
          </cell>
          <cell r="H396" t="str">
            <v>Dept. of Maintenance</v>
          </cell>
          <cell r="I396" t="str">
            <v>Unit of Machine Maintenance 1</v>
          </cell>
          <cell r="J396" t="str">
            <v>Section of Packer Machine Maint.</v>
          </cell>
        </row>
        <row r="397">
          <cell r="A397">
            <v>5118</v>
          </cell>
          <cell r="B397" t="str">
            <v>7595053</v>
          </cell>
          <cell r="C397">
            <v>50069021</v>
          </cell>
          <cell r="D397" t="str">
            <v>WELLEM ARIANCE, S.Kom.</v>
          </cell>
          <cell r="E397" t="str">
            <v>SM of Packing Plant 1</v>
          </cell>
          <cell r="F397" t="str">
            <v>Senior Manager</v>
          </cell>
          <cell r="G397" t="str">
            <v>Operation Directorate</v>
          </cell>
          <cell r="H397" t="str">
            <v>Dept. of Infrastructure</v>
          </cell>
          <cell r="I397" t="str">
            <v>Unit of Packing Plant 1</v>
          </cell>
        </row>
        <row r="398">
          <cell r="A398">
            <v>5119</v>
          </cell>
          <cell r="B398" t="str">
            <v>7595054</v>
          </cell>
          <cell r="C398">
            <v>50069080</v>
          </cell>
          <cell r="D398" t="str">
            <v>SUMARDI, ST.</v>
          </cell>
          <cell r="E398" t="str">
            <v>Mgr of Port Opr (Silo, Aux, T &amp; Silo M)</v>
          </cell>
          <cell r="F398" t="str">
            <v>Manager</v>
          </cell>
          <cell r="G398" t="str">
            <v>Operation Directorate</v>
          </cell>
          <cell r="H398" t="str">
            <v>Dept. of Infrastructure</v>
          </cell>
          <cell r="I398" t="str">
            <v>Unit of Plant &amp; Port Prod Discharge Opr</v>
          </cell>
          <cell r="J398" t="str">
            <v>Section of Port Opr (Silo, Aux. T &amp; SM)</v>
          </cell>
        </row>
        <row r="399">
          <cell r="A399">
            <v>5120</v>
          </cell>
          <cell r="B399" t="str">
            <v>7595122</v>
          </cell>
          <cell r="C399">
            <v>50069633</v>
          </cell>
          <cell r="D399" t="str">
            <v>ABDULLAH</v>
          </cell>
          <cell r="E399" t="str">
            <v>Spv of Line 5 Limestone Crusher</v>
          </cell>
          <cell r="F399" t="str">
            <v>Supervisor</v>
          </cell>
          <cell r="G399" t="str">
            <v>Operation Directorate</v>
          </cell>
          <cell r="H399" t="str">
            <v>Dept. of Mining &amp; Power Plant</v>
          </cell>
          <cell r="I399" t="str">
            <v>Unit of Raw Material Management</v>
          </cell>
          <cell r="J399" t="str">
            <v>Section of Limestone Crusher Operation</v>
          </cell>
        </row>
        <row r="400">
          <cell r="A400">
            <v>5122</v>
          </cell>
          <cell r="B400" t="str">
            <v>7595161</v>
          </cell>
          <cell r="C400">
            <v>50023632</v>
          </cell>
          <cell r="D400" t="str">
            <v>MARLINA DUMA, A.Md.Kep</v>
          </cell>
          <cell r="E400" t="str">
            <v>Service &amp; Nursing Officer</v>
          </cell>
          <cell r="F400" t="str">
            <v>Manager</v>
          </cell>
          <cell r="G400" t="str">
            <v>Finance Risk Mgmt &amp; General Directorate</v>
          </cell>
          <cell r="H400" t="str">
            <v>Department of Human Capital &amp; GRC</v>
          </cell>
          <cell r="I400" t="str">
            <v>Unit of Health Serv &amp; Industrial Hygiene</v>
          </cell>
          <cell r="J400" t="str">
            <v>Staff of Service &amp; Nursing</v>
          </cell>
        </row>
        <row r="401">
          <cell r="A401">
            <v>5124</v>
          </cell>
          <cell r="B401" t="str">
            <v>7595235</v>
          </cell>
          <cell r="C401">
            <v>50070758</v>
          </cell>
          <cell r="D401" t="str">
            <v>AKRAM BUNYAMIN, SE., MM.</v>
          </cell>
          <cell r="E401" t="str">
            <v>SSM of Corporate Sales</v>
          </cell>
          <cell r="F401" t="str">
            <v>Senior Manager</v>
          </cell>
          <cell r="G401" t="str">
            <v>President Directorate</v>
          </cell>
          <cell r="H401" t="str">
            <v>Dept. of Sales</v>
          </cell>
          <cell r="I401" t="str">
            <v>Unit of Corporate Sales</v>
          </cell>
        </row>
        <row r="402">
          <cell r="A402">
            <v>5125</v>
          </cell>
          <cell r="B402" t="str">
            <v>7502266</v>
          </cell>
          <cell r="C402">
            <v>50071552</v>
          </cell>
          <cell r="D402" t="str">
            <v>PAHARUDDIN</v>
          </cell>
          <cell r="E402" t="str">
            <v>Inbound &amp; Billing Admin. Jr Officer</v>
          </cell>
          <cell r="F402" t="str">
            <v>Supervisor</v>
          </cell>
          <cell r="G402" t="str">
            <v>Finance Risk Mgmt &amp; General Directorate</v>
          </cell>
          <cell r="I402" t="str">
            <v>Unit of Warehouse</v>
          </cell>
          <cell r="J402" t="str">
            <v>Section of Inbound &amp; Billing Admin.</v>
          </cell>
        </row>
        <row r="403">
          <cell r="A403">
            <v>5126</v>
          </cell>
          <cell r="B403" t="str">
            <v>7595124</v>
          </cell>
          <cell r="C403">
            <v>50070765</v>
          </cell>
          <cell r="D403" t="str">
            <v>YUNUS KASIM, SE.</v>
          </cell>
          <cell r="E403" t="str">
            <v>Key Account Officer</v>
          </cell>
          <cell r="F403" t="str">
            <v>Manager</v>
          </cell>
          <cell r="G403" t="str">
            <v>President Directorate</v>
          </cell>
          <cell r="H403" t="str">
            <v>Dept. of Sales</v>
          </cell>
          <cell r="I403" t="str">
            <v>Unit of Corporate Sales</v>
          </cell>
          <cell r="J403" t="str">
            <v>Staff of Key Account Officer</v>
          </cell>
        </row>
        <row r="404">
          <cell r="A404">
            <v>5127</v>
          </cell>
          <cell r="B404" t="str">
            <v>7595236</v>
          </cell>
          <cell r="C404">
            <v>50069729</v>
          </cell>
          <cell r="D404" t="str">
            <v>ANDI MUH.IRFAN</v>
          </cell>
          <cell r="E404" t="str">
            <v>Spv of CUS Operation</v>
          </cell>
          <cell r="F404" t="str">
            <v>Supervisor</v>
          </cell>
          <cell r="G404" t="str">
            <v>Operation Directorate</v>
          </cell>
          <cell r="H404" t="str">
            <v>Dept. of Mining &amp; Power Plant</v>
          </cell>
          <cell r="I404" t="str">
            <v>Unit of Power Plant Operation</v>
          </cell>
          <cell r="J404" t="str">
            <v>Section of Water Treatment &amp; CUS Opr</v>
          </cell>
        </row>
        <row r="405">
          <cell r="A405">
            <v>5128</v>
          </cell>
          <cell r="B405" t="str">
            <v>7606520</v>
          </cell>
          <cell r="C405">
            <v>50052867</v>
          </cell>
          <cell r="D405" t="str">
            <v>HAMZAH GAMMA</v>
          </cell>
          <cell r="E405" t="str">
            <v>E Tender Inlet Dryer (shift)</v>
          </cell>
          <cell r="F405" t="str">
            <v>Associate</v>
          </cell>
          <cell r="G405" t="str">
            <v>Operation Directorate</v>
          </cell>
          <cell r="H405" t="str">
            <v>Dept. of Clinker &amp; Cement Production</v>
          </cell>
          <cell r="I405" t="str">
            <v>Unit of Derivative Product  &amp; Supporting</v>
          </cell>
          <cell r="J405" t="str">
            <v>Section of Derivative Prod. &amp; Opr. 2/3</v>
          </cell>
        </row>
        <row r="406">
          <cell r="A406">
            <v>5129</v>
          </cell>
          <cell r="B406" t="str">
            <v>7502268</v>
          </cell>
          <cell r="C406">
            <v>50008332</v>
          </cell>
          <cell r="D406" t="str">
            <v>BASIR NUNTUNG</v>
          </cell>
          <cell r="E406" t="str">
            <v>Spv of Power Plant CCR</v>
          </cell>
          <cell r="F406" t="str">
            <v>Supervisor</v>
          </cell>
          <cell r="G406" t="str">
            <v>Operation Directorate</v>
          </cell>
          <cell r="H406" t="str">
            <v>Dept. of Mining &amp; Power Plant</v>
          </cell>
          <cell r="I406" t="str">
            <v>Unit of Power Plant Operation</v>
          </cell>
          <cell r="J406" t="str">
            <v>Section of Power Plant Operation</v>
          </cell>
        </row>
        <row r="407">
          <cell r="A407">
            <v>5130</v>
          </cell>
          <cell r="B407" t="str">
            <v>7502270</v>
          </cell>
          <cell r="C407">
            <v>50053951</v>
          </cell>
          <cell r="D407" t="str">
            <v>HASBI</v>
          </cell>
          <cell r="E407" t="str">
            <v>Spv of Line 4 FM Field</v>
          </cell>
          <cell r="F407" t="str">
            <v>Supervisor</v>
          </cell>
          <cell r="G407" t="str">
            <v>Operation Directorate</v>
          </cell>
          <cell r="H407" t="str">
            <v>Dept. of Clinker &amp; Cement Production</v>
          </cell>
          <cell r="I407" t="str">
            <v>Unit of Cement Production</v>
          </cell>
          <cell r="J407" t="str">
            <v>Section of Line 4 Finish Mill Operation</v>
          </cell>
        </row>
        <row r="408">
          <cell r="A408">
            <v>5131</v>
          </cell>
          <cell r="B408" t="str">
            <v>7595055</v>
          </cell>
          <cell r="C408">
            <v>50018503</v>
          </cell>
          <cell r="D408" t="str">
            <v>ARMAN S., S.Kom.</v>
          </cell>
          <cell r="E408" t="str">
            <v>Internal Audit Officer</v>
          </cell>
          <cell r="F408" t="str">
            <v>Manager</v>
          </cell>
          <cell r="G408" t="str">
            <v>President Directorate</v>
          </cell>
          <cell r="H408" t="str">
            <v>Department of Internal Audit</v>
          </cell>
          <cell r="I408" t="str">
            <v>Staff of Internal Audit</v>
          </cell>
        </row>
        <row r="409">
          <cell r="A409">
            <v>5132</v>
          </cell>
          <cell r="B409" t="str">
            <v>7595056</v>
          </cell>
          <cell r="C409">
            <v>50069439</v>
          </cell>
          <cell r="D409" t="str">
            <v>BAHRUN</v>
          </cell>
          <cell r="E409" t="str">
            <v>Autonomous Finish Mill Jr officer</v>
          </cell>
          <cell r="F409" t="str">
            <v>Supervisor</v>
          </cell>
          <cell r="G409" t="str">
            <v>Operation Directorate</v>
          </cell>
          <cell r="H409" t="str">
            <v>Dept. of Clinker &amp; Cement Production</v>
          </cell>
          <cell r="I409" t="str">
            <v>Unit of Cement Production</v>
          </cell>
          <cell r="J409" t="str">
            <v>Section of Cement Production Coach</v>
          </cell>
        </row>
        <row r="410">
          <cell r="A410">
            <v>5133</v>
          </cell>
          <cell r="B410" t="str">
            <v>7595125</v>
          </cell>
          <cell r="C410">
            <v>50052838</v>
          </cell>
          <cell r="D410" t="str">
            <v>NASARUDDIN, SE.</v>
          </cell>
          <cell r="E410" t="str">
            <v>Mgr of Derivative Prod. &amp; Operation 2/3</v>
          </cell>
          <cell r="F410" t="str">
            <v>Manager</v>
          </cell>
          <cell r="G410" t="str">
            <v>Operation Directorate</v>
          </cell>
          <cell r="H410" t="str">
            <v>Dept. of Clinker &amp; Cement Production</v>
          </cell>
          <cell r="I410" t="str">
            <v>Unit of Derivative Product  &amp; Supporting</v>
          </cell>
          <cell r="J410" t="str">
            <v>Section of Derivative Prod. &amp; Opr. 2/3</v>
          </cell>
        </row>
        <row r="411">
          <cell r="A411">
            <v>5134</v>
          </cell>
          <cell r="B411" t="str">
            <v>7595126</v>
          </cell>
          <cell r="C411">
            <v>50007298</v>
          </cell>
          <cell r="D411" t="str">
            <v>HARDIMAN, SE.</v>
          </cell>
          <cell r="E411" t="str">
            <v>SM of Communication &amp; Secretariate</v>
          </cell>
          <cell r="F411" t="str">
            <v>Senior Manager</v>
          </cell>
          <cell r="G411" t="str">
            <v>President Directorate</v>
          </cell>
          <cell r="H411" t="str">
            <v>Dept. of Communication, Legal &amp; GA</v>
          </cell>
          <cell r="I411" t="str">
            <v>Unit of Communication &amp; Secretariate</v>
          </cell>
        </row>
        <row r="412">
          <cell r="A412">
            <v>5135</v>
          </cell>
          <cell r="B412" t="str">
            <v>7595127</v>
          </cell>
          <cell r="C412">
            <v>50063385</v>
          </cell>
          <cell r="D412" t="str">
            <v>NUR ALAM, SE.</v>
          </cell>
          <cell r="E412" t="str">
            <v>SRM Jr Officer</v>
          </cell>
          <cell r="F412" t="str">
            <v>Supervisor</v>
          </cell>
          <cell r="G412" t="str">
            <v>Direktorat Human Capital</v>
          </cell>
          <cell r="H412" t="str">
            <v>Department of Goods Proc. Plan. &amp; Policy</v>
          </cell>
          <cell r="I412" t="str">
            <v>Unit of Supplier Relationship Mgmt.</v>
          </cell>
        </row>
        <row r="413">
          <cell r="A413">
            <v>5136</v>
          </cell>
          <cell r="B413" t="str">
            <v>7595237</v>
          </cell>
          <cell r="C413">
            <v>50069409</v>
          </cell>
          <cell r="D413" t="str">
            <v>ZUL FADLI, ST.</v>
          </cell>
          <cell r="E413" t="str">
            <v>Spv of Line 5 RM Field Specialist</v>
          </cell>
          <cell r="F413" t="str">
            <v>Supervisor</v>
          </cell>
          <cell r="G413" t="str">
            <v>Operation Directorate</v>
          </cell>
          <cell r="H413" t="str">
            <v>Dept. of Clinker &amp; Cement Production</v>
          </cell>
          <cell r="I413" t="str">
            <v>Unit of Clinker Production</v>
          </cell>
          <cell r="J413" t="str">
            <v>Section of Line 5 RKC Operation</v>
          </cell>
        </row>
        <row r="414">
          <cell r="A414">
            <v>5137</v>
          </cell>
          <cell r="B414" t="str">
            <v>7595238</v>
          </cell>
          <cell r="C414">
            <v>50024529</v>
          </cell>
          <cell r="D414" t="str">
            <v>HAERUDDIN</v>
          </cell>
          <cell r="E414" t="str">
            <v>D RKC Evaluation Jr Officer</v>
          </cell>
          <cell r="F414" t="str">
            <v>Supervisor</v>
          </cell>
          <cell r="G414" t="str">
            <v>Operation Directorate</v>
          </cell>
          <cell r="H414" t="str">
            <v>Dept. of Production Planning &amp; Control</v>
          </cell>
          <cell r="I414" t="str">
            <v>Unit of Prod. Plan Eval. &amp; Environmental</v>
          </cell>
          <cell r="J414" t="str">
            <v>Section of RKC Evaluation</v>
          </cell>
        </row>
        <row r="415">
          <cell r="A415">
            <v>5138</v>
          </cell>
          <cell r="B415" t="str">
            <v>7595239</v>
          </cell>
          <cell r="C415">
            <v>50066263</v>
          </cell>
          <cell r="D415" t="str">
            <v>SAWEDIAL, SE.</v>
          </cell>
          <cell r="E415" t="str">
            <v>Maintenance Control &amp; Eval. Jr Officer</v>
          </cell>
          <cell r="F415" t="str">
            <v>Supervisor</v>
          </cell>
          <cell r="G415" t="str">
            <v>Operation Directorate</v>
          </cell>
          <cell r="H415" t="str">
            <v>Dep. of Project Mngmnt &amp; Maint. Support</v>
          </cell>
          <cell r="I415" t="str">
            <v>Unit of Maintenance Planning &amp; Eval.</v>
          </cell>
          <cell r="J415" t="str">
            <v>Staff of Maintenance Control &amp; Eval.</v>
          </cell>
        </row>
        <row r="416">
          <cell r="A416">
            <v>5139</v>
          </cell>
          <cell r="B416" t="str">
            <v>7595240</v>
          </cell>
          <cell r="C416">
            <v>50069049</v>
          </cell>
          <cell r="D416" t="str">
            <v>IKBAR YANTO</v>
          </cell>
          <cell r="E416" t="str">
            <v>Spv of Bitung PP Operation</v>
          </cell>
          <cell r="F416" t="str">
            <v>Supervisor</v>
          </cell>
          <cell r="G416" t="str">
            <v>Operation Directorate</v>
          </cell>
          <cell r="H416" t="str">
            <v>Dept. of Infrastructure</v>
          </cell>
          <cell r="I416" t="str">
            <v>Unit of Packing Plant 2</v>
          </cell>
          <cell r="J416" t="str">
            <v>Section of Bitung Packing Plant</v>
          </cell>
        </row>
        <row r="417">
          <cell r="A417">
            <v>5140</v>
          </cell>
          <cell r="B417" t="str">
            <v>7595291</v>
          </cell>
          <cell r="C417">
            <v>50066703</v>
          </cell>
          <cell r="D417" t="str">
            <v>ZAM ZAM, SE.</v>
          </cell>
          <cell r="E417" t="str">
            <v>Mgr of Household</v>
          </cell>
          <cell r="F417" t="str">
            <v>Manager</v>
          </cell>
          <cell r="G417" t="str">
            <v>President Directorate</v>
          </cell>
          <cell r="H417" t="str">
            <v>Dept. of Communication, Legal &amp; GA</v>
          </cell>
          <cell r="I417" t="str">
            <v>Unit of General Facility &amp; Asset</v>
          </cell>
          <cell r="J417" t="str">
            <v>Section of Household</v>
          </cell>
        </row>
        <row r="418">
          <cell r="A418">
            <v>5141</v>
          </cell>
          <cell r="B418" t="str">
            <v>7606522</v>
          </cell>
          <cell r="C418">
            <v>50069132</v>
          </cell>
          <cell r="D418" t="str">
            <v>ABD.HAFID</v>
          </cell>
          <cell r="E418" t="str">
            <v>Land Interplant &amp; DEPO Mngmnt Jr Officer</v>
          </cell>
          <cell r="F418" t="str">
            <v>Supervisor</v>
          </cell>
          <cell r="G418" t="str">
            <v>Operation Directorate</v>
          </cell>
          <cell r="H418" t="str">
            <v>Dept. of Infrastructure</v>
          </cell>
          <cell r="I418" t="str">
            <v>Unit of Interplant Logistic</v>
          </cell>
          <cell r="J418" t="str">
            <v>Section of Land Interplant &amp; DEPO Mngmnt</v>
          </cell>
        </row>
        <row r="419">
          <cell r="A419">
            <v>5142</v>
          </cell>
          <cell r="B419" t="str">
            <v>7595027</v>
          </cell>
          <cell r="C419">
            <v>50069308</v>
          </cell>
          <cell r="D419" t="str">
            <v>MUHSIN</v>
          </cell>
          <cell r="E419" t="str">
            <v>Spv of Operation RKC 2/3</v>
          </cell>
          <cell r="F419" t="str">
            <v>Supervisor</v>
          </cell>
          <cell r="G419" t="str">
            <v>Operation Directorate</v>
          </cell>
          <cell r="H419" t="str">
            <v>Dept. of Clinker &amp; Cement Production</v>
          </cell>
          <cell r="I419" t="str">
            <v>Unit of Derivative Product  &amp; Supporting</v>
          </cell>
          <cell r="J419" t="str">
            <v>Section of Derivative Prod. &amp; Opr. 2/3</v>
          </cell>
        </row>
        <row r="420">
          <cell r="A420">
            <v>5143</v>
          </cell>
          <cell r="B420" t="str">
            <v>7595058</v>
          </cell>
          <cell r="C420">
            <v>50062556</v>
          </cell>
          <cell r="D420" t="str">
            <v>M.AMRAN ARIFUDDIN, ST.</v>
          </cell>
          <cell r="E420" t="str">
            <v>Maintenance Inspection Officer</v>
          </cell>
          <cell r="F420" t="str">
            <v>Manager</v>
          </cell>
          <cell r="G420" t="str">
            <v>Operation Directorate</v>
          </cell>
          <cell r="H420" t="str">
            <v>Dept. of Maintenance</v>
          </cell>
          <cell r="I420" t="str">
            <v>Unit of Reliability Maintenance</v>
          </cell>
          <cell r="J420" t="str">
            <v>Staff of Maintenance Inspection</v>
          </cell>
        </row>
        <row r="421">
          <cell r="A421">
            <v>5144</v>
          </cell>
          <cell r="B421" t="str">
            <v>7595128</v>
          </cell>
          <cell r="C421">
            <v>50052850</v>
          </cell>
          <cell r="D421" t="str">
            <v>MUH.MUSAFIR, ST.</v>
          </cell>
          <cell r="E421" t="str">
            <v>SM of Derivative Product &amp; Supporting</v>
          </cell>
          <cell r="F421" t="str">
            <v>Senior Manager</v>
          </cell>
          <cell r="G421" t="str">
            <v>Operation Directorate</v>
          </cell>
          <cell r="H421" t="str">
            <v>Dept. of Clinker &amp; Cement Production</v>
          </cell>
          <cell r="I421" t="str">
            <v>Unit of Derivative Product  &amp; Supporting</v>
          </cell>
        </row>
        <row r="422">
          <cell r="A422">
            <v>5145</v>
          </cell>
          <cell r="B422" t="str">
            <v>7595292</v>
          </cell>
          <cell r="C422">
            <v>50064189</v>
          </cell>
          <cell r="D422" t="str">
            <v>SITTI ISWARNI, SE.</v>
          </cell>
          <cell r="E422" t="str">
            <v>OOTC (Dir of Finance PT Pelsindo)</v>
          </cell>
          <cell r="F422" t="str">
            <v>Senior Manager</v>
          </cell>
          <cell r="G422" t="str">
            <v>President Directorate</v>
          </cell>
          <cell r="I422" t="str">
            <v>Staff of Pres Dir ( Pelsindo )</v>
          </cell>
        </row>
        <row r="423">
          <cell r="A423">
            <v>5146</v>
          </cell>
          <cell r="B423" t="str">
            <v>7606524</v>
          </cell>
          <cell r="C423">
            <v>50069655</v>
          </cell>
          <cell r="D423" t="str">
            <v>AKMAL</v>
          </cell>
          <cell r="E423" t="str">
            <v>Spv of CR Clay Crusher (2/3/4/5)</v>
          </cell>
          <cell r="F423" t="str">
            <v>Supervisor</v>
          </cell>
          <cell r="G423" t="str">
            <v>Operation Directorate</v>
          </cell>
          <cell r="H423" t="str">
            <v>Dept. of Mining &amp; Power Plant</v>
          </cell>
          <cell r="I423" t="str">
            <v>Unit of Raw Material Management</v>
          </cell>
          <cell r="J423" t="str">
            <v>Section of Clay Crusher Operation</v>
          </cell>
        </row>
        <row r="424">
          <cell r="A424">
            <v>5147</v>
          </cell>
          <cell r="B424" t="str">
            <v>7502271</v>
          </cell>
          <cell r="C424">
            <v>50066702</v>
          </cell>
          <cell r="D424" t="str">
            <v>NAJAMUDDIN</v>
          </cell>
          <cell r="E424" t="str">
            <v>GA &amp; Facility 2 (Tonasa 2) Jr Officer</v>
          </cell>
          <cell r="F424" t="str">
            <v>Supervisor</v>
          </cell>
          <cell r="G424" t="str">
            <v>President Directorate</v>
          </cell>
          <cell r="H424" t="str">
            <v>Dept. of Communication, Legal &amp; GA</v>
          </cell>
          <cell r="I424" t="str">
            <v>Unit of General Facility &amp; Asset</v>
          </cell>
          <cell r="J424" t="str">
            <v>Section of General Affair &amp; Facility 2</v>
          </cell>
        </row>
        <row r="425">
          <cell r="A425">
            <v>5148</v>
          </cell>
          <cell r="B425" t="str">
            <v>7595059</v>
          </cell>
          <cell r="C425">
            <v>50069776</v>
          </cell>
          <cell r="D425" t="str">
            <v>HERMAN, ST.</v>
          </cell>
          <cell r="E425" t="str">
            <v>Spv of Loader &amp; Transport Elins Maint.</v>
          </cell>
          <cell r="F425" t="str">
            <v>Supervisor</v>
          </cell>
          <cell r="G425" t="str">
            <v>Operation Directorate</v>
          </cell>
          <cell r="H425" t="str">
            <v>Dept. of Maintenance</v>
          </cell>
          <cell r="I425" t="str">
            <v>Unit of Port Product Discharge Maint.</v>
          </cell>
          <cell r="J425" t="str">
            <v>Section of Port Facility Elins Maint.</v>
          </cell>
        </row>
        <row r="426">
          <cell r="A426">
            <v>5149</v>
          </cell>
          <cell r="B426" t="str">
            <v>7595060</v>
          </cell>
          <cell r="C426">
            <v>50064702</v>
          </cell>
          <cell r="D426" t="str">
            <v>AHMAD, ST.</v>
          </cell>
          <cell r="E426" t="str">
            <v>Internal Audit Jr Officer</v>
          </cell>
          <cell r="F426" t="str">
            <v>Supervisor</v>
          </cell>
          <cell r="G426" t="str">
            <v>President Directorate</v>
          </cell>
          <cell r="H426" t="str">
            <v>Department of Internal Audit</v>
          </cell>
          <cell r="I426" t="str">
            <v>Staff of Internal Audit</v>
          </cell>
        </row>
        <row r="427">
          <cell r="A427">
            <v>5150</v>
          </cell>
          <cell r="B427" t="str">
            <v>7595061</v>
          </cell>
          <cell r="C427">
            <v>50070120</v>
          </cell>
          <cell r="D427" t="str">
            <v>ARHAM ARAS</v>
          </cell>
          <cell r="E427" t="str">
            <v>SM of AFR Procurement</v>
          </cell>
          <cell r="F427" t="str">
            <v>Senior Manager</v>
          </cell>
          <cell r="G427" t="str">
            <v>Direktorat Human Capital</v>
          </cell>
          <cell r="H427" t="str">
            <v>Department of Energy &amp; Materials Proc.</v>
          </cell>
          <cell r="I427" t="str">
            <v>Unit of AFR Procurement</v>
          </cell>
        </row>
        <row r="428">
          <cell r="A428">
            <v>5151</v>
          </cell>
          <cell r="B428" t="str">
            <v>7595129</v>
          </cell>
          <cell r="C428">
            <v>50070786</v>
          </cell>
          <cell r="D428" t="str">
            <v>DIDI AMIN</v>
          </cell>
          <cell r="E428" t="str">
            <v>Institution Relation Officer</v>
          </cell>
          <cell r="F428" t="str">
            <v>Manager</v>
          </cell>
          <cell r="G428" t="str">
            <v>President Directorate</v>
          </cell>
          <cell r="H428" t="str">
            <v>Dept. of Communication, Legal &amp; GA</v>
          </cell>
          <cell r="I428" t="str">
            <v>Unit of Communication &amp; Secretariate</v>
          </cell>
          <cell r="J428" t="str">
            <v>Staff of Institution Relation</v>
          </cell>
        </row>
        <row r="429">
          <cell r="A429">
            <v>5152</v>
          </cell>
          <cell r="B429" t="str">
            <v>7106546</v>
          </cell>
          <cell r="C429">
            <v>50069084</v>
          </cell>
          <cell r="D429" t="str">
            <v>FIRMANSAH</v>
          </cell>
          <cell r="E429" t="str">
            <v>Spv of Silo &amp; Jetty Operation</v>
          </cell>
          <cell r="F429" t="str">
            <v>Supervisor</v>
          </cell>
          <cell r="G429" t="str">
            <v>Operation Directorate</v>
          </cell>
          <cell r="H429" t="str">
            <v>Dept. of Infrastructure</v>
          </cell>
          <cell r="I429" t="str">
            <v>Unit of Plant &amp; Port Prod Discharge Opr</v>
          </cell>
          <cell r="J429" t="str">
            <v>Section of Port Opr (Silo, Aux. T &amp; SM)</v>
          </cell>
        </row>
        <row r="430">
          <cell r="A430">
            <v>5153</v>
          </cell>
          <cell r="B430" t="str">
            <v>7502272</v>
          </cell>
          <cell r="C430">
            <v>50066401</v>
          </cell>
          <cell r="D430" t="str">
            <v>LA AMI ENTE</v>
          </cell>
          <cell r="E430" t="str">
            <v>Spv of AC Maintenance &amp; Utility</v>
          </cell>
          <cell r="F430" t="str">
            <v>Supervisor</v>
          </cell>
          <cell r="G430" t="str">
            <v>Operation Directorate</v>
          </cell>
          <cell r="H430" t="str">
            <v>Dep. of Project Mngmnt &amp; Maint. Support</v>
          </cell>
          <cell r="I430" t="str">
            <v>Unit of Workshop</v>
          </cell>
          <cell r="J430" t="str">
            <v>Section of Elins Workshop</v>
          </cell>
        </row>
        <row r="431">
          <cell r="A431">
            <v>5154</v>
          </cell>
          <cell r="B431" t="str">
            <v>7502273</v>
          </cell>
          <cell r="C431">
            <v>50069077</v>
          </cell>
          <cell r="D431" t="str">
            <v>IMRAN KASIM</v>
          </cell>
          <cell r="E431" t="str">
            <v>Spv of Port Operation</v>
          </cell>
          <cell r="F431" t="str">
            <v>Supervisor</v>
          </cell>
          <cell r="G431" t="str">
            <v>Operation Directorate</v>
          </cell>
          <cell r="H431" t="str">
            <v>Dept. of Infrastructure</v>
          </cell>
          <cell r="I431" t="str">
            <v>Unit of Plant &amp; Port Prod Discharge Opr</v>
          </cell>
          <cell r="J431" t="str">
            <v>Section of Port Opr (Packer &amp; Curah)</v>
          </cell>
        </row>
        <row r="432">
          <cell r="A432">
            <v>5155</v>
          </cell>
          <cell r="B432" t="str">
            <v>7595062</v>
          </cell>
          <cell r="C432">
            <v>50069664</v>
          </cell>
          <cell r="D432" t="str">
            <v>DASA AGUSTRIAWAN</v>
          </cell>
          <cell r="E432" t="str">
            <v>Mgr of CUS Maintenance</v>
          </cell>
          <cell r="F432" t="str">
            <v>Manager</v>
          </cell>
          <cell r="G432" t="str">
            <v>Operation Directorate</v>
          </cell>
          <cell r="H432" t="str">
            <v>Dept. of Mining &amp; Power Plant</v>
          </cell>
          <cell r="I432" t="str">
            <v>Unit of Power Plant Machine Maint</v>
          </cell>
          <cell r="J432" t="str">
            <v>Section of CUS Maintenance</v>
          </cell>
        </row>
        <row r="433">
          <cell r="A433">
            <v>5156</v>
          </cell>
          <cell r="B433" t="str">
            <v>7595130</v>
          </cell>
          <cell r="C433">
            <v>50070762</v>
          </cell>
          <cell r="D433" t="str">
            <v>LAODE FAJARIN, S.Kom.</v>
          </cell>
          <cell r="E433" t="str">
            <v>Key Account Officer</v>
          </cell>
          <cell r="F433" t="str">
            <v>Manager</v>
          </cell>
          <cell r="G433" t="str">
            <v>President Directorate</v>
          </cell>
          <cell r="H433" t="str">
            <v>Dept. of Sales</v>
          </cell>
          <cell r="I433" t="str">
            <v>Unit of Corporate Sales</v>
          </cell>
          <cell r="J433" t="str">
            <v>Staff of Key Account Officer</v>
          </cell>
        </row>
        <row r="434">
          <cell r="A434">
            <v>5157</v>
          </cell>
          <cell r="B434" t="str">
            <v>7595241</v>
          </cell>
          <cell r="C434">
            <v>50065468</v>
          </cell>
          <cell r="D434" t="str">
            <v>SHUBHAN ANAS</v>
          </cell>
          <cell r="E434" t="str">
            <v>Spv of Troubleshooting LS CL SC 2/3/4</v>
          </cell>
          <cell r="F434" t="str">
            <v>Supervisor</v>
          </cell>
          <cell r="G434" t="str">
            <v>Operation Directorate</v>
          </cell>
          <cell r="H434" t="str">
            <v>Dept. of Maintenance</v>
          </cell>
          <cell r="I434" t="str">
            <v>Unit of Machine Maintenance 1</v>
          </cell>
          <cell r="J434" t="str">
            <v>Section of Crusher Machine &amp; Conv Maint.</v>
          </cell>
        </row>
        <row r="435">
          <cell r="A435">
            <v>5158</v>
          </cell>
          <cell r="B435" t="str">
            <v>7595293</v>
          </cell>
          <cell r="C435">
            <v>50066713</v>
          </cell>
          <cell r="D435" t="str">
            <v>SITTI IRNA, SE.</v>
          </cell>
          <cell r="E435" t="str">
            <v>Secretariate &amp; Protocol Officer</v>
          </cell>
          <cell r="F435" t="str">
            <v>Manager</v>
          </cell>
          <cell r="G435" t="str">
            <v>President Directorate</v>
          </cell>
          <cell r="H435" t="str">
            <v>Dept. of Communication, Legal &amp; GA</v>
          </cell>
          <cell r="I435" t="str">
            <v>Unit of Communication &amp; Secretariate</v>
          </cell>
          <cell r="J435" t="str">
            <v>Staff of Secretariate &amp; Protocol</v>
          </cell>
        </row>
        <row r="436">
          <cell r="A436">
            <v>5159</v>
          </cell>
          <cell r="B436" t="str">
            <v>7595063</v>
          </cell>
          <cell r="C436">
            <v>50054255</v>
          </cell>
          <cell r="D436" t="str">
            <v>H. ISMAIL, SE., MM., PIA.</v>
          </cell>
          <cell r="E436" t="str">
            <v>Internal Audit Officer</v>
          </cell>
          <cell r="F436" t="str">
            <v>Manager</v>
          </cell>
          <cell r="G436" t="str">
            <v>President Directorate</v>
          </cell>
          <cell r="H436" t="str">
            <v>Department of Internal Audit</v>
          </cell>
          <cell r="I436" t="str">
            <v>Staff of Internal Audit</v>
          </cell>
        </row>
        <row r="437">
          <cell r="A437">
            <v>5160</v>
          </cell>
          <cell r="B437" t="str">
            <v>7595064</v>
          </cell>
          <cell r="C437">
            <v>50070277</v>
          </cell>
          <cell r="D437" t="str">
            <v>DERMINTO MULAK R.S, SE.</v>
          </cell>
          <cell r="E437" t="str">
            <v>Procurement Officer</v>
          </cell>
          <cell r="F437" t="str">
            <v>Manager</v>
          </cell>
          <cell r="G437" t="str">
            <v>Direktorat Human Capital</v>
          </cell>
          <cell r="H437" t="str">
            <v>Department of Energy &amp; Materials Proc.</v>
          </cell>
          <cell r="I437" t="str">
            <v>Unit of Energy Procurement</v>
          </cell>
        </row>
        <row r="438">
          <cell r="A438">
            <v>5161</v>
          </cell>
          <cell r="B438" t="str">
            <v>7595131</v>
          </cell>
          <cell r="C438">
            <v>50069634</v>
          </cell>
          <cell r="D438" t="str">
            <v>IMRAN, SE.</v>
          </cell>
          <cell r="E438" t="str">
            <v>Spv of Line 5 Limestone Crusher</v>
          </cell>
          <cell r="F438" t="str">
            <v>Supervisor</v>
          </cell>
          <cell r="G438" t="str">
            <v>Operation Directorate</v>
          </cell>
          <cell r="H438" t="str">
            <v>Dept. of Mining &amp; Power Plant</v>
          </cell>
          <cell r="I438" t="str">
            <v>Unit of Raw Material Management</v>
          </cell>
          <cell r="J438" t="str">
            <v>Section of Limestone Crusher Operation</v>
          </cell>
        </row>
        <row r="439">
          <cell r="A439">
            <v>5162</v>
          </cell>
          <cell r="B439" t="str">
            <v>7606533</v>
          </cell>
          <cell r="C439">
            <v>50069659</v>
          </cell>
          <cell r="D439" t="str">
            <v>YAKOBUS AMBANG</v>
          </cell>
          <cell r="E439" t="str">
            <v>Spv of CR Clay Crusher (2/3/4/5)</v>
          </cell>
          <cell r="F439" t="str">
            <v>Supervisor</v>
          </cell>
          <cell r="G439" t="str">
            <v>Operation Directorate</v>
          </cell>
          <cell r="H439" t="str">
            <v>Dept. of Mining &amp; Power Plant</v>
          </cell>
          <cell r="I439" t="str">
            <v>Unit of Raw Material Management</v>
          </cell>
          <cell r="J439" t="str">
            <v>Section of Clay Crusher Operation</v>
          </cell>
        </row>
        <row r="440">
          <cell r="A440">
            <v>5163</v>
          </cell>
          <cell r="B440" t="str">
            <v>7502274</v>
          </cell>
          <cell r="C440">
            <v>50069074</v>
          </cell>
          <cell r="D440" t="str">
            <v>M.TAHIR, SE.</v>
          </cell>
          <cell r="E440" t="str">
            <v>Spv of Port Operation</v>
          </cell>
          <cell r="F440" t="str">
            <v>Supervisor</v>
          </cell>
          <cell r="G440" t="str">
            <v>Operation Directorate</v>
          </cell>
          <cell r="H440" t="str">
            <v>Dept. of Infrastructure</v>
          </cell>
          <cell r="I440" t="str">
            <v>Unit of Plant &amp; Port Prod Discharge Opr</v>
          </cell>
          <cell r="J440" t="str">
            <v>Section of Port Opr (Packer &amp; Curah)</v>
          </cell>
        </row>
        <row r="441">
          <cell r="A441">
            <v>5164</v>
          </cell>
          <cell r="B441" t="str">
            <v>7595065</v>
          </cell>
          <cell r="C441">
            <v>50034994</v>
          </cell>
          <cell r="D441" t="str">
            <v>MUNAWAR TAIYEB</v>
          </cell>
          <cell r="E441" t="str">
            <v>Line 2/3 RKC Elins PdM&amp;PM Jr Officer</v>
          </cell>
          <cell r="F441" t="str">
            <v>Supervisor</v>
          </cell>
          <cell r="G441" t="str">
            <v>Operation Directorate</v>
          </cell>
          <cell r="H441" t="str">
            <v>Dept. of Maintenance</v>
          </cell>
          <cell r="I441" t="str">
            <v>Unit of Elins Maintenance 1</v>
          </cell>
          <cell r="J441" t="str">
            <v>Section of Line 2/3 RKC Elins Maint.</v>
          </cell>
        </row>
        <row r="442">
          <cell r="A442">
            <v>5165</v>
          </cell>
          <cell r="B442" t="str">
            <v>7595066</v>
          </cell>
          <cell r="C442">
            <v>50061227</v>
          </cell>
          <cell r="D442" t="str">
            <v>BUDI SANTOSO</v>
          </cell>
          <cell r="E442" t="str">
            <v>Spv of Line 4 Elins Trass Mill PvM</v>
          </cell>
          <cell r="F442" t="str">
            <v>Supervisor</v>
          </cell>
          <cell r="G442" t="str">
            <v>Operation Directorate</v>
          </cell>
          <cell r="H442" t="str">
            <v>Dept. of Maintenance</v>
          </cell>
          <cell r="I442" t="str">
            <v>Unit of Elins Maintenance 2</v>
          </cell>
          <cell r="J442" t="str">
            <v>Section of Line 4/5 FM Elins Maint</v>
          </cell>
        </row>
        <row r="443">
          <cell r="A443">
            <v>5166</v>
          </cell>
          <cell r="B443" t="str">
            <v>7595132</v>
          </cell>
          <cell r="C443">
            <v>50070729</v>
          </cell>
          <cell r="D443" t="str">
            <v>NASRUN</v>
          </cell>
          <cell r="E443" t="str">
            <v>Kalsel &amp; NTB TSO</v>
          </cell>
          <cell r="F443" t="str">
            <v>Supervisor</v>
          </cell>
          <cell r="G443" t="str">
            <v>President Directorate</v>
          </cell>
          <cell r="H443" t="str">
            <v>Dept. of Sales</v>
          </cell>
          <cell r="I443" t="str">
            <v>Unit of Sales 2</v>
          </cell>
          <cell r="J443" t="str">
            <v>Section of Kalsel &amp; NTB</v>
          </cell>
        </row>
        <row r="444">
          <cell r="A444">
            <v>5167</v>
          </cell>
          <cell r="B444" t="str">
            <v>7595133</v>
          </cell>
          <cell r="C444">
            <v>50008322</v>
          </cell>
          <cell r="D444" t="str">
            <v>WIJANARKO, SE.</v>
          </cell>
          <cell r="E444" t="str">
            <v>Mgr of Power Plant Operation</v>
          </cell>
          <cell r="F444" t="str">
            <v>Manager</v>
          </cell>
          <cell r="G444" t="str">
            <v>Operation Directorate</v>
          </cell>
          <cell r="H444" t="str">
            <v>Dept. of Mining &amp; Power Plant</v>
          </cell>
          <cell r="I444" t="str">
            <v>Unit of Power Plant Operation</v>
          </cell>
          <cell r="J444" t="str">
            <v>Section of Power Plant Operation</v>
          </cell>
        </row>
        <row r="445">
          <cell r="A445">
            <v>5168</v>
          </cell>
          <cell r="B445" t="str">
            <v>7595242</v>
          </cell>
          <cell r="C445">
            <v>50008216</v>
          </cell>
          <cell r="D445" t="str">
            <v>M.ALWI, ST.</v>
          </cell>
          <cell r="E445" t="str">
            <v>Maintenance Inspection Officer</v>
          </cell>
          <cell r="F445" t="str">
            <v>Manager</v>
          </cell>
          <cell r="G445" t="str">
            <v>Operation Directorate</v>
          </cell>
          <cell r="H445" t="str">
            <v>Dept. of Maintenance</v>
          </cell>
          <cell r="I445" t="str">
            <v>Unit of Reliability Maintenance</v>
          </cell>
          <cell r="J445" t="str">
            <v>Staff of Maintenance Inspection</v>
          </cell>
        </row>
        <row r="446">
          <cell r="A446">
            <v>5169</v>
          </cell>
          <cell r="B446" t="str">
            <v>7595294</v>
          </cell>
          <cell r="C446">
            <v>50070215</v>
          </cell>
          <cell r="D446" t="str">
            <v>ANDI TENRIAMPA, SE.</v>
          </cell>
          <cell r="E446" t="str">
            <v>Procurement Jr Officer</v>
          </cell>
          <cell r="F446" t="str">
            <v>Supervisor</v>
          </cell>
          <cell r="G446" t="str">
            <v>Direktorat Human Capital</v>
          </cell>
          <cell r="H446" t="str">
            <v>Department of Goods &amp; Capex Procurement</v>
          </cell>
          <cell r="I446" t="str">
            <v>Unit of Electrical Procurement</v>
          </cell>
        </row>
        <row r="447">
          <cell r="A447">
            <v>5170</v>
          </cell>
          <cell r="B447" t="str">
            <v>7595295</v>
          </cell>
          <cell r="C447">
            <v>50065628</v>
          </cell>
          <cell r="D447" t="str">
            <v>ABDUL RIVAI RAMLI, SE.</v>
          </cell>
          <cell r="E447" t="str">
            <v>OOTC (Staff of DPST)</v>
          </cell>
          <cell r="F447" t="str">
            <v>Manager</v>
          </cell>
          <cell r="G447" t="str">
            <v>President Directorate</v>
          </cell>
          <cell r="I447" t="str">
            <v>Staff of Pres Dir (Dana Pensiun)</v>
          </cell>
        </row>
        <row r="448">
          <cell r="A448">
            <v>5171</v>
          </cell>
          <cell r="B448" t="str">
            <v>7595067</v>
          </cell>
          <cell r="C448">
            <v>50069319</v>
          </cell>
          <cell r="D448" t="str">
            <v>ABRAHAM PALADANG</v>
          </cell>
          <cell r="E448" t="str">
            <v>Spv of Autonomous</v>
          </cell>
          <cell r="F448" t="str">
            <v>Supervisor</v>
          </cell>
          <cell r="G448" t="str">
            <v>Operation Directorate</v>
          </cell>
          <cell r="H448" t="str">
            <v>Dept. of Clinker &amp; Cement Production</v>
          </cell>
          <cell r="I448" t="str">
            <v>Unit of Derivative Product  &amp; Supporting</v>
          </cell>
          <cell r="J448" t="str">
            <v>Section of Derivative Prod. &amp; Opr. 2/3</v>
          </cell>
        </row>
        <row r="449">
          <cell r="A449">
            <v>5172</v>
          </cell>
          <cell r="B449" t="str">
            <v>7595068</v>
          </cell>
          <cell r="C449">
            <v>50047254</v>
          </cell>
          <cell r="D449" t="str">
            <v>DANIEL TANDO, ST.</v>
          </cell>
          <cell r="E449" t="str">
            <v>Troubleshooting Jr Officer</v>
          </cell>
          <cell r="F449" t="str">
            <v>Supervisor</v>
          </cell>
          <cell r="G449" t="str">
            <v>Operation Directorate</v>
          </cell>
          <cell r="H449" t="str">
            <v>Dept. of Maintenance</v>
          </cell>
          <cell r="I449" t="str">
            <v>Unit of Reliability Maintenance</v>
          </cell>
          <cell r="J449" t="str">
            <v>Staff of Troubleshooting</v>
          </cell>
        </row>
        <row r="450">
          <cell r="A450">
            <v>5173</v>
          </cell>
          <cell r="B450" t="str">
            <v>7595243</v>
          </cell>
          <cell r="C450">
            <v>50069474</v>
          </cell>
          <cell r="D450" t="str">
            <v>MANSUR</v>
          </cell>
          <cell r="E450" t="str">
            <v>Spv of Heavy Equip. &amp; Tyre Support Maint</v>
          </cell>
          <cell r="F450" t="str">
            <v>Supervisor</v>
          </cell>
          <cell r="G450" t="str">
            <v>Operation Directorate</v>
          </cell>
          <cell r="H450" t="str">
            <v>Dept. of Production Planning &amp; Control</v>
          </cell>
          <cell r="I450" t="str">
            <v>Unit of Production Support</v>
          </cell>
          <cell r="J450" t="str">
            <v>Section of Heavy Equipment &amp; Coal Transp</v>
          </cell>
        </row>
        <row r="451">
          <cell r="A451">
            <v>5174</v>
          </cell>
          <cell r="B451" t="str">
            <v>7595276</v>
          </cell>
          <cell r="C451">
            <v>50070724</v>
          </cell>
          <cell r="D451" t="str">
            <v>AHMAD ASNAWI, SE., MM.</v>
          </cell>
          <cell r="E451" t="str">
            <v>SSM of Sales 2</v>
          </cell>
          <cell r="F451" t="str">
            <v>Senior Manager</v>
          </cell>
          <cell r="G451" t="str">
            <v>President Directorate</v>
          </cell>
          <cell r="H451" t="str">
            <v>Dept. of Sales</v>
          </cell>
          <cell r="I451" t="str">
            <v>Unit of Sales 2</v>
          </cell>
        </row>
        <row r="452">
          <cell r="A452">
            <v>5175</v>
          </cell>
          <cell r="B452" t="str">
            <v>7606534</v>
          </cell>
          <cell r="C452">
            <v>50069654</v>
          </cell>
          <cell r="D452" t="str">
            <v>MUHAMMAD ASHAR</v>
          </cell>
          <cell r="E452" t="str">
            <v>Spv of CR Clay Crusher (2/3/4/5)</v>
          </cell>
          <cell r="F452" t="str">
            <v>Supervisor</v>
          </cell>
          <cell r="G452" t="str">
            <v>Operation Directorate</v>
          </cell>
          <cell r="H452" t="str">
            <v>Dept. of Mining &amp; Power Plant</v>
          </cell>
          <cell r="I452" t="str">
            <v>Unit of Raw Material Management</v>
          </cell>
          <cell r="J452" t="str">
            <v>Section of Clay Crusher Operation</v>
          </cell>
        </row>
        <row r="453">
          <cell r="A453">
            <v>5176</v>
          </cell>
          <cell r="B453" t="str">
            <v>7502275</v>
          </cell>
          <cell r="C453">
            <v>50069629</v>
          </cell>
          <cell r="D453" t="str">
            <v>M.DARUSLAN</v>
          </cell>
          <cell r="E453" t="str">
            <v>Spv of Control Room LS Crusher (4)</v>
          </cell>
          <cell r="F453" t="str">
            <v>Supervisor</v>
          </cell>
          <cell r="G453" t="str">
            <v>Operation Directorate</v>
          </cell>
          <cell r="H453" t="str">
            <v>Dept. of Mining &amp; Power Plant</v>
          </cell>
          <cell r="I453" t="str">
            <v>Unit of Raw Material Management</v>
          </cell>
          <cell r="J453" t="str">
            <v>Section of Limestone Crusher Operation</v>
          </cell>
        </row>
        <row r="454">
          <cell r="A454">
            <v>5177</v>
          </cell>
          <cell r="B454" t="str">
            <v>7595069</v>
          </cell>
          <cell r="C454">
            <v>50069509</v>
          </cell>
          <cell r="D454" t="str">
            <v>MASMUDDIN</v>
          </cell>
          <cell r="E454" t="str">
            <v>Line 2/3 System Control Maint Jr Officer</v>
          </cell>
          <cell r="F454" t="str">
            <v>Supervisor</v>
          </cell>
          <cell r="G454" t="str">
            <v>Operation Directorate</v>
          </cell>
          <cell r="H454" t="str">
            <v>Dept. of Maintenance</v>
          </cell>
          <cell r="I454" t="str">
            <v>Unit of Elins Maintenance 1</v>
          </cell>
          <cell r="J454" t="str">
            <v>Section of Line 2/3 RKC Elins Maint.</v>
          </cell>
        </row>
        <row r="455">
          <cell r="A455">
            <v>5178</v>
          </cell>
          <cell r="B455" t="str">
            <v>7595297</v>
          </cell>
          <cell r="C455">
            <v>50009118</v>
          </cell>
          <cell r="D455" t="str">
            <v>AMIRUDDIN SAID, SE.</v>
          </cell>
          <cell r="E455" t="str">
            <v>SM of Accounting</v>
          </cell>
          <cell r="F455" t="str">
            <v>Senior Manager</v>
          </cell>
          <cell r="G455" t="str">
            <v>Finance Risk Mgmt &amp; General Directorate</v>
          </cell>
          <cell r="H455" t="str">
            <v>Department of Finance &amp; Accounting</v>
          </cell>
          <cell r="I455" t="str">
            <v>Unit of Accounting</v>
          </cell>
        </row>
        <row r="456">
          <cell r="A456">
            <v>5180</v>
          </cell>
          <cell r="B456" t="str">
            <v>7602279</v>
          </cell>
          <cell r="C456">
            <v>50068567</v>
          </cell>
          <cell r="D456" t="str">
            <v>AMIRULLAH</v>
          </cell>
          <cell r="E456" t="str">
            <v>Land Transportation Jr Officer</v>
          </cell>
          <cell r="F456" t="str">
            <v>Supervisor</v>
          </cell>
          <cell r="G456" t="str">
            <v>President Directorate</v>
          </cell>
          <cell r="H456" t="str">
            <v>Dept. of Sales</v>
          </cell>
          <cell r="I456" t="str">
            <v>Unit of Outbound Logistic</v>
          </cell>
          <cell r="J456" t="str">
            <v>Section of Land Transportation</v>
          </cell>
        </row>
        <row r="457">
          <cell r="A457">
            <v>5181</v>
          </cell>
          <cell r="B457" t="str">
            <v>7695070</v>
          </cell>
          <cell r="C457">
            <v>50058448</v>
          </cell>
          <cell r="D457" t="str">
            <v>HASRUL</v>
          </cell>
          <cell r="E457" t="str">
            <v>Sea Transportation Planning Officer</v>
          </cell>
          <cell r="F457" t="str">
            <v>Manager</v>
          </cell>
          <cell r="G457" t="str">
            <v>Direktorat Sales dan Marketing</v>
          </cell>
          <cell r="H457" t="str">
            <v>Department of Distrans Management</v>
          </cell>
          <cell r="I457" t="str">
            <v>Unit of Sea Transportation Planning</v>
          </cell>
        </row>
        <row r="458">
          <cell r="A458">
            <v>5182</v>
          </cell>
          <cell r="B458" t="str">
            <v>7695134</v>
          </cell>
          <cell r="C458">
            <v>50065641</v>
          </cell>
          <cell r="D458" t="str">
            <v>SUKARJONO</v>
          </cell>
          <cell r="E458" t="str">
            <v>AFR Officer</v>
          </cell>
          <cell r="F458" t="str">
            <v>Manager</v>
          </cell>
          <cell r="G458" t="str">
            <v>Operation Directorate</v>
          </cell>
          <cell r="H458" t="str">
            <v>Dept. of Production Planning &amp; Control</v>
          </cell>
          <cell r="I458" t="str">
            <v>Unit of AFR &amp; Energy</v>
          </cell>
          <cell r="J458" t="str">
            <v>Staff of AFR</v>
          </cell>
        </row>
        <row r="459">
          <cell r="A459">
            <v>5183</v>
          </cell>
          <cell r="B459" t="str">
            <v>7695135</v>
          </cell>
          <cell r="C459">
            <v>50023505</v>
          </cell>
          <cell r="D459" t="str">
            <v>SYAMSUL BAHRI</v>
          </cell>
          <cell r="E459" t="str">
            <v>Mgr of Limestone Crusher Operation</v>
          </cell>
          <cell r="F459" t="str">
            <v>Manager</v>
          </cell>
          <cell r="G459" t="str">
            <v>Operation Directorate</v>
          </cell>
          <cell r="H459" t="str">
            <v>Dept. of Mining &amp; Power Plant</v>
          </cell>
          <cell r="I459" t="str">
            <v>Unit of Raw Material Management</v>
          </cell>
          <cell r="J459" t="str">
            <v>Section of Limestone Crusher Operation</v>
          </cell>
        </row>
        <row r="460">
          <cell r="A460">
            <v>5184</v>
          </cell>
          <cell r="B460" t="str">
            <v>7695244</v>
          </cell>
          <cell r="C460">
            <v>50069639</v>
          </cell>
          <cell r="D460" t="str">
            <v>MUH.ANWAR, SE.</v>
          </cell>
          <cell r="E460" t="str">
            <v>Spv of Control Room LS Crusher (5)</v>
          </cell>
          <cell r="F460" t="str">
            <v>Supervisor</v>
          </cell>
          <cell r="G460" t="str">
            <v>Operation Directorate</v>
          </cell>
          <cell r="H460" t="str">
            <v>Dept. of Mining &amp; Power Plant</v>
          </cell>
          <cell r="I460" t="str">
            <v>Unit of Raw Material Management</v>
          </cell>
          <cell r="J460" t="str">
            <v>Section of Limestone Crusher Operation</v>
          </cell>
        </row>
        <row r="461">
          <cell r="A461">
            <v>5185</v>
          </cell>
          <cell r="B461" t="str">
            <v>7695120</v>
          </cell>
          <cell r="C461">
            <v>50069617</v>
          </cell>
          <cell r="D461" t="str">
            <v>KAMARUDDIN, SE.</v>
          </cell>
          <cell r="E461" t="str">
            <v>Spv of Drilling &amp; Mine Development</v>
          </cell>
          <cell r="F461" t="str">
            <v>Supervisor</v>
          </cell>
          <cell r="G461" t="str">
            <v>Operation Directorate</v>
          </cell>
          <cell r="H461" t="str">
            <v>Dept. of Mining &amp; Power Plant</v>
          </cell>
          <cell r="I461" t="str">
            <v>Unit of Mining Operation</v>
          </cell>
          <cell r="J461" t="str">
            <v>Section of Limestone Mining</v>
          </cell>
        </row>
        <row r="462">
          <cell r="A462">
            <v>5186</v>
          </cell>
          <cell r="B462" t="str">
            <v>7695299</v>
          </cell>
          <cell r="C462">
            <v>50024071</v>
          </cell>
          <cell r="D462" t="str">
            <v>HASRAWATI, S.HI</v>
          </cell>
          <cell r="E462" t="str">
            <v>Med. Support &amp; Ind. Hygiene Jr Officer</v>
          </cell>
          <cell r="F462" t="str">
            <v>Supervisor</v>
          </cell>
          <cell r="G462" t="str">
            <v>Finance Risk Mgmt &amp; General Directorate</v>
          </cell>
          <cell r="H462" t="str">
            <v>Department of Human Capital &amp; GRC</v>
          </cell>
          <cell r="I462" t="str">
            <v>Unit of Health Serv &amp; Industrial Hygiene</v>
          </cell>
          <cell r="J462" t="str">
            <v>Staff of Med. Support &amp; Industrial Hygie</v>
          </cell>
        </row>
        <row r="463">
          <cell r="A463">
            <v>5187</v>
          </cell>
          <cell r="B463" t="str">
            <v>7602276</v>
          </cell>
          <cell r="C463">
            <v>50069572</v>
          </cell>
          <cell r="D463" t="str">
            <v>ISAK PAERAN P.</v>
          </cell>
          <cell r="E463" t="str">
            <v>Spv of Troubleshooting</v>
          </cell>
          <cell r="F463" t="str">
            <v>Supervisor</v>
          </cell>
          <cell r="G463" t="str">
            <v>Operation Directorate</v>
          </cell>
          <cell r="H463" t="str">
            <v>Dept. of Maintenance</v>
          </cell>
          <cell r="I463" t="str">
            <v>Unit of Port Product Discharge Maint.</v>
          </cell>
          <cell r="J463" t="str">
            <v>Section of Port Facility Machine Maint.</v>
          </cell>
        </row>
        <row r="464">
          <cell r="A464">
            <v>5188</v>
          </cell>
          <cell r="B464" t="str">
            <v>7602277</v>
          </cell>
          <cell r="C464">
            <v>50053987</v>
          </cell>
          <cell r="D464" t="str">
            <v>BADRI.S</v>
          </cell>
          <cell r="E464" t="str">
            <v>D Spv of Line 2/3 FM Field</v>
          </cell>
          <cell r="F464" t="str">
            <v>Supervisor</v>
          </cell>
          <cell r="G464" t="str">
            <v>Operation Directorate</v>
          </cell>
          <cell r="H464" t="str">
            <v>Dept. of Clinker &amp; Cement Production</v>
          </cell>
          <cell r="I464" t="str">
            <v>Unit of Cement Production</v>
          </cell>
          <cell r="J464" t="str">
            <v>Section of Line 2/3 FM Operation</v>
          </cell>
        </row>
        <row r="465">
          <cell r="A465">
            <v>5189</v>
          </cell>
          <cell r="B465" t="str">
            <v>7695071</v>
          </cell>
          <cell r="C465">
            <v>50046256</v>
          </cell>
          <cell r="D465" t="str">
            <v>MARJAN SISWANTO</v>
          </cell>
          <cell r="E465" t="str">
            <v>Troubleshooting Jr Officer</v>
          </cell>
          <cell r="F465" t="str">
            <v>Supervisor</v>
          </cell>
          <cell r="G465" t="str">
            <v>Operation Directorate</v>
          </cell>
          <cell r="H465" t="str">
            <v>Dept. of Maintenance</v>
          </cell>
          <cell r="I465" t="str">
            <v>Unit of Reliability Maintenance</v>
          </cell>
          <cell r="J465" t="str">
            <v>Staff of Troubleshooting</v>
          </cell>
        </row>
        <row r="466">
          <cell r="A466">
            <v>5190</v>
          </cell>
          <cell r="B466" t="str">
            <v>7695072</v>
          </cell>
          <cell r="C466">
            <v>50047251</v>
          </cell>
          <cell r="D466" t="str">
            <v>MARCEL SAPAN</v>
          </cell>
          <cell r="E466" t="str">
            <v>Troubleshooting Jr Officer</v>
          </cell>
          <cell r="F466" t="str">
            <v>Supervisor</v>
          </cell>
          <cell r="G466" t="str">
            <v>Operation Directorate</v>
          </cell>
          <cell r="H466" t="str">
            <v>Dept. of Maintenance</v>
          </cell>
          <cell r="I466" t="str">
            <v>Unit of Reliability Maintenance</v>
          </cell>
          <cell r="J466" t="str">
            <v>Staff of Troubleshooting</v>
          </cell>
        </row>
        <row r="467">
          <cell r="A467">
            <v>5191</v>
          </cell>
          <cell r="B467" t="str">
            <v>7695073</v>
          </cell>
          <cell r="C467">
            <v>50066227</v>
          </cell>
          <cell r="D467" t="str">
            <v>SADRAKH MARTODA MASIKU</v>
          </cell>
          <cell r="E467" t="str">
            <v>C TPM Officer</v>
          </cell>
          <cell r="F467" t="str">
            <v>Manager</v>
          </cell>
          <cell r="G467" t="str">
            <v>Operation Directorate</v>
          </cell>
          <cell r="H467" t="str">
            <v>Dep. of Project Mngmnt &amp; Maint. Support</v>
          </cell>
          <cell r="I467" t="str">
            <v>Staff of TPM Officer</v>
          </cell>
        </row>
        <row r="468">
          <cell r="A468">
            <v>5192</v>
          </cell>
          <cell r="B468" t="str">
            <v>7695136</v>
          </cell>
          <cell r="C468">
            <v>50071467</v>
          </cell>
          <cell r="D468" t="str">
            <v>M.ARIFIN AR.</v>
          </cell>
          <cell r="E468" t="str">
            <v>System Development Jr Officer</v>
          </cell>
          <cell r="F468" t="str">
            <v>Supervisor</v>
          </cell>
          <cell r="G468" t="str">
            <v>Finance Risk Mgmt &amp; General Directorate</v>
          </cell>
          <cell r="H468" t="str">
            <v>Department of Human Capital &amp; GRC</v>
          </cell>
          <cell r="I468" t="str">
            <v>Unit of Business &amp; System Development</v>
          </cell>
          <cell r="J468" t="str">
            <v>Staff of System Development</v>
          </cell>
        </row>
        <row r="469">
          <cell r="A469">
            <v>5193</v>
          </cell>
          <cell r="B469" t="str">
            <v>7695245</v>
          </cell>
          <cell r="C469">
            <v>50023550</v>
          </cell>
          <cell r="D469" t="str">
            <v>RUBEN BONDO, SE.</v>
          </cell>
          <cell r="E469" t="str">
            <v>Mgr of Power Plant II Machine Maint</v>
          </cell>
          <cell r="F469" t="str">
            <v>Manager</v>
          </cell>
          <cell r="G469" t="str">
            <v>Operation Directorate</v>
          </cell>
          <cell r="H469" t="str">
            <v>Dept. of Mining &amp; Power Plant</v>
          </cell>
          <cell r="I469" t="str">
            <v>Unit of Power Plant Machine Maint</v>
          </cell>
          <cell r="J469" t="str">
            <v>Section of Power Plant Machine Maint</v>
          </cell>
        </row>
        <row r="470">
          <cell r="A470">
            <v>5194</v>
          </cell>
          <cell r="B470" t="str">
            <v>7695247</v>
          </cell>
          <cell r="C470">
            <v>50069597</v>
          </cell>
          <cell r="D470" t="str">
            <v>REZKY TRI MULYONO</v>
          </cell>
          <cell r="E470" t="str">
            <v>Mgr of Mine Planning &amp; Monitoring</v>
          </cell>
          <cell r="F470" t="str">
            <v>Manager</v>
          </cell>
          <cell r="G470" t="str">
            <v>Operation Directorate</v>
          </cell>
          <cell r="H470" t="str">
            <v>Dept. of Mining &amp; Power Plant</v>
          </cell>
          <cell r="I470" t="str">
            <v>Unit of Mine Plan</v>
          </cell>
          <cell r="J470" t="str">
            <v>Section of Mine Planning &amp; Monitoring</v>
          </cell>
        </row>
        <row r="471">
          <cell r="A471">
            <v>5195</v>
          </cell>
          <cell r="B471" t="str">
            <v>7695300</v>
          </cell>
          <cell r="C471">
            <v>50070187</v>
          </cell>
          <cell r="D471" t="str">
            <v>NASRUDDIN</v>
          </cell>
          <cell r="E471" t="str">
            <v>Procurement Officer</v>
          </cell>
          <cell r="F471" t="str">
            <v>Manager</v>
          </cell>
          <cell r="G471" t="str">
            <v>Direktorat Human Capital</v>
          </cell>
          <cell r="H471" t="str">
            <v>Department of Services Procurement</v>
          </cell>
          <cell r="I471" t="str">
            <v>Unit of General Service 2 Procurement</v>
          </cell>
        </row>
        <row r="472">
          <cell r="A472">
            <v>5196</v>
          </cell>
          <cell r="B472" t="str">
            <v>7695301</v>
          </cell>
          <cell r="C472">
            <v>50071466</v>
          </cell>
          <cell r="D472" t="str">
            <v>ANDINI LANDAWE, SE.</v>
          </cell>
          <cell r="E472" t="str">
            <v>System Development Officer</v>
          </cell>
          <cell r="F472" t="str">
            <v>Manager</v>
          </cell>
          <cell r="G472" t="str">
            <v>Finance Risk Mgmt &amp; General Directorate</v>
          </cell>
          <cell r="H472" t="str">
            <v>Department of Human Capital &amp; GRC</v>
          </cell>
          <cell r="I472" t="str">
            <v>Unit of Business &amp; System Development</v>
          </cell>
          <cell r="J472" t="str">
            <v>Staff of System Development</v>
          </cell>
        </row>
        <row r="473">
          <cell r="A473">
            <v>5197</v>
          </cell>
          <cell r="B473" t="str">
            <v>7695302</v>
          </cell>
          <cell r="C473">
            <v>50007210</v>
          </cell>
          <cell r="D473" t="str">
            <v>MARDIANAH, SE.</v>
          </cell>
          <cell r="E473" t="str">
            <v>Secretary of BOD</v>
          </cell>
          <cell r="F473" t="str">
            <v>Supervisor</v>
          </cell>
          <cell r="G473" t="str">
            <v>President Directorate</v>
          </cell>
          <cell r="H473" t="str">
            <v>Dept. of Communication, Legal &amp; GA</v>
          </cell>
        </row>
        <row r="474">
          <cell r="A474">
            <v>5198</v>
          </cell>
          <cell r="B474" t="str">
            <v>7706538</v>
          </cell>
          <cell r="C474">
            <v>50069070</v>
          </cell>
          <cell r="D474" t="str">
            <v>MURSIDA H.</v>
          </cell>
          <cell r="E474" t="str">
            <v>Spv of Port Management System</v>
          </cell>
          <cell r="F474" t="str">
            <v>Supervisor</v>
          </cell>
          <cell r="G474" t="str">
            <v>Operation Directorate</v>
          </cell>
          <cell r="H474" t="str">
            <v>Dept. of Infrastructure</v>
          </cell>
          <cell r="I474" t="str">
            <v>Unit of Plant &amp; Port Prod Discharge Opr</v>
          </cell>
          <cell r="J474" t="str">
            <v>Section of Port Opr (Packer &amp; Curah)</v>
          </cell>
        </row>
        <row r="475">
          <cell r="A475">
            <v>5199</v>
          </cell>
          <cell r="B475" t="str">
            <v>7706539</v>
          </cell>
          <cell r="C475">
            <v>50069119</v>
          </cell>
          <cell r="D475" t="str">
            <v>AKMAL SANJAYA</v>
          </cell>
          <cell r="E475" t="str">
            <v>Spv of Plant Cement Silo Operation</v>
          </cell>
          <cell r="F475" t="str">
            <v>Supervisor</v>
          </cell>
          <cell r="G475" t="str">
            <v>Operation Directorate</v>
          </cell>
          <cell r="H475" t="str">
            <v>Dept. of Infrastructure</v>
          </cell>
          <cell r="I475" t="str">
            <v>Unit of Plant &amp; Port Prod Discharge Opr</v>
          </cell>
          <cell r="J475" t="str">
            <v>Section of Plant Site Packer &amp; Bulk Opr</v>
          </cell>
        </row>
        <row r="476">
          <cell r="A476">
            <v>5200</v>
          </cell>
          <cell r="B476" t="str">
            <v>7602278</v>
          </cell>
          <cell r="C476">
            <v>50069649</v>
          </cell>
          <cell r="D476" t="str">
            <v>MANSYUR.R</v>
          </cell>
          <cell r="E476" t="str">
            <v>Spv of Line 2/3/4/5 Clay Crusher</v>
          </cell>
          <cell r="F476" t="str">
            <v>Supervisor</v>
          </cell>
          <cell r="G476" t="str">
            <v>Operation Directorate</v>
          </cell>
          <cell r="H476" t="str">
            <v>Dept. of Mining &amp; Power Plant</v>
          </cell>
          <cell r="I476" t="str">
            <v>Unit of Raw Material Management</v>
          </cell>
          <cell r="J476" t="str">
            <v>Section of Clay Crusher Operation</v>
          </cell>
        </row>
        <row r="477">
          <cell r="A477">
            <v>5201</v>
          </cell>
          <cell r="B477" t="str">
            <v>7695248</v>
          </cell>
          <cell r="C477">
            <v>50063900</v>
          </cell>
          <cell r="D477" t="str">
            <v>MUH.AMIR, ST., PIA.</v>
          </cell>
          <cell r="E477" t="str">
            <v>Internal Audit Officer</v>
          </cell>
          <cell r="F477" t="str">
            <v>Manager</v>
          </cell>
          <cell r="G477" t="str">
            <v>President Directorate</v>
          </cell>
          <cell r="H477" t="str">
            <v>Department of Internal Audit</v>
          </cell>
          <cell r="I477" t="str">
            <v>Staff of Internal Audit</v>
          </cell>
        </row>
        <row r="478">
          <cell r="A478">
            <v>5202</v>
          </cell>
          <cell r="B478" t="str">
            <v>7695250</v>
          </cell>
          <cell r="C478">
            <v>50065635</v>
          </cell>
          <cell r="D478" t="str">
            <v>IRWAN, S.Sos.</v>
          </cell>
          <cell r="E478" t="str">
            <v>Mgr of Learning &amp; Development</v>
          </cell>
          <cell r="F478" t="str">
            <v>Manager</v>
          </cell>
          <cell r="G478" t="str">
            <v>Finance Risk Mgmt &amp; General Directorate</v>
          </cell>
          <cell r="H478" t="str">
            <v>Department of Human Capital &amp; GRC</v>
          </cell>
          <cell r="I478" t="str">
            <v>Unit of HC Planning &amp; Development</v>
          </cell>
          <cell r="J478" t="str">
            <v>Section of Learning &amp; Development</v>
          </cell>
        </row>
        <row r="479">
          <cell r="A479">
            <v>5204</v>
          </cell>
          <cell r="B479" t="str">
            <v>7602280</v>
          </cell>
          <cell r="C479">
            <v>50071445</v>
          </cell>
          <cell r="D479" t="str">
            <v>H. M.RUSLI</v>
          </cell>
          <cell r="E479" t="str">
            <v>E Bus Dev Bus Process IC &amp; ICOFR Adm Off</v>
          </cell>
          <cell r="F479" t="str">
            <v>Associate</v>
          </cell>
          <cell r="G479" t="str">
            <v>Finance Risk Mgmt &amp; General Directorate</v>
          </cell>
          <cell r="H479" t="str">
            <v>Department of Human Capital &amp; GRC</v>
          </cell>
          <cell r="I479" t="str">
            <v>Unit of Business &amp; System Development</v>
          </cell>
          <cell r="J479" t="str">
            <v>Staff of Bus Dev Bus Process IC &amp; ICOFR</v>
          </cell>
        </row>
        <row r="480">
          <cell r="A480">
            <v>5205</v>
          </cell>
          <cell r="B480" t="str">
            <v>7602281</v>
          </cell>
          <cell r="C480">
            <v>50069324</v>
          </cell>
          <cell r="D480" t="str">
            <v>KADIR</v>
          </cell>
          <cell r="E480" t="str">
            <v>Spv of Clinker &amp; Cement Supporting</v>
          </cell>
          <cell r="F480" t="str">
            <v>Supervisor</v>
          </cell>
          <cell r="G480" t="str">
            <v>Operation Directorate</v>
          </cell>
          <cell r="H480" t="str">
            <v>Dept. of Clinker &amp; Cement Production</v>
          </cell>
          <cell r="I480" t="str">
            <v>Unit of Derivative Product  &amp; Supporting</v>
          </cell>
          <cell r="J480" t="str">
            <v>Section of Product Ctr. Compliance &amp; SLA</v>
          </cell>
        </row>
        <row r="481">
          <cell r="A481">
            <v>5206</v>
          </cell>
          <cell r="B481" t="str">
            <v>7602283</v>
          </cell>
          <cell r="C481">
            <v>50047834</v>
          </cell>
          <cell r="D481" t="str">
            <v>LAKASANG</v>
          </cell>
          <cell r="E481" t="str">
            <v>PGO Jr Officer</v>
          </cell>
          <cell r="F481" t="str">
            <v>Supervisor</v>
          </cell>
          <cell r="G481" t="str">
            <v>Operation Directorate</v>
          </cell>
          <cell r="H481" t="str">
            <v>Dept. of Maintenance</v>
          </cell>
          <cell r="I481" t="str">
            <v>Unit of Reliability Maintenance</v>
          </cell>
          <cell r="J481" t="str">
            <v>Staff of PGO</v>
          </cell>
        </row>
        <row r="482">
          <cell r="A482">
            <v>5207</v>
          </cell>
          <cell r="B482" t="str">
            <v>7695075</v>
          </cell>
          <cell r="C482">
            <v>50069041</v>
          </cell>
          <cell r="D482" t="str">
            <v>HELTON YHONI, SE.</v>
          </cell>
          <cell r="E482" t="str">
            <v>Mgr of Ambon Packing Plant</v>
          </cell>
          <cell r="F482" t="str">
            <v>Manager</v>
          </cell>
          <cell r="G482" t="str">
            <v>Operation Directorate</v>
          </cell>
          <cell r="H482" t="str">
            <v>Dept. of Infrastructure</v>
          </cell>
          <cell r="I482" t="str">
            <v>Unit of Packing Plant 2</v>
          </cell>
          <cell r="J482" t="str">
            <v>Section of Ambon Packing Plant</v>
          </cell>
        </row>
        <row r="483">
          <cell r="A483">
            <v>5208</v>
          </cell>
          <cell r="B483" t="str">
            <v>7695251</v>
          </cell>
          <cell r="C483">
            <v>50023473</v>
          </cell>
          <cell r="D483" t="str">
            <v>H. RUSLI, ST.</v>
          </cell>
          <cell r="E483" t="str">
            <v>Security Officer</v>
          </cell>
          <cell r="F483" t="str">
            <v>Manager</v>
          </cell>
          <cell r="G483" t="str">
            <v>President Directorate</v>
          </cell>
          <cell r="H483" t="str">
            <v>Dept. of Communication, Legal &amp; GA</v>
          </cell>
          <cell r="I483" t="str">
            <v>Unit of Security</v>
          </cell>
          <cell r="J483" t="str">
            <v>Staff of Security</v>
          </cell>
        </row>
        <row r="484">
          <cell r="A484">
            <v>5211</v>
          </cell>
          <cell r="B484" t="str">
            <v>7702282</v>
          </cell>
          <cell r="C484">
            <v>50066795</v>
          </cell>
          <cell r="D484" t="str">
            <v>HARJUNA</v>
          </cell>
          <cell r="E484" t="str">
            <v>Spv of X - Ray &amp; Analysis (4)</v>
          </cell>
          <cell r="F484" t="str">
            <v>Supervisor</v>
          </cell>
          <cell r="G484" t="str">
            <v>Operation Directorate</v>
          </cell>
          <cell r="H484" t="str">
            <v>Dept. of Production Planning &amp; Control</v>
          </cell>
          <cell r="I484" t="str">
            <v>Unit of Quality Control</v>
          </cell>
          <cell r="J484" t="str">
            <v>Section of Quality Control (4/5)</v>
          </cell>
        </row>
        <row r="485">
          <cell r="A485">
            <v>5212</v>
          </cell>
          <cell r="B485" t="str">
            <v>7601005</v>
          </cell>
          <cell r="C485">
            <v>50069064</v>
          </cell>
          <cell r="D485" t="str">
            <v>ZULFADLI, ST.</v>
          </cell>
          <cell r="E485" t="str">
            <v>SCM Infra Port Management Officer</v>
          </cell>
          <cell r="F485" t="str">
            <v>Manager</v>
          </cell>
          <cell r="G485" t="str">
            <v>Operation Directorate</v>
          </cell>
          <cell r="H485" t="str">
            <v>Dept. of Infrastructure</v>
          </cell>
          <cell r="I485" t="str">
            <v>Unit of SCM Infra Port Management</v>
          </cell>
          <cell r="J485" t="str">
            <v>Staff of SCM Infra Port Management</v>
          </cell>
        </row>
        <row r="486">
          <cell r="A486">
            <v>5213</v>
          </cell>
          <cell r="B486" t="str">
            <v>7695076</v>
          </cell>
          <cell r="C486">
            <v>50069088</v>
          </cell>
          <cell r="D486" t="str">
            <v>USMAN, S.Kom.</v>
          </cell>
          <cell r="E486" t="str">
            <v>Spv of Silo Jetty &amp; Tbngan Autonomous</v>
          </cell>
          <cell r="F486" t="str">
            <v>Supervisor</v>
          </cell>
          <cell r="G486" t="str">
            <v>Operation Directorate</v>
          </cell>
          <cell r="H486" t="str">
            <v>Dept. of Infrastructure</v>
          </cell>
          <cell r="I486" t="str">
            <v>Unit of Plant &amp; Port Prod Discharge Opr</v>
          </cell>
          <cell r="J486" t="str">
            <v>Section of Port Opr (Silo, Aux. T &amp; SM)</v>
          </cell>
        </row>
        <row r="487">
          <cell r="A487">
            <v>5214</v>
          </cell>
          <cell r="B487" t="str">
            <v>7695252</v>
          </cell>
          <cell r="C487">
            <v>50069411</v>
          </cell>
          <cell r="D487" t="str">
            <v>HUSAIRI</v>
          </cell>
          <cell r="E487" t="str">
            <v>Spv of Line 5 RM Field Specialist</v>
          </cell>
          <cell r="F487" t="str">
            <v>Supervisor</v>
          </cell>
          <cell r="G487" t="str">
            <v>Operation Directorate</v>
          </cell>
          <cell r="H487" t="str">
            <v>Dept. of Clinker &amp; Cement Production</v>
          </cell>
          <cell r="I487" t="str">
            <v>Unit of Clinker Production</v>
          </cell>
          <cell r="J487" t="str">
            <v>Section of Line 5 RKC Operation</v>
          </cell>
        </row>
        <row r="488">
          <cell r="A488">
            <v>5215</v>
          </cell>
          <cell r="B488" t="str">
            <v>7695253</v>
          </cell>
          <cell r="C488">
            <v>50053111</v>
          </cell>
          <cell r="D488" t="str">
            <v>WAHYU A.R., S.Sos.</v>
          </cell>
          <cell r="E488" t="str">
            <v>Mgr of Line 4 RKC Operation</v>
          </cell>
          <cell r="F488" t="str">
            <v>Manager</v>
          </cell>
          <cell r="G488" t="str">
            <v>Operation Directorate</v>
          </cell>
          <cell r="H488" t="str">
            <v>Dept. of Clinker &amp; Cement Production</v>
          </cell>
          <cell r="I488" t="str">
            <v>Unit of Clinker Production</v>
          </cell>
          <cell r="J488" t="str">
            <v>Section of Line 4 RKC Operation</v>
          </cell>
        </row>
        <row r="489">
          <cell r="A489">
            <v>5216</v>
          </cell>
          <cell r="B489" t="str">
            <v>7695254</v>
          </cell>
          <cell r="C489">
            <v>50070921</v>
          </cell>
          <cell r="D489" t="str">
            <v>AKMAL ABDULLAH</v>
          </cell>
          <cell r="E489" t="str">
            <v>D Institution Relation Jr Officer</v>
          </cell>
          <cell r="F489" t="str">
            <v>Supervisor</v>
          </cell>
          <cell r="G489" t="str">
            <v>President Directorate</v>
          </cell>
          <cell r="H489" t="str">
            <v>Dept. of Communication, Legal &amp; GA</v>
          </cell>
          <cell r="I489" t="str">
            <v>Unit of Communication &amp; Secretariate</v>
          </cell>
          <cell r="J489" t="str">
            <v>Staff of Institution Relation</v>
          </cell>
        </row>
        <row r="490">
          <cell r="A490">
            <v>5217</v>
          </cell>
          <cell r="B490" t="str">
            <v>7695306</v>
          </cell>
          <cell r="C490">
            <v>50069126</v>
          </cell>
          <cell r="D490" t="str">
            <v>WARNIANTY, SE.</v>
          </cell>
          <cell r="E490" t="str">
            <v>Plan Eval &amp; Prod Distribution Jr officer</v>
          </cell>
          <cell r="F490" t="str">
            <v>Supervisor</v>
          </cell>
          <cell r="G490" t="str">
            <v>Operation Directorate</v>
          </cell>
          <cell r="H490" t="str">
            <v>Dept. of Infrastructure</v>
          </cell>
          <cell r="I490" t="str">
            <v>Unit of Interplant Logistic</v>
          </cell>
          <cell r="J490" t="str">
            <v>Section of Plan Eval &amp; Prod Distribution</v>
          </cell>
        </row>
        <row r="491">
          <cell r="A491">
            <v>5218</v>
          </cell>
          <cell r="B491" t="str">
            <v>7695074</v>
          </cell>
          <cell r="C491">
            <v>50070750</v>
          </cell>
          <cell r="D491" t="str">
            <v>AHMADI</v>
          </cell>
          <cell r="E491" t="str">
            <v>ASM of NTT</v>
          </cell>
          <cell r="F491" t="str">
            <v>Manager</v>
          </cell>
          <cell r="G491" t="str">
            <v>President Directorate</v>
          </cell>
          <cell r="H491" t="str">
            <v>Dept. of Sales</v>
          </cell>
          <cell r="I491" t="str">
            <v>Unit of Sales 2</v>
          </cell>
          <cell r="J491" t="str">
            <v>Section of NTT</v>
          </cell>
        </row>
        <row r="492">
          <cell r="A492">
            <v>5219</v>
          </cell>
          <cell r="B492" t="str">
            <v>7695249</v>
          </cell>
          <cell r="C492">
            <v>50024418</v>
          </cell>
          <cell r="D492" t="str">
            <v>YEHEZKEL BANDOLAN</v>
          </cell>
          <cell r="E492" t="str">
            <v>Maintenance Inspection Jr Officer</v>
          </cell>
          <cell r="F492" t="str">
            <v>Supervisor</v>
          </cell>
          <cell r="G492" t="str">
            <v>Operation Directorate</v>
          </cell>
          <cell r="H492" t="str">
            <v>Dept. of Maintenance</v>
          </cell>
          <cell r="I492" t="str">
            <v>Unit of Reliability Maintenance</v>
          </cell>
          <cell r="J492" t="str">
            <v>Staff of Maintenance Inspection</v>
          </cell>
        </row>
        <row r="493">
          <cell r="A493">
            <v>5220</v>
          </cell>
          <cell r="B493" t="str">
            <v>7602284</v>
          </cell>
          <cell r="C493">
            <v>50069028</v>
          </cell>
          <cell r="D493" t="str">
            <v>RAHMAT.S</v>
          </cell>
          <cell r="E493" t="str">
            <v>Mgr of Balikpapan Packing Plant</v>
          </cell>
          <cell r="F493" t="str">
            <v>Manager</v>
          </cell>
          <cell r="G493" t="str">
            <v>Operation Directorate</v>
          </cell>
          <cell r="H493" t="str">
            <v>Dept. of Infrastructure</v>
          </cell>
          <cell r="I493" t="str">
            <v>Unit of Packing Plant 1</v>
          </cell>
          <cell r="J493" t="str">
            <v>Section of Balikpapan Packing Plant</v>
          </cell>
        </row>
        <row r="494">
          <cell r="A494">
            <v>5221</v>
          </cell>
          <cell r="B494" t="str">
            <v>7695307</v>
          </cell>
          <cell r="C494">
            <v>50071411</v>
          </cell>
          <cell r="D494" t="str">
            <v>CH.ROBBY SOELI, SE.</v>
          </cell>
          <cell r="E494" t="str">
            <v>Product Advocacy Officer</v>
          </cell>
          <cell r="F494" t="str">
            <v>Manager</v>
          </cell>
          <cell r="G494" t="str">
            <v>President Directorate</v>
          </cell>
          <cell r="H494" t="str">
            <v>Dept. of Market Planning &amp; Development</v>
          </cell>
          <cell r="I494" t="str">
            <v>Unit of Product Pricing &amp; Promotion Mgmt</v>
          </cell>
          <cell r="J494" t="str">
            <v>Staff of Product Advocacy</v>
          </cell>
        </row>
        <row r="495">
          <cell r="A495">
            <v>5222</v>
          </cell>
          <cell r="B495" t="str">
            <v>7702285</v>
          </cell>
          <cell r="C495">
            <v>50069570</v>
          </cell>
          <cell r="D495" t="str">
            <v>AMIN NUR</v>
          </cell>
          <cell r="E495" t="str">
            <v>Spv of Troubleshooting</v>
          </cell>
          <cell r="F495" t="str">
            <v>Supervisor</v>
          </cell>
          <cell r="G495" t="str">
            <v>Operation Directorate</v>
          </cell>
          <cell r="H495" t="str">
            <v>Dept. of Maintenance</v>
          </cell>
          <cell r="I495" t="str">
            <v>Unit of Port Product Discharge Maint.</v>
          </cell>
          <cell r="J495" t="str">
            <v>Section of Port Facility Machine Maint.</v>
          </cell>
        </row>
        <row r="496">
          <cell r="A496">
            <v>5223</v>
          </cell>
          <cell r="B496" t="str">
            <v>7702286</v>
          </cell>
          <cell r="C496">
            <v>50070922</v>
          </cell>
          <cell r="D496" t="str">
            <v>JIMMY K.SEROH</v>
          </cell>
          <cell r="E496" t="str">
            <v>D Asset Management Jr Officer</v>
          </cell>
          <cell r="F496" t="str">
            <v>Supervisor</v>
          </cell>
          <cell r="G496" t="str">
            <v>President Directorate</v>
          </cell>
          <cell r="H496" t="str">
            <v>Dept. of Communication, Legal &amp; GA</v>
          </cell>
          <cell r="I496" t="str">
            <v>Unit of General Facility &amp; Asset</v>
          </cell>
          <cell r="J496" t="str">
            <v>Section of Asset Management</v>
          </cell>
        </row>
        <row r="497">
          <cell r="A497">
            <v>5224</v>
          </cell>
          <cell r="B497" t="str">
            <v>7701006</v>
          </cell>
          <cell r="C497">
            <v>50068565</v>
          </cell>
          <cell r="D497" t="str">
            <v>SYAIFUL BAHRI, SE., MM.</v>
          </cell>
          <cell r="E497" t="str">
            <v>Mgr of Land Transportation</v>
          </cell>
          <cell r="F497" t="str">
            <v>Manager</v>
          </cell>
          <cell r="G497" t="str">
            <v>President Directorate</v>
          </cell>
          <cell r="H497" t="str">
            <v>Dept. of Sales</v>
          </cell>
          <cell r="I497" t="str">
            <v>Unit of Outbound Logistic</v>
          </cell>
          <cell r="J497" t="str">
            <v>Section of Land Transportation</v>
          </cell>
        </row>
        <row r="498">
          <cell r="A498">
            <v>5225</v>
          </cell>
          <cell r="B498" t="str">
            <v>7702287</v>
          </cell>
          <cell r="C498">
            <v>50071562</v>
          </cell>
          <cell r="D498" t="str">
            <v>M.HUSNI TAMRIN</v>
          </cell>
          <cell r="E498" t="str">
            <v>Sparepart &amp; Consumable Mgmt Adm officer</v>
          </cell>
          <cell r="F498" t="str">
            <v>Associate</v>
          </cell>
          <cell r="G498" t="str">
            <v>Finance Risk Mgmt &amp; General Directorate</v>
          </cell>
          <cell r="I498" t="str">
            <v>Unit of Warehouse</v>
          </cell>
          <cell r="J498" t="str">
            <v>Section of Sparepart &amp; Consumable Mgmt</v>
          </cell>
        </row>
        <row r="499">
          <cell r="A499">
            <v>5226</v>
          </cell>
          <cell r="B499" t="str">
            <v>7702288</v>
          </cell>
          <cell r="C499">
            <v>50069416</v>
          </cell>
          <cell r="D499" t="str">
            <v>ALIMUDDIN S.</v>
          </cell>
          <cell r="E499" t="str">
            <v>Spv of Line 5 KCM Field Specialist</v>
          </cell>
          <cell r="F499" t="str">
            <v>Supervisor</v>
          </cell>
          <cell r="G499" t="str">
            <v>Operation Directorate</v>
          </cell>
          <cell r="H499" t="str">
            <v>Dept. of Clinker &amp; Cement Production</v>
          </cell>
          <cell r="I499" t="str">
            <v>Unit of Clinker Production</v>
          </cell>
          <cell r="J499" t="str">
            <v>Section of Line 5 RKC Operation</v>
          </cell>
        </row>
        <row r="500">
          <cell r="A500">
            <v>5227</v>
          </cell>
          <cell r="B500" t="str">
            <v>7702290</v>
          </cell>
          <cell r="C500">
            <v>50071554</v>
          </cell>
          <cell r="D500" t="str">
            <v>H. SURADI</v>
          </cell>
          <cell r="E500" t="str">
            <v>E Inbound &amp; Billing Adm. Officer</v>
          </cell>
          <cell r="F500" t="str">
            <v>Associate</v>
          </cell>
          <cell r="G500" t="str">
            <v>Finance Risk Mgmt &amp; General Directorate</v>
          </cell>
          <cell r="I500" t="str">
            <v>Unit of Warehouse</v>
          </cell>
          <cell r="J500" t="str">
            <v>Section of Inbound &amp; Billing Admin.</v>
          </cell>
        </row>
        <row r="501">
          <cell r="A501">
            <v>5228</v>
          </cell>
          <cell r="B501" t="str">
            <v>7806555</v>
          </cell>
          <cell r="C501">
            <v>50069076</v>
          </cell>
          <cell r="D501" t="str">
            <v>AKBAR</v>
          </cell>
          <cell r="E501" t="str">
            <v>Spv of Port Operation</v>
          </cell>
          <cell r="F501" t="str">
            <v>Supervisor</v>
          </cell>
          <cell r="G501" t="str">
            <v>Operation Directorate</v>
          </cell>
          <cell r="H501" t="str">
            <v>Dept. of Infrastructure</v>
          </cell>
          <cell r="I501" t="str">
            <v>Unit of Plant &amp; Port Prod Discharge Opr</v>
          </cell>
          <cell r="J501" t="str">
            <v>Section of Port Opr (Packer &amp; Curah)</v>
          </cell>
        </row>
        <row r="502">
          <cell r="A502">
            <v>5230</v>
          </cell>
          <cell r="B502" t="str">
            <v>7702291</v>
          </cell>
          <cell r="C502">
            <v>50069189</v>
          </cell>
          <cell r="D502" t="str">
            <v>MUH.ILYAS S., SE.</v>
          </cell>
          <cell r="E502" t="str">
            <v>L &amp; D Design &amp; Evaluation Jr Officer</v>
          </cell>
          <cell r="F502" t="str">
            <v>Supervisor</v>
          </cell>
          <cell r="G502" t="str">
            <v>Finance Risk Mgmt &amp; General Directorate</v>
          </cell>
          <cell r="H502" t="str">
            <v>Department of Human Capital &amp; GRC</v>
          </cell>
          <cell r="I502" t="str">
            <v>Unit of HC Planning &amp; Development</v>
          </cell>
          <cell r="J502" t="str">
            <v>Section of Learning &amp; Development</v>
          </cell>
        </row>
        <row r="503">
          <cell r="A503">
            <v>5231</v>
          </cell>
          <cell r="B503" t="str">
            <v>7702292</v>
          </cell>
          <cell r="C503">
            <v>50034260</v>
          </cell>
          <cell r="D503" t="str">
            <v>MAKMUR BEDDU</v>
          </cell>
          <cell r="E503" t="str">
            <v>Spv of Power Plant CCR</v>
          </cell>
          <cell r="F503" t="str">
            <v>Supervisor</v>
          </cell>
          <cell r="G503" t="str">
            <v>Operation Directorate</v>
          </cell>
          <cell r="H503" t="str">
            <v>Dept. of Mining &amp; Power Plant</v>
          </cell>
          <cell r="I503" t="str">
            <v>Unit of Power Plant Operation</v>
          </cell>
          <cell r="J503" t="str">
            <v>Section of Power Plant Operation</v>
          </cell>
        </row>
        <row r="504">
          <cell r="A504">
            <v>5232</v>
          </cell>
          <cell r="B504" t="str">
            <v>7806560</v>
          </cell>
          <cell r="C504">
            <v>50061175</v>
          </cell>
          <cell r="D504" t="str">
            <v>MAKMUR</v>
          </cell>
          <cell r="E504" t="str">
            <v>Spv of Mining Sevices</v>
          </cell>
          <cell r="F504" t="str">
            <v>Supervisor</v>
          </cell>
          <cell r="G504" t="str">
            <v>Operation Directorate</v>
          </cell>
          <cell r="H504" t="str">
            <v>Dept. of Mining &amp; Power Plant</v>
          </cell>
          <cell r="I504" t="str">
            <v>Unit of Mining Operation</v>
          </cell>
          <cell r="J504" t="str">
            <v>Section of Limestone Mining</v>
          </cell>
        </row>
        <row r="505">
          <cell r="A505">
            <v>5233</v>
          </cell>
          <cell r="B505" t="str">
            <v>7803001</v>
          </cell>
          <cell r="C505">
            <v>50024075</v>
          </cell>
          <cell r="D505" t="str">
            <v>SAFARUDDIN, S.KM.</v>
          </cell>
          <cell r="E505" t="str">
            <v>Med. Support &amp; Ind. Hygiene Officer</v>
          </cell>
          <cell r="F505" t="str">
            <v>Manager</v>
          </cell>
          <cell r="G505" t="str">
            <v>Finance Risk Mgmt &amp; General Directorate</v>
          </cell>
          <cell r="H505" t="str">
            <v>Department of Human Capital &amp; GRC</v>
          </cell>
          <cell r="I505" t="str">
            <v>Unit of Health Serv &amp; Industrial Hygiene</v>
          </cell>
          <cell r="J505" t="str">
            <v>Staff of Med. Support &amp; Industrial Hygie</v>
          </cell>
        </row>
        <row r="506">
          <cell r="A506">
            <v>5234</v>
          </cell>
          <cell r="B506" t="str">
            <v>7808001</v>
          </cell>
          <cell r="C506">
            <v>50007566</v>
          </cell>
          <cell r="D506" t="str">
            <v>MUHAMMAD ZUBAIR BASO, ST., MT.</v>
          </cell>
          <cell r="E506" t="str">
            <v>Mgr of Clay Crusher Operation</v>
          </cell>
          <cell r="F506" t="str">
            <v>Manager</v>
          </cell>
          <cell r="G506" t="str">
            <v>Operation Directorate</v>
          </cell>
          <cell r="H506" t="str">
            <v>Dept. of Mining &amp; Power Plant</v>
          </cell>
          <cell r="I506" t="str">
            <v>Unit of Raw Material Management</v>
          </cell>
          <cell r="J506" t="str">
            <v>Section of Clay Crusher Operation</v>
          </cell>
        </row>
        <row r="507">
          <cell r="A507">
            <v>5235</v>
          </cell>
          <cell r="B507" t="str">
            <v>7802293</v>
          </cell>
          <cell r="C507">
            <v>50069490</v>
          </cell>
          <cell r="D507" t="str">
            <v>SAINUDDIN</v>
          </cell>
          <cell r="E507" t="str">
            <v>Spv of Pile Plan &amp; Control</v>
          </cell>
          <cell r="F507" t="str">
            <v>Supervisor</v>
          </cell>
          <cell r="G507" t="str">
            <v>Operation Directorate</v>
          </cell>
          <cell r="H507" t="str">
            <v>Dept. of Production Planning &amp; Control</v>
          </cell>
          <cell r="I507" t="str">
            <v>Unit of AFR &amp; Energy</v>
          </cell>
          <cell r="J507" t="str">
            <v>Section of Coal Mixing</v>
          </cell>
        </row>
        <row r="508">
          <cell r="A508">
            <v>5236</v>
          </cell>
          <cell r="B508" t="str">
            <v>7803004</v>
          </cell>
          <cell r="C508">
            <v>50009941</v>
          </cell>
          <cell r="D508" t="str">
            <v>ASIPA</v>
          </cell>
          <cell r="E508" t="str">
            <v>Med. Support &amp; Ind. Hygiene Jr Officer</v>
          </cell>
          <cell r="F508" t="str">
            <v>Supervisor</v>
          </cell>
          <cell r="G508" t="str">
            <v>Finance Risk Mgmt &amp; General Directorate</v>
          </cell>
          <cell r="H508" t="str">
            <v>Department of Human Capital &amp; GRC</v>
          </cell>
          <cell r="I508" t="str">
            <v>Unit of Health Serv &amp; Industrial Hygiene</v>
          </cell>
          <cell r="J508" t="str">
            <v>Staff of Med. Support &amp; Industrial Hygie</v>
          </cell>
        </row>
        <row r="509">
          <cell r="A509">
            <v>5237</v>
          </cell>
          <cell r="B509" t="str">
            <v>7902294</v>
          </cell>
          <cell r="C509">
            <v>50070069</v>
          </cell>
          <cell r="D509" t="str">
            <v>MAPPINCARA, S.Kom.</v>
          </cell>
          <cell r="E509" t="str">
            <v>GM of Services Procurement</v>
          </cell>
          <cell r="F509" t="str">
            <v>General Manager</v>
          </cell>
          <cell r="G509" t="str">
            <v>Direktorat Human Capital</v>
          </cell>
          <cell r="H509" t="str">
            <v>Department of Services Procurement</v>
          </cell>
        </row>
        <row r="510">
          <cell r="A510">
            <v>5238</v>
          </cell>
          <cell r="B510" t="str">
            <v>7903003</v>
          </cell>
          <cell r="C510">
            <v>50071443</v>
          </cell>
          <cell r="D510" t="str">
            <v>MARDIYAH L, AM., KEB</v>
          </cell>
          <cell r="E510" t="str">
            <v>Governance Compliance &amp; ESG Officer</v>
          </cell>
          <cell r="F510" t="str">
            <v>Manager</v>
          </cell>
          <cell r="G510" t="str">
            <v>Finance Risk Mgmt &amp; General Directorate</v>
          </cell>
          <cell r="H510" t="str">
            <v>Department of Human Capital &amp; GRC</v>
          </cell>
          <cell r="I510" t="str">
            <v>Unit of GRC Management</v>
          </cell>
          <cell r="J510" t="str">
            <v>Staff of Governance Compliance &amp; ESG</v>
          </cell>
        </row>
        <row r="511">
          <cell r="A511">
            <v>5239</v>
          </cell>
          <cell r="B511" t="str">
            <v>7902295</v>
          </cell>
          <cell r="C511">
            <v>50069376</v>
          </cell>
          <cell r="D511" t="str">
            <v>ASRI AZIS</v>
          </cell>
          <cell r="E511" t="str">
            <v>Spv of Line 4 RM Field Specialist</v>
          </cell>
          <cell r="F511" t="str">
            <v>Supervisor</v>
          </cell>
          <cell r="G511" t="str">
            <v>Operation Directorate</v>
          </cell>
          <cell r="H511" t="str">
            <v>Dept. of Clinker &amp; Cement Production</v>
          </cell>
          <cell r="I511" t="str">
            <v>Unit of Clinker Production</v>
          </cell>
          <cell r="J511" t="str">
            <v>Section of Line 4 RKC Operation</v>
          </cell>
        </row>
        <row r="512">
          <cell r="A512">
            <v>5240</v>
          </cell>
          <cell r="B512" t="str">
            <v>7903005</v>
          </cell>
          <cell r="C512">
            <v>50009937</v>
          </cell>
          <cell r="D512" t="str">
            <v>NURHIDAYAH</v>
          </cell>
          <cell r="E512" t="str">
            <v>Services &amp; Nursing Jr Officer</v>
          </cell>
          <cell r="F512" t="str">
            <v>Supervisor</v>
          </cell>
          <cell r="G512" t="str">
            <v>Finance Risk Mgmt &amp; General Directorate</v>
          </cell>
          <cell r="H512" t="str">
            <v>Department of Human Capital &amp; GRC</v>
          </cell>
          <cell r="I512" t="str">
            <v>Unit of Health Serv &amp; Industrial Hygiene</v>
          </cell>
          <cell r="J512" t="str">
            <v>Staff of Service &amp; Nursing</v>
          </cell>
        </row>
        <row r="513">
          <cell r="A513">
            <v>5241</v>
          </cell>
          <cell r="B513" t="str">
            <v>7903002</v>
          </cell>
          <cell r="C513">
            <v>50047324</v>
          </cell>
          <cell r="D513" t="str">
            <v>NURBAYA</v>
          </cell>
          <cell r="E513" t="str">
            <v>Med. Support &amp; Ind. Hygiene Jr Officer</v>
          </cell>
          <cell r="F513" t="str">
            <v>Supervisor</v>
          </cell>
          <cell r="G513" t="str">
            <v>Finance Risk Mgmt &amp; General Directorate</v>
          </cell>
          <cell r="H513" t="str">
            <v>Department of Human Capital &amp; GRC</v>
          </cell>
          <cell r="I513" t="str">
            <v>Unit of Health Serv &amp; Industrial Hygiene</v>
          </cell>
          <cell r="J513" t="str">
            <v>Staff of Med. Support &amp; Industrial Hygie</v>
          </cell>
        </row>
        <row r="514">
          <cell r="A514">
            <v>5242</v>
          </cell>
          <cell r="B514" t="str">
            <v>8008003</v>
          </cell>
          <cell r="C514">
            <v>50068485</v>
          </cell>
          <cell r="D514" t="str">
            <v>WISNU WARDHANA, SE., MM.</v>
          </cell>
          <cell r="E514" t="str">
            <v>OOTC</v>
          </cell>
          <cell r="F514" t="str">
            <v>Senior Manager</v>
          </cell>
          <cell r="G514" t="str">
            <v>President Directorate</v>
          </cell>
          <cell r="H514" t="str">
            <v>Staff of Pres Dir - BU Non Cement</v>
          </cell>
        </row>
        <row r="515">
          <cell r="A515">
            <v>5243</v>
          </cell>
          <cell r="B515" t="str">
            <v>8008004</v>
          </cell>
          <cell r="C515">
            <v>50069123</v>
          </cell>
          <cell r="D515" t="str">
            <v>HAKMAL CANDRA, ST.</v>
          </cell>
          <cell r="E515" t="str">
            <v>SM of Interplant Logistic</v>
          </cell>
          <cell r="F515" t="str">
            <v>Senior Manager</v>
          </cell>
          <cell r="G515" t="str">
            <v>Operation Directorate</v>
          </cell>
          <cell r="H515" t="str">
            <v>Dept. of Infrastructure</v>
          </cell>
          <cell r="I515" t="str">
            <v>Unit of Interplant Logistic</v>
          </cell>
        </row>
        <row r="516">
          <cell r="A516">
            <v>5244</v>
          </cell>
          <cell r="B516" t="str">
            <v>8010001</v>
          </cell>
          <cell r="C516">
            <v>50052276</v>
          </cell>
          <cell r="D516" t="str">
            <v>ANDI AHMAD ILHAM, SE.</v>
          </cell>
          <cell r="E516" t="str">
            <v>Jr of Human Capital</v>
          </cell>
          <cell r="F516" t="str">
            <v>Supervisor</v>
          </cell>
          <cell r="G516" t="str">
            <v>Finance Risk Mgmt &amp; General Directorate</v>
          </cell>
          <cell r="H516" t="str">
            <v>Department of Human Capital &amp; GRC</v>
          </cell>
        </row>
        <row r="517">
          <cell r="A517">
            <v>5245</v>
          </cell>
          <cell r="B517" t="str">
            <v>8002296</v>
          </cell>
          <cell r="C517">
            <v>50069606</v>
          </cell>
          <cell r="D517" t="str">
            <v>BAHRUL</v>
          </cell>
          <cell r="E517" t="str">
            <v>Spv of Explosive Warehouse</v>
          </cell>
          <cell r="F517" t="str">
            <v>Supervisor</v>
          </cell>
          <cell r="G517" t="str">
            <v>Operation Directorate</v>
          </cell>
          <cell r="H517" t="str">
            <v>Dept. of Mining &amp; Power Plant</v>
          </cell>
          <cell r="I517" t="str">
            <v>Unit of Mine Plan</v>
          </cell>
          <cell r="J517" t="str">
            <v>Section of Mine Planning &amp; Monitoring</v>
          </cell>
        </row>
        <row r="518">
          <cell r="A518">
            <v>5246</v>
          </cell>
          <cell r="B518" t="str">
            <v>8010003</v>
          </cell>
          <cell r="C518">
            <v>50067849</v>
          </cell>
          <cell r="D518" t="str">
            <v>RENDRA JAKADILAGA, ST.</v>
          </cell>
          <cell r="E518" t="str">
            <v>GM of Market Planning &amp; Development</v>
          </cell>
          <cell r="F518" t="str">
            <v>General Manager</v>
          </cell>
          <cell r="G518" t="str">
            <v>President Directorate</v>
          </cell>
          <cell r="H518" t="str">
            <v>Dept. of Market Planning &amp; Development</v>
          </cell>
        </row>
        <row r="519">
          <cell r="A519">
            <v>5247</v>
          </cell>
          <cell r="B519" t="str">
            <v>8010004</v>
          </cell>
          <cell r="C519">
            <v>50065990</v>
          </cell>
          <cell r="D519" t="str">
            <v>ALAMSYAH, Ir., ST., IPM.</v>
          </cell>
          <cell r="E519" t="str">
            <v>SM of Engineering</v>
          </cell>
          <cell r="F519" t="str">
            <v>Senior Manager</v>
          </cell>
          <cell r="G519" t="str">
            <v>Operation Directorate</v>
          </cell>
          <cell r="H519" t="str">
            <v>Dep. of Project Mngmnt &amp; Maint. Support</v>
          </cell>
          <cell r="I519" t="str">
            <v>Unit of Engineering</v>
          </cell>
        </row>
        <row r="520">
          <cell r="A520">
            <v>5248</v>
          </cell>
          <cell r="B520" t="str">
            <v>8008005</v>
          </cell>
          <cell r="C520">
            <v>50070121</v>
          </cell>
          <cell r="D520" t="str">
            <v>IRWAN NURDIN, ST.</v>
          </cell>
          <cell r="E520" t="str">
            <v>SM of Grind &amp; Pkng Plant &amp; Term Proc.</v>
          </cell>
          <cell r="F520" t="str">
            <v>Senior Manager</v>
          </cell>
          <cell r="G520" t="str">
            <v>Direktorat Human Capital</v>
          </cell>
          <cell r="H520" t="str">
            <v>Department of Energy &amp; Materials Proc.</v>
          </cell>
          <cell r="I520" t="str">
            <v>Unit of Grind &amp; Pkng Plant &amp; Term Proc.</v>
          </cell>
        </row>
        <row r="521">
          <cell r="A521">
            <v>5249</v>
          </cell>
          <cell r="B521" t="str">
            <v>8008007</v>
          </cell>
          <cell r="C521">
            <v>50067638</v>
          </cell>
          <cell r="D521" t="str">
            <v>DARYANTO, ST.</v>
          </cell>
          <cell r="E521" t="str">
            <v>GM of SC Infra&amp;IP Log Dev&amp;Perform</v>
          </cell>
          <cell r="F521" t="str">
            <v>General Manager</v>
          </cell>
          <cell r="G521" t="str">
            <v>Direktorat Operasi</v>
          </cell>
          <cell r="H521" t="str">
            <v>Department of SC Infra&amp;IPLog Dev&amp;Perform</v>
          </cell>
        </row>
        <row r="522">
          <cell r="A522">
            <v>5250</v>
          </cell>
          <cell r="B522" t="str">
            <v>8003006</v>
          </cell>
          <cell r="C522">
            <v>50024068</v>
          </cell>
          <cell r="D522" t="str">
            <v>Hj. DARWATI ASNAR</v>
          </cell>
          <cell r="E522" t="str">
            <v>Med. Support &amp; Ind. Hygiene Jr Officer</v>
          </cell>
          <cell r="F522" t="str">
            <v>Supervisor</v>
          </cell>
          <cell r="G522" t="str">
            <v>Finance Risk Mgmt &amp; General Directorate</v>
          </cell>
          <cell r="H522" t="str">
            <v>Department of Human Capital &amp; GRC</v>
          </cell>
          <cell r="I522" t="str">
            <v>Unit of Health Serv &amp; Industrial Hygiene</v>
          </cell>
          <cell r="J522" t="str">
            <v>Staff of Med. Support &amp; Industrial Hygie</v>
          </cell>
        </row>
        <row r="523">
          <cell r="A523">
            <v>5251</v>
          </cell>
          <cell r="B523" t="str">
            <v>8010005</v>
          </cell>
          <cell r="C523">
            <v>50052157</v>
          </cell>
          <cell r="D523" t="str">
            <v>MOHAMMAD ANDI YUSTIAN, S.Si.</v>
          </cell>
          <cell r="E523" t="str">
            <v>Mgr of Line 2/3 FM Elins Maintenance</v>
          </cell>
          <cell r="F523" t="str">
            <v>Manager</v>
          </cell>
          <cell r="G523" t="str">
            <v>Operation Directorate</v>
          </cell>
          <cell r="H523" t="str">
            <v>Dept. of Maintenance</v>
          </cell>
          <cell r="I523" t="str">
            <v>Unit of Elins Maintenance 1</v>
          </cell>
          <cell r="J523" t="str">
            <v>Section of Line 2/3 FM Elins Maintenance</v>
          </cell>
        </row>
        <row r="524">
          <cell r="A524">
            <v>5252</v>
          </cell>
          <cell r="B524" t="str">
            <v>8003007</v>
          </cell>
          <cell r="C524">
            <v>50009925</v>
          </cell>
          <cell r="D524" t="str">
            <v>SITTI ZAKIAH</v>
          </cell>
          <cell r="E524" t="str">
            <v>Services &amp; Nursing Jr Officer</v>
          </cell>
          <cell r="F524" t="str">
            <v>Supervisor</v>
          </cell>
          <cell r="G524" t="str">
            <v>Finance Risk Mgmt &amp; General Directorate</v>
          </cell>
          <cell r="H524" t="str">
            <v>Department of Human Capital &amp; GRC</v>
          </cell>
          <cell r="I524" t="str">
            <v>Unit of Health Serv &amp; Industrial Hygiene</v>
          </cell>
          <cell r="J524" t="str">
            <v>Staff of Service &amp; Nursing</v>
          </cell>
        </row>
        <row r="525">
          <cell r="A525">
            <v>5253</v>
          </cell>
          <cell r="B525" t="str">
            <v>8008009</v>
          </cell>
          <cell r="C525">
            <v>50068549</v>
          </cell>
          <cell r="D525" t="str">
            <v>M.AZIKIN AZIS, ST.</v>
          </cell>
          <cell r="E525" t="str">
            <v>SM of Outbound Logistic</v>
          </cell>
          <cell r="F525" t="str">
            <v>Senior Manager</v>
          </cell>
          <cell r="G525" t="str">
            <v>President Directorate</v>
          </cell>
          <cell r="H525" t="str">
            <v>Dept. of Sales</v>
          </cell>
          <cell r="I525" t="str">
            <v>Unit of Outbound Logistic</v>
          </cell>
        </row>
        <row r="526">
          <cell r="A526">
            <v>5254</v>
          </cell>
          <cell r="B526" t="str">
            <v>8008010</v>
          </cell>
          <cell r="C526">
            <v>50007184</v>
          </cell>
          <cell r="D526" t="str">
            <v>DEDDY EDRIANSAH, ST., M.S.M</v>
          </cell>
          <cell r="E526" t="str">
            <v>GM of Internal Audit</v>
          </cell>
          <cell r="F526" t="str">
            <v>General Manager</v>
          </cell>
          <cell r="G526" t="str">
            <v>President Directorate</v>
          </cell>
          <cell r="H526" t="str">
            <v>Department of Internal Audit</v>
          </cell>
        </row>
        <row r="527">
          <cell r="A527">
            <v>5255</v>
          </cell>
          <cell r="B527" t="str">
            <v>8110006</v>
          </cell>
          <cell r="C527">
            <v>50065076</v>
          </cell>
          <cell r="D527" t="str">
            <v>INMAN YASIN, ST., MM.</v>
          </cell>
          <cell r="E527" t="str">
            <v>Project Information System Dev. Officer</v>
          </cell>
          <cell r="F527" t="str">
            <v>Manager</v>
          </cell>
          <cell r="G527" t="str">
            <v>Direktorat Operasi</v>
          </cell>
          <cell r="H527" t="str">
            <v>Department of Project Management</v>
          </cell>
          <cell r="I527" t="str">
            <v>Unit of Project Performance &amp; Support</v>
          </cell>
        </row>
        <row r="528">
          <cell r="A528">
            <v>5256</v>
          </cell>
          <cell r="B528" t="str">
            <v>8108011</v>
          </cell>
          <cell r="C528">
            <v>50071460</v>
          </cell>
          <cell r="D528" t="str">
            <v>SUDARJO KATU, ST., MSc.</v>
          </cell>
          <cell r="E528" t="str">
            <v>SM of Business &amp; System Development</v>
          </cell>
          <cell r="F528" t="str">
            <v>Senior Manager</v>
          </cell>
          <cell r="G528" t="str">
            <v>Finance Risk Mgmt &amp; General Directorate</v>
          </cell>
          <cell r="H528" t="str">
            <v>Department of Human Capital &amp; GRC</v>
          </cell>
          <cell r="I528" t="str">
            <v>Unit of Business &amp; System Development</v>
          </cell>
        </row>
        <row r="529">
          <cell r="A529">
            <v>5257</v>
          </cell>
          <cell r="B529" t="str">
            <v>8108012</v>
          </cell>
          <cell r="C529">
            <v>50071350</v>
          </cell>
          <cell r="D529" t="str">
            <v>RENDI TRIHARYO LAKSONO, SE.</v>
          </cell>
          <cell r="E529" t="str">
            <v>Employee On Duty (Direksi)</v>
          </cell>
          <cell r="F529" t="str">
            <v>Senior Manager</v>
          </cell>
          <cell r="G529" t="str">
            <v>Direktorat Human Capital</v>
          </cell>
          <cell r="H529" t="str">
            <v>Employee on Duty</v>
          </cell>
          <cell r="I529" t="str">
            <v>PT Semen Indonesia Distributor</v>
          </cell>
        </row>
        <row r="530">
          <cell r="A530">
            <v>5258</v>
          </cell>
          <cell r="B530" t="str">
            <v>8110007</v>
          </cell>
          <cell r="C530">
            <v>50007565</v>
          </cell>
          <cell r="D530" t="str">
            <v>PARLINDUNGAN PARDOSI, ST.,M.S.M</v>
          </cell>
          <cell r="E530" t="str">
            <v>SM of Raw Material Management</v>
          </cell>
          <cell r="F530" t="str">
            <v>Senior Manager</v>
          </cell>
          <cell r="G530" t="str">
            <v>Operation Directorate</v>
          </cell>
          <cell r="H530" t="str">
            <v>Dept. of Mining &amp; Power Plant</v>
          </cell>
          <cell r="I530" t="str">
            <v>Unit of Raw Material Management</v>
          </cell>
        </row>
        <row r="531">
          <cell r="A531">
            <v>5259</v>
          </cell>
          <cell r="B531" t="str">
            <v>8108013</v>
          </cell>
          <cell r="C531">
            <v>50050991</v>
          </cell>
          <cell r="D531" t="str">
            <v>ADE MEIRIYADI, ST.</v>
          </cell>
          <cell r="E531" t="str">
            <v>Group Head of Procurement</v>
          </cell>
          <cell r="F531" t="str">
            <v>General Manager</v>
          </cell>
          <cell r="G531" t="str">
            <v>Direktorat Human Capital</v>
          </cell>
        </row>
        <row r="532">
          <cell r="A532">
            <v>5260</v>
          </cell>
          <cell r="B532" t="str">
            <v>8110008</v>
          </cell>
          <cell r="C532">
            <v>50023552</v>
          </cell>
          <cell r="D532" t="str">
            <v>MUHAMMAD RUSDIANTO HN, ST., MT.</v>
          </cell>
          <cell r="E532" t="str">
            <v>SM of Power Distribution</v>
          </cell>
          <cell r="F532" t="str">
            <v>Senior Manager</v>
          </cell>
          <cell r="G532" t="str">
            <v>Operation Directorate</v>
          </cell>
          <cell r="H532" t="str">
            <v>Dept. of Mining &amp; Power Plant</v>
          </cell>
          <cell r="I532" t="str">
            <v>Unit of Power Distribution</v>
          </cell>
        </row>
        <row r="533">
          <cell r="A533">
            <v>5261</v>
          </cell>
          <cell r="B533" t="str">
            <v>8108014</v>
          </cell>
          <cell r="C533">
            <v>50008129</v>
          </cell>
          <cell r="D533" t="str">
            <v>MANAT L.SILITONGA, ST., MM.</v>
          </cell>
          <cell r="E533" t="str">
            <v>GM of Maintenance</v>
          </cell>
          <cell r="F533" t="str">
            <v>General Manager</v>
          </cell>
          <cell r="G533" t="str">
            <v>Operation Directorate</v>
          </cell>
          <cell r="H533" t="str">
            <v>Dept. of Maintenance</v>
          </cell>
        </row>
        <row r="534">
          <cell r="A534">
            <v>5262</v>
          </cell>
          <cell r="B534" t="str">
            <v>8108015</v>
          </cell>
          <cell r="C534">
            <v>50069124</v>
          </cell>
          <cell r="D534" t="str">
            <v>RABENKA PALESA, ST. M.S.M</v>
          </cell>
          <cell r="E534" t="str">
            <v>Mgr of Plan Eval &amp; Product Distribution</v>
          </cell>
          <cell r="F534" t="str">
            <v>Manager</v>
          </cell>
          <cell r="G534" t="str">
            <v>Operation Directorate</v>
          </cell>
          <cell r="H534" t="str">
            <v>Dept. of Infrastructure</v>
          </cell>
          <cell r="I534" t="str">
            <v>Unit of Interplant Logistic</v>
          </cell>
          <cell r="J534" t="str">
            <v>Section of Plan Eval &amp; Prod Distribution</v>
          </cell>
        </row>
        <row r="535">
          <cell r="A535">
            <v>5263</v>
          </cell>
          <cell r="B535" t="str">
            <v>8110009</v>
          </cell>
          <cell r="C535">
            <v>50023522</v>
          </cell>
          <cell r="D535" t="str">
            <v>MUDASSIR SYAM, ST.</v>
          </cell>
          <cell r="E535" t="str">
            <v>SM of Power Plant Machine Maint</v>
          </cell>
          <cell r="F535" t="str">
            <v>Senior Manager</v>
          </cell>
          <cell r="G535" t="str">
            <v>Operation Directorate</v>
          </cell>
          <cell r="H535" t="str">
            <v>Dept. of Mining &amp; Power Plant</v>
          </cell>
          <cell r="I535" t="str">
            <v>Unit of Power Plant Machine Maint</v>
          </cell>
        </row>
        <row r="536">
          <cell r="A536">
            <v>5264</v>
          </cell>
          <cell r="B536" t="str">
            <v>8108016</v>
          </cell>
          <cell r="C536">
            <v>50058276</v>
          </cell>
          <cell r="D536" t="str">
            <v>ZULHAJRIANI NUR, SE., MSM.</v>
          </cell>
          <cell r="E536" t="str">
            <v>Mgr of Area Sales Export</v>
          </cell>
          <cell r="F536" t="str">
            <v>Manager</v>
          </cell>
          <cell r="G536" t="str">
            <v>Direktorat Sales dan Marketing</v>
          </cell>
          <cell r="H536" t="str">
            <v>Department of Export Sales</v>
          </cell>
          <cell r="I536" t="str">
            <v>Unit of Regional Sales Export</v>
          </cell>
          <cell r="J536" t="str">
            <v>Section of Area Sales Export</v>
          </cell>
        </row>
        <row r="537">
          <cell r="A537">
            <v>5265</v>
          </cell>
          <cell r="B537" t="str">
            <v>8108017</v>
          </cell>
          <cell r="C537">
            <v>50009055</v>
          </cell>
          <cell r="D537" t="str">
            <v>ANDI UDIN FAHRUDDIN, ST.</v>
          </cell>
          <cell r="E537" t="str">
            <v>OOTC (Pres Dir of PT Ton Lines)</v>
          </cell>
          <cell r="F537" t="str">
            <v>General Manager</v>
          </cell>
          <cell r="G537" t="str">
            <v>President Directorate</v>
          </cell>
          <cell r="I537" t="str">
            <v>Staff of Pres Dir (Tonasa Lines)</v>
          </cell>
        </row>
        <row r="538">
          <cell r="A538">
            <v>5266</v>
          </cell>
          <cell r="B538" t="str">
            <v>8110010</v>
          </cell>
          <cell r="C538">
            <v>50068745</v>
          </cell>
          <cell r="D538" t="str">
            <v>ANDI RACHMAN, ST., MM.</v>
          </cell>
          <cell r="E538" t="str">
            <v>GM of Infrastructure</v>
          </cell>
          <cell r="F538" t="str">
            <v>General Manager</v>
          </cell>
          <cell r="G538" t="str">
            <v>Operation Directorate</v>
          </cell>
          <cell r="H538" t="str">
            <v>Dept. of Infrastructure</v>
          </cell>
        </row>
        <row r="539">
          <cell r="A539">
            <v>5267</v>
          </cell>
          <cell r="B539" t="str">
            <v>8208020</v>
          </cell>
          <cell r="C539">
            <v>50071544</v>
          </cell>
          <cell r="D539" t="str">
            <v>YANUAR P.PAMUNGKAS, ST., MT.</v>
          </cell>
          <cell r="E539" t="str">
            <v>Goods Control Officer</v>
          </cell>
          <cell r="F539" t="str">
            <v>Manager</v>
          </cell>
          <cell r="G539" t="str">
            <v>Direktorat Human Capital</v>
          </cell>
          <cell r="H539" t="str">
            <v>Department of Goods Proc. Plan. &amp; Policy</v>
          </cell>
          <cell r="I539" t="str">
            <v>Unit of Electrical Goods Control</v>
          </cell>
        </row>
        <row r="540">
          <cell r="A540">
            <v>5268</v>
          </cell>
          <cell r="B540" t="str">
            <v>8208021</v>
          </cell>
          <cell r="C540">
            <v>50062894</v>
          </cell>
          <cell r="D540" t="str">
            <v>MUH. TAUFIQ, ST., MM.</v>
          </cell>
          <cell r="E540" t="str">
            <v>Business Dev. &amp; Innovation Sr Officer</v>
          </cell>
          <cell r="F540" t="str">
            <v>Senior Manager</v>
          </cell>
          <cell r="G540" t="str">
            <v>Direktorat Pengembangan Bisnis&amp;Strategy</v>
          </cell>
          <cell r="H540" t="str">
            <v>Department of Business Dev &amp; Innovation</v>
          </cell>
        </row>
        <row r="541">
          <cell r="A541">
            <v>5269</v>
          </cell>
          <cell r="B541" t="str">
            <v>8208022</v>
          </cell>
          <cell r="C541">
            <v>50066125</v>
          </cell>
          <cell r="D541" t="str">
            <v>YATMAN SETIAWAN, ST., MM.</v>
          </cell>
          <cell r="E541" t="str">
            <v>SM of Project Management</v>
          </cell>
          <cell r="F541" t="str">
            <v>Senior Manager</v>
          </cell>
          <cell r="G541" t="str">
            <v>Operation Directorate</v>
          </cell>
          <cell r="H541" t="str">
            <v>Dep. of Project Mngmnt &amp; Maint. Support</v>
          </cell>
          <cell r="I541" t="str">
            <v>Unit of Project Management</v>
          </cell>
        </row>
        <row r="542">
          <cell r="A542">
            <v>5270</v>
          </cell>
          <cell r="B542" t="str">
            <v>8208023</v>
          </cell>
          <cell r="C542">
            <v>50007165</v>
          </cell>
          <cell r="D542" t="str">
            <v>IRA FIRMANTI, S.Sos.</v>
          </cell>
          <cell r="E542" t="str">
            <v>OOTC (Dir of Investment DPST)</v>
          </cell>
          <cell r="F542" t="str">
            <v>Senior Manager</v>
          </cell>
          <cell r="G542" t="str">
            <v>President Directorate</v>
          </cell>
          <cell r="I542" t="str">
            <v>Staff of Pres Dir (Dana Pensiun)</v>
          </cell>
        </row>
        <row r="543">
          <cell r="A543">
            <v>5271</v>
          </cell>
          <cell r="B543" t="str">
            <v>8210011</v>
          </cell>
          <cell r="C543">
            <v>50069170</v>
          </cell>
          <cell r="D543" t="str">
            <v>TEMMALEGGA, ST.</v>
          </cell>
          <cell r="E543" t="str">
            <v>Mgr of Cement App &amp; Tech Service</v>
          </cell>
          <cell r="F543" t="str">
            <v>Manager</v>
          </cell>
          <cell r="G543" t="str">
            <v>Operation Directorate</v>
          </cell>
          <cell r="I543" t="str">
            <v>Unit of Quality Assurance</v>
          </cell>
          <cell r="J543" t="str">
            <v>Section of Cement App &amp; Tech Service</v>
          </cell>
        </row>
        <row r="544">
          <cell r="A544">
            <v>5272</v>
          </cell>
          <cell r="B544" t="str">
            <v>8208024</v>
          </cell>
          <cell r="C544">
            <v>50007206</v>
          </cell>
          <cell r="D544" t="str">
            <v>MUHAMMAD MURSHAM, ST., M.S.M</v>
          </cell>
          <cell r="E544" t="str">
            <v>GM of Communication, Legal &amp; GA</v>
          </cell>
          <cell r="F544" t="str">
            <v>General Manager</v>
          </cell>
          <cell r="G544" t="str">
            <v>President Directorate</v>
          </cell>
          <cell r="H544" t="str">
            <v>Dept. of Communication, Legal &amp; GA</v>
          </cell>
        </row>
        <row r="545">
          <cell r="A545">
            <v>5273</v>
          </cell>
          <cell r="B545" t="str">
            <v>8208025</v>
          </cell>
          <cell r="C545">
            <v>50066019</v>
          </cell>
          <cell r="D545" t="str">
            <v>ASRIZAL, ST.</v>
          </cell>
          <cell r="E545" t="str">
            <v>TPM Sr Officer</v>
          </cell>
          <cell r="F545" t="str">
            <v>Senior Manager</v>
          </cell>
          <cell r="G545" t="str">
            <v>Operation Directorate</v>
          </cell>
          <cell r="H545" t="str">
            <v>Dep. of Project Mngmnt &amp; Maint. Support</v>
          </cell>
          <cell r="I545" t="str">
            <v>Staff of TPM Officer</v>
          </cell>
        </row>
        <row r="546">
          <cell r="A546">
            <v>5274</v>
          </cell>
          <cell r="B546" t="str">
            <v>8208026</v>
          </cell>
          <cell r="C546">
            <v>50064689</v>
          </cell>
          <cell r="D546" t="str">
            <v>RAHMAT HIDAYAT, SE., MBA.</v>
          </cell>
          <cell r="E546" t="str">
            <v>Employee on Duty (Direksi)</v>
          </cell>
          <cell r="F546" t="str">
            <v>General Manager</v>
          </cell>
          <cell r="G546" t="str">
            <v>Direktorat Human Capital</v>
          </cell>
          <cell r="H546" t="str">
            <v>Employee on Duty</v>
          </cell>
          <cell r="I546" t="str">
            <v>PT Semen Baturaja</v>
          </cell>
        </row>
        <row r="547">
          <cell r="A547">
            <v>5275</v>
          </cell>
          <cell r="B547" t="str">
            <v>8208027</v>
          </cell>
          <cell r="C547">
            <v>50067126</v>
          </cell>
          <cell r="D547" t="str">
            <v>GATOT SUSANTO, ST.</v>
          </cell>
          <cell r="E547" t="str">
            <v>OOTC (Press Dir of PT PKM)</v>
          </cell>
          <cell r="F547" t="str">
            <v>Senior Manager</v>
          </cell>
          <cell r="G547" t="str">
            <v>President Directorate</v>
          </cell>
          <cell r="I547" t="str">
            <v>Staff of Pres Dir (PKM)</v>
          </cell>
        </row>
        <row r="548">
          <cell r="A548">
            <v>5276</v>
          </cell>
          <cell r="B548" t="str">
            <v>8210012</v>
          </cell>
          <cell r="C548">
            <v>50007499</v>
          </cell>
          <cell r="D548" t="str">
            <v>IRSAN. ST., M.S.M</v>
          </cell>
          <cell r="E548" t="str">
            <v>SM of Production Support</v>
          </cell>
          <cell r="F548" t="str">
            <v>Senior Manager</v>
          </cell>
          <cell r="G548" t="str">
            <v>Operation Directorate</v>
          </cell>
          <cell r="H548" t="str">
            <v>Dept. of Production Planning &amp; Control</v>
          </cell>
          <cell r="I548" t="str">
            <v>Unit of Production Support</v>
          </cell>
        </row>
        <row r="549">
          <cell r="A549">
            <v>5277</v>
          </cell>
          <cell r="B549" t="str">
            <v>8208028</v>
          </cell>
          <cell r="C549">
            <v>50007368</v>
          </cell>
          <cell r="D549" t="str">
            <v>CHANDRA IRAWAN SALEH, ST.,M.S.M.,CPIA</v>
          </cell>
          <cell r="E549" t="str">
            <v>OOTC (Dir. of Operation PT BR)</v>
          </cell>
          <cell r="F549" t="str">
            <v>Senior Manager</v>
          </cell>
          <cell r="G549" t="str">
            <v>President Directorate</v>
          </cell>
          <cell r="I549" t="str">
            <v>Staff of Pres Dir (BKS Raya)</v>
          </cell>
        </row>
        <row r="550">
          <cell r="A550">
            <v>5278</v>
          </cell>
          <cell r="B550" t="str">
            <v>8208029</v>
          </cell>
          <cell r="C550">
            <v>50065988</v>
          </cell>
          <cell r="D550" t="str">
            <v>SYAFARDINO, Ir., ST., IPM.</v>
          </cell>
          <cell r="E550" t="str">
            <v>GM of Project Mngmnt &amp; Maint. Support</v>
          </cell>
          <cell r="F550" t="str">
            <v>General Manager</v>
          </cell>
          <cell r="G550" t="str">
            <v>Operation Directorate</v>
          </cell>
          <cell r="H550" t="str">
            <v>Dep. of Project Mngmnt &amp; Maint. Support</v>
          </cell>
        </row>
        <row r="551">
          <cell r="A551">
            <v>5279</v>
          </cell>
          <cell r="B551" t="str">
            <v>8208030</v>
          </cell>
          <cell r="C551">
            <v>50007535</v>
          </cell>
          <cell r="D551" t="str">
            <v>AHMAD ZAKKI MUBAROK, ST.</v>
          </cell>
          <cell r="E551" t="str">
            <v>Mgr of Heavy Equipment &amp; Coal Transport</v>
          </cell>
          <cell r="F551" t="str">
            <v>Manager</v>
          </cell>
          <cell r="G551" t="str">
            <v>Operation Directorate</v>
          </cell>
          <cell r="H551" t="str">
            <v>Dept. of Production Planning &amp; Control</v>
          </cell>
          <cell r="I551" t="str">
            <v>Unit of Production Support</v>
          </cell>
          <cell r="J551" t="str">
            <v>Section of Heavy Equipment &amp; Coal Transp</v>
          </cell>
        </row>
        <row r="552">
          <cell r="A552">
            <v>5280</v>
          </cell>
          <cell r="B552" t="str">
            <v>8308054</v>
          </cell>
          <cell r="C552">
            <v>50070726</v>
          </cell>
          <cell r="D552" t="str">
            <v>AFHARIADI S.W.FATTAH, SE.</v>
          </cell>
          <cell r="E552" t="str">
            <v>ASM of Kalsel &amp; NTB</v>
          </cell>
          <cell r="F552" t="str">
            <v>Manager</v>
          </cell>
          <cell r="G552" t="str">
            <v>President Directorate</v>
          </cell>
          <cell r="H552" t="str">
            <v>Dept. of Sales</v>
          </cell>
          <cell r="I552" t="str">
            <v>Unit of Sales 2</v>
          </cell>
          <cell r="J552" t="str">
            <v>Section of Kalsel &amp; NTB</v>
          </cell>
        </row>
        <row r="553">
          <cell r="A553">
            <v>5281</v>
          </cell>
          <cell r="B553" t="str">
            <v>8308055</v>
          </cell>
          <cell r="C553">
            <v>50065630</v>
          </cell>
          <cell r="D553" t="str">
            <v>MUHAMMAD PAISAL, S.Sos.</v>
          </cell>
          <cell r="E553" t="str">
            <v>Internal audit Officer</v>
          </cell>
          <cell r="F553" t="str">
            <v>Manager</v>
          </cell>
          <cell r="G553" t="str">
            <v>President Directorate</v>
          </cell>
          <cell r="H553" t="str">
            <v>Department of Internal Audit</v>
          </cell>
          <cell r="I553" t="str">
            <v>Staff of Internal Audit</v>
          </cell>
        </row>
        <row r="554">
          <cell r="A554">
            <v>5282</v>
          </cell>
          <cell r="B554" t="str">
            <v>8310013</v>
          </cell>
          <cell r="C554">
            <v>50071440</v>
          </cell>
          <cell r="D554" t="str">
            <v>WIRYAWAN BATARA KENCANA, ST.</v>
          </cell>
          <cell r="E554" t="str">
            <v>C Bus Dev Bus Process IC &amp; ICOFR Officer</v>
          </cell>
          <cell r="F554" t="str">
            <v>Manager</v>
          </cell>
          <cell r="G554" t="str">
            <v>Finance Risk Mgmt &amp; General Directorate</v>
          </cell>
          <cell r="H554" t="str">
            <v>Department of Human Capital &amp; GRC</v>
          </cell>
          <cell r="I554" t="str">
            <v>Unit of Business &amp; System Development</v>
          </cell>
          <cell r="J554" t="str">
            <v>Staff of Bus Dev Bus Process IC &amp; ICOFR</v>
          </cell>
        </row>
        <row r="555">
          <cell r="A555">
            <v>5284</v>
          </cell>
          <cell r="B555" t="str">
            <v>8308056</v>
          </cell>
          <cell r="C555">
            <v>50064137</v>
          </cell>
          <cell r="D555" t="str">
            <v>SIGIT PRIHATIN, ST.</v>
          </cell>
          <cell r="E555" t="str">
            <v>Energy Officer</v>
          </cell>
          <cell r="F555" t="str">
            <v>Manager</v>
          </cell>
          <cell r="G555" t="str">
            <v>Operation Directorate</v>
          </cell>
          <cell r="H555" t="str">
            <v>Dept. of Production Planning &amp; Control</v>
          </cell>
          <cell r="I555" t="str">
            <v>Unit of AFR &amp; Energy</v>
          </cell>
          <cell r="J555" t="str">
            <v>Staff of Energy</v>
          </cell>
        </row>
        <row r="556">
          <cell r="A556">
            <v>5285</v>
          </cell>
          <cell r="B556" t="str">
            <v>8310014</v>
          </cell>
          <cell r="C556">
            <v>50052834</v>
          </cell>
          <cell r="D556" t="str">
            <v>IHRAR NUZUL AZIS, ST.</v>
          </cell>
          <cell r="E556" t="str">
            <v>SM of Machine Maintenance 1</v>
          </cell>
          <cell r="F556" t="str">
            <v>Senior Manager</v>
          </cell>
          <cell r="G556" t="str">
            <v>Operation Directorate</v>
          </cell>
          <cell r="H556" t="str">
            <v>Dept. of Maintenance</v>
          </cell>
          <cell r="I556" t="str">
            <v>Unit of Machine Maintenance 1</v>
          </cell>
        </row>
        <row r="557">
          <cell r="A557">
            <v>5286</v>
          </cell>
          <cell r="B557" t="str">
            <v>8308034</v>
          </cell>
          <cell r="C557">
            <v>50069142</v>
          </cell>
          <cell r="D557" t="str">
            <v>YULIANTO PRAYOGA, ST.</v>
          </cell>
          <cell r="E557" t="str">
            <v>SM of Quality Assurance</v>
          </cell>
          <cell r="F557" t="str">
            <v>Senior Manager</v>
          </cell>
          <cell r="G557" t="str">
            <v>Operation Directorate</v>
          </cell>
          <cell r="I557" t="str">
            <v>Unit of Quality Assurance</v>
          </cell>
        </row>
        <row r="558">
          <cell r="A558">
            <v>5287</v>
          </cell>
          <cell r="B558" t="str">
            <v>8310015</v>
          </cell>
          <cell r="C558">
            <v>50069264</v>
          </cell>
          <cell r="D558" t="str">
            <v>HENDRA ADI KURNIAWAN, ST.</v>
          </cell>
          <cell r="E558" t="str">
            <v>SM of Operational CAPEX Monitoring</v>
          </cell>
          <cell r="F558" t="str">
            <v>Senior Manager</v>
          </cell>
          <cell r="G558" t="str">
            <v>Direktorat Operasi</v>
          </cell>
          <cell r="H558" t="str">
            <v>Department of Project Management</v>
          </cell>
          <cell r="I558" t="str">
            <v>Unit of Operational CAPEX Monitoring</v>
          </cell>
        </row>
        <row r="559">
          <cell r="A559">
            <v>5288</v>
          </cell>
          <cell r="B559" t="str">
            <v>8310016</v>
          </cell>
          <cell r="C559">
            <v>50066240</v>
          </cell>
          <cell r="D559" t="str">
            <v>IFNUL MUBARAK, S.Si., M.Si.</v>
          </cell>
          <cell r="E559" t="str">
            <v>SM of Maintenance Planning &amp; Eval.</v>
          </cell>
          <cell r="F559" t="str">
            <v>Senior Manager</v>
          </cell>
          <cell r="G559" t="str">
            <v>Operation Directorate</v>
          </cell>
          <cell r="H559" t="str">
            <v>Dep. of Project Mngmnt &amp; Maint. Support</v>
          </cell>
          <cell r="I559" t="str">
            <v>Unit of Maintenance Planning &amp; Eval.</v>
          </cell>
        </row>
        <row r="560">
          <cell r="A560">
            <v>5289</v>
          </cell>
          <cell r="B560" t="str">
            <v>8308035</v>
          </cell>
          <cell r="C560">
            <v>50066992</v>
          </cell>
          <cell r="D560" t="str">
            <v>ADI FATKHURROHMAN, ST., MSc.</v>
          </cell>
          <cell r="E560" t="str">
            <v>GM of Mining &amp; Power Plant</v>
          </cell>
          <cell r="F560" t="str">
            <v>General Manager</v>
          </cell>
          <cell r="G560" t="str">
            <v>Operation Directorate</v>
          </cell>
          <cell r="H560" t="str">
            <v>Dept. of Mining &amp; Power Plant</v>
          </cell>
        </row>
        <row r="561">
          <cell r="A561">
            <v>5290</v>
          </cell>
          <cell r="B561" t="str">
            <v>8308036</v>
          </cell>
          <cell r="C561">
            <v>50066616</v>
          </cell>
          <cell r="D561" t="str">
            <v>ANANTYO PRADHANA PUTRO, ST., MM.</v>
          </cell>
          <cell r="E561" t="str">
            <v>SM of GRC Management</v>
          </cell>
          <cell r="F561" t="str">
            <v>Senior Manager</v>
          </cell>
          <cell r="G561" t="str">
            <v>Finance Risk Mgmt &amp; General Directorate</v>
          </cell>
          <cell r="H561" t="str">
            <v>Department of Human Capital &amp; GRC</v>
          </cell>
          <cell r="I561" t="str">
            <v>Unit of GRC Management</v>
          </cell>
        </row>
        <row r="562">
          <cell r="A562">
            <v>5292</v>
          </cell>
          <cell r="B562" t="str">
            <v>8308058</v>
          </cell>
          <cell r="C562">
            <v>50023501</v>
          </cell>
          <cell r="D562" t="str">
            <v>KAHARUDDIN, AMD.</v>
          </cell>
          <cell r="E562" t="str">
            <v>Mgr of Crusher Machine &amp; Conv Maint</v>
          </cell>
          <cell r="F562" t="str">
            <v>Manager</v>
          </cell>
          <cell r="G562" t="str">
            <v>Operation Directorate</v>
          </cell>
          <cell r="H562" t="str">
            <v>Dept. of Maintenance</v>
          </cell>
          <cell r="I562" t="str">
            <v>Unit of Machine Maintenance 1</v>
          </cell>
          <cell r="J562" t="str">
            <v>Section of Crusher Machine &amp; Conv Maint.</v>
          </cell>
        </row>
        <row r="563">
          <cell r="A563">
            <v>5293</v>
          </cell>
          <cell r="B563" t="str">
            <v>8308060</v>
          </cell>
          <cell r="C563">
            <v>50068728</v>
          </cell>
          <cell r="D563" t="str">
            <v>ADIB MUZAKKI, AMD.</v>
          </cell>
          <cell r="E563" t="str">
            <v>Employee On Duty</v>
          </cell>
          <cell r="F563" t="str">
            <v>Supervisor</v>
          </cell>
          <cell r="G563" t="str">
            <v>President Directorate</v>
          </cell>
        </row>
        <row r="564">
          <cell r="A564">
            <v>5294</v>
          </cell>
          <cell r="B564" t="str">
            <v>8310017</v>
          </cell>
          <cell r="C564">
            <v>50062344</v>
          </cell>
          <cell r="D564" t="str">
            <v>ISWAHYUDI, ST., MT.</v>
          </cell>
          <cell r="E564" t="str">
            <v>GM of Energy Management</v>
          </cell>
          <cell r="F564" t="str">
            <v>General Manager</v>
          </cell>
          <cell r="G564" t="str">
            <v>Direktorat Operasi</v>
          </cell>
          <cell r="H564" t="str">
            <v>Department of Energy Management</v>
          </cell>
        </row>
        <row r="565">
          <cell r="A565">
            <v>5295</v>
          </cell>
          <cell r="B565" t="str">
            <v>8308059</v>
          </cell>
          <cell r="C565">
            <v>50070672</v>
          </cell>
          <cell r="D565" t="str">
            <v>OME RESTULLAH, AMD.</v>
          </cell>
          <cell r="E565" t="str">
            <v>Sulbar &amp; Sulteng TSO</v>
          </cell>
          <cell r="F565" t="str">
            <v>Supervisor</v>
          </cell>
          <cell r="G565" t="str">
            <v>President Directorate</v>
          </cell>
          <cell r="H565" t="str">
            <v>Dept. of Sales</v>
          </cell>
          <cell r="I565" t="str">
            <v>Unit of Sales 1</v>
          </cell>
          <cell r="J565" t="str">
            <v>Section of Sulbar &amp; Sulteng</v>
          </cell>
        </row>
        <row r="566">
          <cell r="A566">
            <v>5296</v>
          </cell>
          <cell r="B566" t="str">
            <v>8308037</v>
          </cell>
          <cell r="C566">
            <v>50007381</v>
          </cell>
          <cell r="D566" t="str">
            <v>IMRAN, ST., MT.</v>
          </cell>
          <cell r="E566" t="str">
            <v>SM of Mining Operation</v>
          </cell>
          <cell r="F566" t="str">
            <v>Senior Manager</v>
          </cell>
          <cell r="G566" t="str">
            <v>Operation Directorate</v>
          </cell>
          <cell r="H566" t="str">
            <v>Dept. of Mining &amp; Power Plant</v>
          </cell>
          <cell r="I566" t="str">
            <v>Unit of Mining Operation</v>
          </cell>
        </row>
        <row r="567">
          <cell r="A567">
            <v>5297</v>
          </cell>
          <cell r="B567" t="str">
            <v>8310018</v>
          </cell>
          <cell r="C567">
            <v>50070658</v>
          </cell>
          <cell r="D567" t="str">
            <v>AMRULLAH YUSUF, ST.</v>
          </cell>
          <cell r="E567" t="str">
            <v>SSM of Sales 1</v>
          </cell>
          <cell r="F567" t="str">
            <v>Senior Manager</v>
          </cell>
          <cell r="G567" t="str">
            <v>President Directorate</v>
          </cell>
          <cell r="H567" t="str">
            <v>Dept. of Sales</v>
          </cell>
          <cell r="I567" t="str">
            <v>Unit of Sales 1</v>
          </cell>
        </row>
        <row r="568">
          <cell r="A568">
            <v>5298</v>
          </cell>
          <cell r="B568" t="str">
            <v>8408038</v>
          </cell>
          <cell r="C568">
            <v>50065992</v>
          </cell>
          <cell r="D568" t="str">
            <v>ASRIYANTO NASIR, Ir., ST., MM., IPU.</v>
          </cell>
          <cell r="E568" t="str">
            <v>Elins Design Engineer Officer</v>
          </cell>
          <cell r="F568" t="str">
            <v>Manager</v>
          </cell>
          <cell r="G568" t="str">
            <v>Operation Directorate</v>
          </cell>
          <cell r="H568" t="str">
            <v>Dep. of Project Mngmnt &amp; Maint. Support</v>
          </cell>
          <cell r="I568" t="str">
            <v>Unit of Engineering</v>
          </cell>
          <cell r="J568" t="str">
            <v>Staff of Elins Design Engineer</v>
          </cell>
        </row>
        <row r="569">
          <cell r="A569">
            <v>5299</v>
          </cell>
          <cell r="B569" t="str">
            <v>8408039</v>
          </cell>
          <cell r="C569">
            <v>50007951</v>
          </cell>
          <cell r="D569" t="str">
            <v>ARI N.K. TRI MAHESTHI, ST.</v>
          </cell>
          <cell r="E569" t="str">
            <v>GM of Clinker &amp; Cement Production</v>
          </cell>
          <cell r="F569" t="str">
            <v>General Manager</v>
          </cell>
          <cell r="G569" t="str">
            <v>Operation Directorate</v>
          </cell>
          <cell r="H569" t="str">
            <v>Dept. of Clinker &amp; Cement Production</v>
          </cell>
        </row>
        <row r="570">
          <cell r="A570">
            <v>5300</v>
          </cell>
          <cell r="B570" t="str">
            <v>8408061</v>
          </cell>
          <cell r="C570">
            <v>50052203</v>
          </cell>
          <cell r="D570" t="str">
            <v>LUKAS TANDI, AMD.</v>
          </cell>
          <cell r="E570" t="str">
            <v>Mgr of Production Planning</v>
          </cell>
          <cell r="F570" t="str">
            <v>Manager</v>
          </cell>
          <cell r="G570" t="str">
            <v>Operation Directorate</v>
          </cell>
          <cell r="H570" t="str">
            <v>Dept. of Production Planning &amp; Control</v>
          </cell>
          <cell r="I570" t="str">
            <v>Unit of Prod. Plan Eval. &amp; Environmental</v>
          </cell>
          <cell r="J570" t="str">
            <v>Section of Production Planning</v>
          </cell>
        </row>
        <row r="571">
          <cell r="A571">
            <v>5301</v>
          </cell>
          <cell r="B571" t="str">
            <v>8410019</v>
          </cell>
          <cell r="C571">
            <v>50065387</v>
          </cell>
          <cell r="D571" t="str">
            <v>AZTAR AZIS, ST.</v>
          </cell>
          <cell r="E571" t="str">
            <v>Energy Officer</v>
          </cell>
          <cell r="F571" t="str">
            <v>Manager</v>
          </cell>
          <cell r="G571" t="str">
            <v>Operation Directorate</v>
          </cell>
          <cell r="H571" t="str">
            <v>Dept. of Production Planning &amp; Control</v>
          </cell>
          <cell r="I571" t="str">
            <v>Unit of AFR &amp; Energy</v>
          </cell>
          <cell r="J571" t="str">
            <v>Staff of Energy</v>
          </cell>
        </row>
        <row r="572">
          <cell r="A572">
            <v>5302</v>
          </cell>
          <cell r="B572" t="str">
            <v>8410020</v>
          </cell>
          <cell r="C572">
            <v>50071469</v>
          </cell>
          <cell r="D572" t="str">
            <v>JUSMAN ARSYAD, ST.</v>
          </cell>
          <cell r="E572" t="str">
            <v>Innovation Officer</v>
          </cell>
          <cell r="F572" t="str">
            <v>Manager</v>
          </cell>
          <cell r="G572" t="str">
            <v>Finance Risk Mgmt &amp; General Directorate</v>
          </cell>
          <cell r="H572" t="str">
            <v>Department of Human Capital &amp; GRC</v>
          </cell>
          <cell r="I572" t="str">
            <v>Unit of Business &amp; System Development</v>
          </cell>
          <cell r="J572" t="str">
            <v>Staff of Innovation</v>
          </cell>
        </row>
        <row r="573">
          <cell r="A573">
            <v>5303</v>
          </cell>
          <cell r="B573" t="str">
            <v>8410021</v>
          </cell>
          <cell r="C573">
            <v>50054049</v>
          </cell>
          <cell r="D573" t="str">
            <v>DWI KURNIAWAN, ST., M.S.M</v>
          </cell>
          <cell r="E573" t="str">
            <v>SM of Cement Production</v>
          </cell>
          <cell r="F573" t="str">
            <v>Senior Manager</v>
          </cell>
          <cell r="G573" t="str">
            <v>Operation Directorate</v>
          </cell>
          <cell r="H573" t="str">
            <v>Dept. of Clinker &amp; Cement Production</v>
          </cell>
          <cell r="I573" t="str">
            <v>Unit of Cement Production</v>
          </cell>
        </row>
        <row r="574">
          <cell r="A574">
            <v>5304</v>
          </cell>
          <cell r="B574" t="str">
            <v>8408040</v>
          </cell>
          <cell r="C574">
            <v>50009057</v>
          </cell>
          <cell r="D574" t="str">
            <v>ADNAN, Ir., ST., MM., IPM.</v>
          </cell>
          <cell r="E574" t="str">
            <v>OOTC (Dir of Technical PT Tonasa Lines)</v>
          </cell>
          <cell r="F574" t="str">
            <v>Senior Manager</v>
          </cell>
          <cell r="G574" t="str">
            <v>President Directorate</v>
          </cell>
          <cell r="I574" t="str">
            <v>Staff of Pres Dir (Tonasa Lines)</v>
          </cell>
        </row>
        <row r="575">
          <cell r="A575">
            <v>5305</v>
          </cell>
          <cell r="B575" t="str">
            <v>8408041</v>
          </cell>
          <cell r="C575">
            <v>50068488</v>
          </cell>
          <cell r="D575" t="str">
            <v>MUH.AFANDY MARASABESSY, SE.</v>
          </cell>
          <cell r="E575" t="str">
            <v>GM. of Sales</v>
          </cell>
          <cell r="F575" t="str">
            <v>General Manager</v>
          </cell>
          <cell r="G575" t="str">
            <v>President Directorate</v>
          </cell>
          <cell r="H575" t="str">
            <v>Dept. of Sales</v>
          </cell>
        </row>
        <row r="576">
          <cell r="A576">
            <v>5306</v>
          </cell>
          <cell r="B576" t="str">
            <v>8408062</v>
          </cell>
          <cell r="C576">
            <v>50070077</v>
          </cell>
          <cell r="D576" t="str">
            <v>HERLINA, ST.</v>
          </cell>
          <cell r="E576" t="str">
            <v>SM of Mechanical Goods Control</v>
          </cell>
          <cell r="F576" t="str">
            <v>Senior Manager</v>
          </cell>
          <cell r="G576" t="str">
            <v>Direktorat Human Capital</v>
          </cell>
          <cell r="H576" t="str">
            <v>Department of Goods Proc. Plan. &amp; Policy</v>
          </cell>
          <cell r="I576" t="str">
            <v>Unit of Mechanical Goods Control</v>
          </cell>
        </row>
        <row r="577">
          <cell r="A577">
            <v>5307</v>
          </cell>
          <cell r="B577" t="str">
            <v>8408042</v>
          </cell>
          <cell r="C577">
            <v>50067566</v>
          </cell>
          <cell r="D577" t="str">
            <v>ANON SULISTYO, ST., MT.</v>
          </cell>
          <cell r="E577" t="str">
            <v>GM of Data Mgt. &amp; Analytics</v>
          </cell>
          <cell r="F577" t="str">
            <v>General Manager</v>
          </cell>
          <cell r="G577" t="str">
            <v>Direktorat Wakil Direktur Utama</v>
          </cell>
          <cell r="H577" t="str">
            <v>Department of Data Mgt. &amp; Analytics</v>
          </cell>
        </row>
        <row r="578">
          <cell r="A578">
            <v>5308</v>
          </cell>
          <cell r="B578" t="str">
            <v>8408043</v>
          </cell>
          <cell r="C578">
            <v>50066232</v>
          </cell>
          <cell r="D578" t="str">
            <v>NUR ASMAL MUSTAFA, ST.</v>
          </cell>
          <cell r="E578" t="str">
            <v>SM of Workshop</v>
          </cell>
          <cell r="F578" t="str">
            <v>Senior Manager</v>
          </cell>
          <cell r="G578" t="str">
            <v>Operation Directorate</v>
          </cell>
          <cell r="H578" t="str">
            <v>Dep. of Project Mngmnt &amp; Maint. Support</v>
          </cell>
          <cell r="I578" t="str">
            <v>Unit of Workshop</v>
          </cell>
        </row>
        <row r="579">
          <cell r="A579">
            <v>5309</v>
          </cell>
          <cell r="B579" t="str">
            <v>8408044</v>
          </cell>
          <cell r="C579">
            <v>50023514</v>
          </cell>
          <cell r="D579" t="str">
            <v>JASMIATI, ST.</v>
          </cell>
          <cell r="E579" t="str">
            <v>SM of Prod. Plan Eval. &amp; Environmental</v>
          </cell>
          <cell r="F579" t="str">
            <v>Senior Manager</v>
          </cell>
          <cell r="G579" t="str">
            <v>Operation Directorate</v>
          </cell>
          <cell r="H579" t="str">
            <v>Dept. of Production Planning &amp; Control</v>
          </cell>
          <cell r="I579" t="str">
            <v>Unit of Prod. Plan Eval. &amp; Environmental</v>
          </cell>
        </row>
        <row r="580">
          <cell r="A580">
            <v>5310</v>
          </cell>
          <cell r="B580" t="str">
            <v>8408063</v>
          </cell>
          <cell r="C580">
            <v>50066234</v>
          </cell>
          <cell r="D580" t="str">
            <v>ARIF BUDIMAN, AMD.</v>
          </cell>
          <cell r="E580" t="str">
            <v>Mgr of Elins Workshop</v>
          </cell>
          <cell r="F580" t="str">
            <v>Manager</v>
          </cell>
          <cell r="G580" t="str">
            <v>Operation Directorate</v>
          </cell>
          <cell r="H580" t="str">
            <v>Dep. of Project Mngmnt &amp; Maint. Support</v>
          </cell>
          <cell r="I580" t="str">
            <v>Unit of Workshop</v>
          </cell>
          <cell r="J580" t="str">
            <v>Section of Elins Workshop</v>
          </cell>
        </row>
        <row r="581">
          <cell r="A581">
            <v>5311</v>
          </cell>
          <cell r="B581" t="str">
            <v>8410022</v>
          </cell>
          <cell r="C581">
            <v>50052129</v>
          </cell>
          <cell r="D581" t="str">
            <v>ANDI HILMAN, Ir., ST., IPM</v>
          </cell>
          <cell r="E581" t="str">
            <v>SM of Elins Maintenance 1</v>
          </cell>
          <cell r="F581" t="str">
            <v>Senior Manager</v>
          </cell>
          <cell r="G581" t="str">
            <v>Operation Directorate</v>
          </cell>
          <cell r="H581" t="str">
            <v>Dept. of Maintenance</v>
          </cell>
          <cell r="I581" t="str">
            <v>Unit of Elins Maintenance 1</v>
          </cell>
        </row>
        <row r="582">
          <cell r="A582">
            <v>5312</v>
          </cell>
          <cell r="B582" t="str">
            <v>8408045</v>
          </cell>
          <cell r="C582">
            <v>50018453</v>
          </cell>
          <cell r="D582" t="str">
            <v>YOSI REAPRADANA, ST.</v>
          </cell>
          <cell r="E582" t="str">
            <v>GM of Production Planning &amp; Control</v>
          </cell>
          <cell r="F582" t="str">
            <v>General Manager</v>
          </cell>
          <cell r="G582" t="str">
            <v>Operation Directorate</v>
          </cell>
          <cell r="H582" t="str">
            <v>Dept. of Production Planning &amp; Control</v>
          </cell>
        </row>
        <row r="583">
          <cell r="A583">
            <v>5313</v>
          </cell>
          <cell r="B583" t="str">
            <v>8408064</v>
          </cell>
          <cell r="C583">
            <v>50066255</v>
          </cell>
          <cell r="D583" t="str">
            <v>AWALUDDIN, AMD.</v>
          </cell>
          <cell r="E583" t="str">
            <v>Planning &amp; Scheduling Jr Officer</v>
          </cell>
          <cell r="F583" t="str">
            <v>Supervisor</v>
          </cell>
          <cell r="G583" t="str">
            <v>Operation Directorate</v>
          </cell>
          <cell r="H583" t="str">
            <v>Dept. of Maintenance</v>
          </cell>
          <cell r="I583" t="str">
            <v>Unit of Reliability Maintenance</v>
          </cell>
          <cell r="J583" t="str">
            <v>Staff of Planning &amp; Scheduling</v>
          </cell>
        </row>
        <row r="584">
          <cell r="A584">
            <v>5315</v>
          </cell>
          <cell r="B584" t="str">
            <v>8410023</v>
          </cell>
          <cell r="C584">
            <v>50068552</v>
          </cell>
          <cell r="D584" t="str">
            <v>MUH. JUFRI HAMZAH, ST.</v>
          </cell>
          <cell r="E584" t="str">
            <v>Mgr of Packaging Management</v>
          </cell>
          <cell r="F584" t="str">
            <v>Manager</v>
          </cell>
          <cell r="G584" t="str">
            <v>President Directorate</v>
          </cell>
          <cell r="H584" t="str">
            <v>Dept. of Sales</v>
          </cell>
          <cell r="I584" t="str">
            <v>Unit of Outbound Logistic</v>
          </cell>
          <cell r="J584" t="str">
            <v>Section of Packaging Management</v>
          </cell>
        </row>
        <row r="585">
          <cell r="A585">
            <v>5316</v>
          </cell>
          <cell r="B585" t="str">
            <v>8410024</v>
          </cell>
          <cell r="C585">
            <v>50066270</v>
          </cell>
          <cell r="D585" t="str">
            <v>FANDI HAKIM, ST.</v>
          </cell>
          <cell r="E585" t="str">
            <v>Spare Part Planning Jr Officer</v>
          </cell>
          <cell r="F585" t="str">
            <v>Supervisor</v>
          </cell>
          <cell r="G585" t="str">
            <v>Operation Directorate</v>
          </cell>
          <cell r="H585" t="str">
            <v>Dep. of Project Mngmnt &amp; Maint. Support</v>
          </cell>
          <cell r="I585" t="str">
            <v>Unit of Maintenance Planning &amp; Eval.</v>
          </cell>
          <cell r="J585" t="str">
            <v>Staff of Spare Part Planning</v>
          </cell>
        </row>
        <row r="586">
          <cell r="A586">
            <v>5317</v>
          </cell>
          <cell r="B586" t="str">
            <v>8408066</v>
          </cell>
          <cell r="C586">
            <v>50062553</v>
          </cell>
          <cell r="D586" t="str">
            <v>SUZAN AGUSTIN REWAH, SE.</v>
          </cell>
          <cell r="E586" t="str">
            <v>Internal Audit Sr Officer</v>
          </cell>
          <cell r="F586" t="str">
            <v>Senior Manager</v>
          </cell>
          <cell r="G586" t="str">
            <v>President Directorate</v>
          </cell>
          <cell r="H586" t="str">
            <v>Department of Internal Audit</v>
          </cell>
          <cell r="I586" t="str">
            <v>Staff of Internal Audit</v>
          </cell>
        </row>
        <row r="587">
          <cell r="A587">
            <v>5318</v>
          </cell>
          <cell r="B587" t="str">
            <v>8408067</v>
          </cell>
          <cell r="C587">
            <v>50024323</v>
          </cell>
          <cell r="D587" t="str">
            <v>ARYO SUGARWANTO, AMD.</v>
          </cell>
          <cell r="E587" t="str">
            <v>Spv of LS,CL,SL 2/3/4 Crusher PdM &amp; PM</v>
          </cell>
          <cell r="F587" t="str">
            <v>Supervisor</v>
          </cell>
          <cell r="G587" t="str">
            <v>Operation Directorate</v>
          </cell>
          <cell r="H587" t="str">
            <v>Dept. of Maintenance</v>
          </cell>
          <cell r="I587" t="str">
            <v>Unit of Elins Maintenance 1</v>
          </cell>
          <cell r="J587" t="str">
            <v>Section of Crusher Elins Maintenance</v>
          </cell>
        </row>
        <row r="588">
          <cell r="A588">
            <v>5319</v>
          </cell>
          <cell r="B588" t="str">
            <v>8408068</v>
          </cell>
          <cell r="C588">
            <v>50071052</v>
          </cell>
          <cell r="D588" t="str">
            <v>FARID NUGRAHA, SE.</v>
          </cell>
          <cell r="E588" t="str">
            <v>Employee on Duty (Direksi)</v>
          </cell>
          <cell r="F588" t="str">
            <v>General Manager</v>
          </cell>
          <cell r="G588" t="str">
            <v>Direktorat Human Capital</v>
          </cell>
          <cell r="H588" t="str">
            <v>Employee on Duty</v>
          </cell>
          <cell r="I588" t="str">
            <v>Thang Long Cement Company</v>
          </cell>
        </row>
        <row r="589">
          <cell r="A589">
            <v>5320</v>
          </cell>
          <cell r="B589" t="str">
            <v>8408069</v>
          </cell>
          <cell r="C589">
            <v>50008482</v>
          </cell>
          <cell r="D589" t="str">
            <v>RESTI SETIANINGRUM, ST.</v>
          </cell>
          <cell r="E589" t="str">
            <v>Quality Control Officer (2/3)</v>
          </cell>
          <cell r="F589" t="str">
            <v>Manager</v>
          </cell>
          <cell r="G589" t="str">
            <v>Operation Directorate</v>
          </cell>
          <cell r="H589" t="str">
            <v>Dept. of Production Planning &amp; Control</v>
          </cell>
          <cell r="I589" t="str">
            <v>Unit of Quality Control</v>
          </cell>
          <cell r="J589" t="str">
            <v>Section of Quality Control (2/3)</v>
          </cell>
        </row>
        <row r="590">
          <cell r="A590">
            <v>5321</v>
          </cell>
          <cell r="B590" t="str">
            <v>8410025</v>
          </cell>
          <cell r="C590">
            <v>50008320</v>
          </cell>
          <cell r="D590" t="str">
            <v>BUDI WIYONO, ST.</v>
          </cell>
          <cell r="E590" t="str">
            <v>SM of Power Plant Operation</v>
          </cell>
          <cell r="F590" t="str">
            <v>Senior Manager</v>
          </cell>
          <cell r="G590" t="str">
            <v>Operation Directorate</v>
          </cell>
          <cell r="H590" t="str">
            <v>Dept. of Mining &amp; Power Plant</v>
          </cell>
          <cell r="I590" t="str">
            <v>Unit of Power Plant Operation</v>
          </cell>
        </row>
        <row r="591">
          <cell r="A591">
            <v>5322</v>
          </cell>
          <cell r="B591" t="str">
            <v>8408070</v>
          </cell>
          <cell r="C591">
            <v>50069563</v>
          </cell>
          <cell r="D591" t="str">
            <v>KADARUDDIN, ST.</v>
          </cell>
          <cell r="E591" t="str">
            <v>Port Maint PdM &amp; PM Schedule Jr Officer</v>
          </cell>
          <cell r="F591" t="str">
            <v>Supervisor</v>
          </cell>
          <cell r="G591" t="str">
            <v>Operation Directorate</v>
          </cell>
          <cell r="H591" t="str">
            <v>Dept. of Maintenance</v>
          </cell>
          <cell r="I591" t="str">
            <v>Unit of Port Product Discharge Maint.</v>
          </cell>
        </row>
        <row r="592">
          <cell r="A592">
            <v>5323</v>
          </cell>
          <cell r="B592" t="str">
            <v>8408046</v>
          </cell>
          <cell r="C592">
            <v>50069493</v>
          </cell>
          <cell r="D592" t="str">
            <v>SURYADANI, ST.</v>
          </cell>
          <cell r="E592" t="str">
            <v>SM of Port Product Discharge Maintenance</v>
          </cell>
          <cell r="F592" t="str">
            <v>Senior Manager</v>
          </cell>
          <cell r="G592" t="str">
            <v>Operation Directorate</v>
          </cell>
          <cell r="H592" t="str">
            <v>Dept. of Maintenance</v>
          </cell>
          <cell r="I592" t="str">
            <v>Unit of Port Product Discharge Maint.</v>
          </cell>
        </row>
        <row r="593">
          <cell r="A593">
            <v>5324</v>
          </cell>
          <cell r="B593" t="str">
            <v>8408047</v>
          </cell>
          <cell r="C593">
            <v>50067755</v>
          </cell>
          <cell r="D593" t="str">
            <v>ARIF KURNIAWAN, ST., MM.</v>
          </cell>
          <cell r="E593" t="str">
            <v>ESG Project Mgt Sr Officer</v>
          </cell>
          <cell r="F593" t="str">
            <v>Senior Manager</v>
          </cell>
          <cell r="G593" t="str">
            <v>Direktorat Pengembangan Bisnis&amp;Strategy</v>
          </cell>
          <cell r="H593" t="str">
            <v>Department of ESG</v>
          </cell>
        </row>
        <row r="594">
          <cell r="A594">
            <v>5325</v>
          </cell>
          <cell r="B594" t="str">
            <v>8408071</v>
          </cell>
          <cell r="C594">
            <v>50066727</v>
          </cell>
          <cell r="D594" t="str">
            <v>RICKY NOVIANTO, S.Ak.</v>
          </cell>
          <cell r="E594" t="str">
            <v>SM of General Facility &amp; Asset</v>
          </cell>
          <cell r="F594" t="str">
            <v>Senior Manager</v>
          </cell>
          <cell r="G594" t="str">
            <v>President Directorate</v>
          </cell>
          <cell r="H594" t="str">
            <v>Dept. of Communication, Legal &amp; GA</v>
          </cell>
          <cell r="I594" t="str">
            <v>Unit of General Facility &amp; Asset</v>
          </cell>
        </row>
        <row r="595">
          <cell r="A595">
            <v>5326</v>
          </cell>
          <cell r="B595" t="str">
            <v>8408072</v>
          </cell>
          <cell r="C595">
            <v>50067172</v>
          </cell>
          <cell r="D595" t="str">
            <v>NOVA TIKUPASANG, SE.</v>
          </cell>
          <cell r="E595" t="str">
            <v>Financial Business Partner</v>
          </cell>
          <cell r="F595" t="str">
            <v>Senior Manager</v>
          </cell>
          <cell r="G595" t="str">
            <v>Direktorat Keuangan dan Risk Management</v>
          </cell>
          <cell r="H595" t="str">
            <v>Department of Financial Plan &amp; Analysis</v>
          </cell>
        </row>
        <row r="596">
          <cell r="A596">
            <v>5327</v>
          </cell>
          <cell r="B596" t="str">
            <v>8410026</v>
          </cell>
          <cell r="C596">
            <v>50062863</v>
          </cell>
          <cell r="D596" t="str">
            <v>REDI GARJITO, S.Kom., MM.</v>
          </cell>
          <cell r="E596" t="str">
            <v>ICT &amp; BSED Auditor</v>
          </cell>
          <cell r="F596" t="str">
            <v>Manager</v>
          </cell>
          <cell r="G596" t="str">
            <v>Direktorat Utama</v>
          </cell>
        </row>
        <row r="597">
          <cell r="A597">
            <v>5328</v>
          </cell>
          <cell r="B597" t="str">
            <v>8508073</v>
          </cell>
          <cell r="C597">
            <v>50053927</v>
          </cell>
          <cell r="D597" t="str">
            <v>ANTONIUS F.H. SUKMA, AMD.</v>
          </cell>
          <cell r="E597" t="str">
            <v>Mgr of Line 2/3 FM Operation</v>
          </cell>
          <cell r="F597" t="str">
            <v>Manager</v>
          </cell>
          <cell r="G597" t="str">
            <v>Operation Directorate</v>
          </cell>
          <cell r="H597" t="str">
            <v>Dept. of Clinker &amp; Cement Production</v>
          </cell>
          <cell r="I597" t="str">
            <v>Unit of Cement Production</v>
          </cell>
          <cell r="J597" t="str">
            <v>Section of Line 2/3 FM Operation</v>
          </cell>
        </row>
        <row r="598">
          <cell r="A598">
            <v>5329</v>
          </cell>
          <cell r="B598" t="str">
            <v>8508048</v>
          </cell>
          <cell r="C598">
            <v>50058788</v>
          </cell>
          <cell r="D598" t="str">
            <v>BENGET P. SITORUS, ST., MM.</v>
          </cell>
          <cell r="E598" t="str">
            <v>SM of Material QA Management</v>
          </cell>
          <cell r="F598" t="str">
            <v>Senior Manager</v>
          </cell>
          <cell r="G598" t="str">
            <v>Direktorat Operasi</v>
          </cell>
          <cell r="H598" t="str">
            <v>Department of Quality Assurance</v>
          </cell>
          <cell r="I598" t="str">
            <v>Unit of Material QA Management</v>
          </cell>
        </row>
        <row r="599">
          <cell r="A599">
            <v>5330</v>
          </cell>
          <cell r="B599" t="str">
            <v>8508074</v>
          </cell>
          <cell r="C599">
            <v>50066131</v>
          </cell>
          <cell r="D599" t="str">
            <v>MUH. ASIS ASRI, ST.</v>
          </cell>
          <cell r="E599" t="str">
            <v>SM of CAPEX Management</v>
          </cell>
          <cell r="F599" t="str">
            <v>Senior Manager</v>
          </cell>
          <cell r="G599" t="str">
            <v>Operation Directorate</v>
          </cell>
          <cell r="H599" t="str">
            <v>Dep. of Project Mngmnt &amp; Maint. Support</v>
          </cell>
          <cell r="I599" t="str">
            <v>Unit of CAPEX Management</v>
          </cell>
        </row>
        <row r="600">
          <cell r="A600">
            <v>5332</v>
          </cell>
          <cell r="B600" t="str">
            <v>8508075</v>
          </cell>
          <cell r="C600">
            <v>50069497</v>
          </cell>
          <cell r="D600" t="str">
            <v>MZ SUKMA HASTIKA, AMD.</v>
          </cell>
          <cell r="E600" t="str">
            <v>Mgr of Port Facility Elins Maintenance</v>
          </cell>
          <cell r="F600" t="str">
            <v>Manager</v>
          </cell>
          <cell r="G600" t="str">
            <v>Operation Directorate</v>
          </cell>
          <cell r="H600" t="str">
            <v>Dept. of Maintenance</v>
          </cell>
          <cell r="I600" t="str">
            <v>Unit of Port Product Discharge Maint.</v>
          </cell>
          <cell r="J600" t="str">
            <v>Section of Port Facility Elins Maint.</v>
          </cell>
        </row>
        <row r="601">
          <cell r="A601">
            <v>5333</v>
          </cell>
          <cell r="B601" t="str">
            <v>8508076</v>
          </cell>
          <cell r="C601">
            <v>50070252</v>
          </cell>
          <cell r="D601" t="str">
            <v>MUH. NASRUN SYAH, ST.</v>
          </cell>
          <cell r="E601" t="str">
            <v>Procurement Jr Officer</v>
          </cell>
          <cell r="F601" t="str">
            <v>Supervisor</v>
          </cell>
          <cell r="G601" t="str">
            <v>Direktorat Human Capital</v>
          </cell>
          <cell r="H601" t="str">
            <v>Department of Goods &amp; Capex Procurement</v>
          </cell>
          <cell r="I601" t="str">
            <v>Unit of Mining &amp; Land Procurement</v>
          </cell>
        </row>
        <row r="602">
          <cell r="A602">
            <v>5334</v>
          </cell>
          <cell r="B602" t="str">
            <v>8510028</v>
          </cell>
          <cell r="C602">
            <v>50064136</v>
          </cell>
          <cell r="D602" t="str">
            <v>STEVANUS BODRO WIBOWO, S.Si.</v>
          </cell>
          <cell r="E602" t="str">
            <v>SM of AFR &amp; Energy</v>
          </cell>
          <cell r="F602" t="str">
            <v>Senior Manager</v>
          </cell>
          <cell r="G602" t="str">
            <v>Operation Directorate</v>
          </cell>
          <cell r="H602" t="str">
            <v>Dept. of Production Planning &amp; Control</v>
          </cell>
          <cell r="I602" t="str">
            <v>Unit of AFR &amp; Energy</v>
          </cell>
        </row>
        <row r="603">
          <cell r="A603">
            <v>5335</v>
          </cell>
          <cell r="B603" t="str">
            <v>8510029</v>
          </cell>
          <cell r="C603">
            <v>50007846</v>
          </cell>
          <cell r="D603" t="str">
            <v>IRVAN AFIAT.ST.,MM.,CSCA</v>
          </cell>
          <cell r="E603" t="str">
            <v>Mgr of Line 4/5 RM Machine Maint</v>
          </cell>
          <cell r="F603" t="str">
            <v>Manager</v>
          </cell>
          <cell r="G603" t="str">
            <v>Operation Directorate</v>
          </cell>
          <cell r="H603" t="str">
            <v>Dept. of Maintenance</v>
          </cell>
          <cell r="I603" t="str">
            <v>Unit of Machine Maintenance 2</v>
          </cell>
          <cell r="J603" t="str">
            <v>Section of Line 4/5 RM Machine Maint</v>
          </cell>
        </row>
        <row r="604">
          <cell r="A604">
            <v>5336</v>
          </cell>
          <cell r="B604" t="str">
            <v>8508077</v>
          </cell>
          <cell r="C604">
            <v>50069155</v>
          </cell>
          <cell r="D604" t="str">
            <v>YENNY KASIM, ST.</v>
          </cell>
          <cell r="E604" t="str">
            <v>Mgr of Material Quality Assurance</v>
          </cell>
          <cell r="F604" t="str">
            <v>Manager</v>
          </cell>
          <cell r="G604" t="str">
            <v>Operation Directorate</v>
          </cell>
          <cell r="I604" t="str">
            <v>Unit of Quality Assurance</v>
          </cell>
          <cell r="J604" t="str">
            <v>Section of Material Quality Assurance</v>
          </cell>
        </row>
        <row r="605">
          <cell r="A605">
            <v>5338</v>
          </cell>
          <cell r="B605" t="str">
            <v>8510030</v>
          </cell>
          <cell r="C605">
            <v>50066435</v>
          </cell>
          <cell r="D605" t="str">
            <v>MUHAMMAD AGENG ANOM, AMD.</v>
          </cell>
          <cell r="E605" t="str">
            <v>Mgr of Line 4/5 RKC Instr. Maint.</v>
          </cell>
          <cell r="F605" t="str">
            <v>Manager</v>
          </cell>
          <cell r="G605" t="str">
            <v>Operation Directorate</v>
          </cell>
          <cell r="H605" t="str">
            <v>Dept. of Maintenance</v>
          </cell>
          <cell r="I605" t="str">
            <v>Unit of Elins Maintenance 2</v>
          </cell>
          <cell r="J605" t="str">
            <v>Section of Line 4/5 RKC Instr. Maint.</v>
          </cell>
        </row>
        <row r="606">
          <cell r="A606">
            <v>5339</v>
          </cell>
          <cell r="B606" t="str">
            <v>8510031</v>
          </cell>
          <cell r="C606">
            <v>50009056</v>
          </cell>
          <cell r="D606" t="str">
            <v>SRI ASTRI IVO, SE., MM., CRMO</v>
          </cell>
          <cell r="E606" t="str">
            <v>OOTC (Dir of Finance PT Ton Lines)</v>
          </cell>
          <cell r="F606" t="str">
            <v>Senior Manager</v>
          </cell>
          <cell r="G606" t="str">
            <v>President Directorate</v>
          </cell>
          <cell r="I606" t="str">
            <v>Staff of Pres Dir (Tonasa Lines)</v>
          </cell>
        </row>
        <row r="607">
          <cell r="A607">
            <v>5341</v>
          </cell>
          <cell r="B607" t="str">
            <v>8510032</v>
          </cell>
          <cell r="C607">
            <v>50064977</v>
          </cell>
          <cell r="D607" t="str">
            <v>R.FINANDARU GUNTUR SUTRISNO PUTRO, SE.</v>
          </cell>
          <cell r="E607" t="str">
            <v>SM of AR/AP Management &amp; Liquidity</v>
          </cell>
          <cell r="F607" t="str">
            <v>Senior Manager</v>
          </cell>
          <cell r="G607" t="str">
            <v>Direktorat Keuangan dan Risk Management</v>
          </cell>
          <cell r="H607" t="str">
            <v>Department of Treasury</v>
          </cell>
          <cell r="I607" t="str">
            <v>Unit of AR/AP Management &amp; Liquidity</v>
          </cell>
        </row>
        <row r="608">
          <cell r="A608">
            <v>5342</v>
          </cell>
          <cell r="B608" t="str">
            <v>8508049</v>
          </cell>
          <cell r="C608">
            <v>50071166</v>
          </cell>
          <cell r="D608" t="str">
            <v>NURFADHILAH JUFRI ST.,MM.,MT</v>
          </cell>
          <cell r="E608" t="str">
            <v>OOTC (Staff of DPST)</v>
          </cell>
          <cell r="F608" t="str">
            <v>Supervisor</v>
          </cell>
          <cell r="G608" t="str">
            <v>President Directorate</v>
          </cell>
          <cell r="I608" t="str">
            <v>Staff of Pres Dir (Dana Pensiun)</v>
          </cell>
        </row>
        <row r="609">
          <cell r="A609">
            <v>5343</v>
          </cell>
          <cell r="B609" t="str">
            <v>8510064</v>
          </cell>
          <cell r="C609">
            <v>50071441</v>
          </cell>
          <cell r="D609" t="str">
            <v>LUKMAN RAZAK, ST.</v>
          </cell>
          <cell r="E609" t="str">
            <v>Risk Management &amp; BCM Officer</v>
          </cell>
          <cell r="F609" t="str">
            <v>Manager</v>
          </cell>
          <cell r="G609" t="str">
            <v>Finance Risk Mgmt &amp; General Directorate</v>
          </cell>
          <cell r="H609" t="str">
            <v>Department of Human Capital &amp; GRC</v>
          </cell>
          <cell r="I609" t="str">
            <v>Unit of GRC Management</v>
          </cell>
          <cell r="J609" t="str">
            <v>Staff of Risk Management &amp; BCM</v>
          </cell>
        </row>
        <row r="610">
          <cell r="A610">
            <v>5344</v>
          </cell>
          <cell r="B610" t="str">
            <v>8508080</v>
          </cell>
          <cell r="C610">
            <v>50066409</v>
          </cell>
          <cell r="D610" t="str">
            <v>ASHAR ASDAR, AMD.</v>
          </cell>
          <cell r="E610" t="str">
            <v>CAPEX Jr Officer</v>
          </cell>
          <cell r="F610" t="str">
            <v>Supervisor</v>
          </cell>
          <cell r="G610" t="str">
            <v>Operation Directorate</v>
          </cell>
          <cell r="H610" t="str">
            <v>Dep. of Project Mngmnt &amp; Maint. Support</v>
          </cell>
          <cell r="I610" t="str">
            <v>Unit of CAPEX Management</v>
          </cell>
          <cell r="J610" t="str">
            <v>Staff Process of  CAPEX</v>
          </cell>
        </row>
        <row r="611">
          <cell r="A611">
            <v>5346</v>
          </cell>
          <cell r="B611" t="str">
            <v>8510065</v>
          </cell>
          <cell r="C611">
            <v>50070229</v>
          </cell>
          <cell r="D611" t="str">
            <v>AKHMAD ROZIQIN, AMD.</v>
          </cell>
          <cell r="E611" t="str">
            <v>Procurement Officer</v>
          </cell>
          <cell r="F611" t="str">
            <v>Manager</v>
          </cell>
          <cell r="G611" t="str">
            <v>Direktorat Human Capital</v>
          </cell>
          <cell r="H611" t="str">
            <v>Department of Goods &amp; Capex Procurement</v>
          </cell>
          <cell r="I611" t="str">
            <v>Unit of Mechanical 1 Procurement</v>
          </cell>
        </row>
        <row r="612">
          <cell r="A612">
            <v>5347</v>
          </cell>
          <cell r="B612" t="str">
            <v>8508051</v>
          </cell>
          <cell r="C612">
            <v>50009869</v>
          </cell>
          <cell r="D612" t="str">
            <v>WIDYA KURNIASARI RAHIM, ST.</v>
          </cell>
          <cell r="E612" t="str">
            <v>SM of HC Operational</v>
          </cell>
          <cell r="F612" t="str">
            <v>Senior Manager</v>
          </cell>
          <cell r="G612" t="str">
            <v>Finance Risk Mgmt &amp; General Directorate</v>
          </cell>
          <cell r="H612" t="str">
            <v>Department of Human Capital &amp; GRC</v>
          </cell>
          <cell r="I612" t="str">
            <v>Unit of HC Operational</v>
          </cell>
        </row>
        <row r="613">
          <cell r="A613">
            <v>5349</v>
          </cell>
          <cell r="B613" t="str">
            <v>8510033</v>
          </cell>
          <cell r="C613">
            <v>50069066</v>
          </cell>
          <cell r="D613" t="str">
            <v>WIRAWAN YUSUF, ST.</v>
          </cell>
          <cell r="E613" t="str">
            <v>Mgr of Port Operation (Packer &amp; Curah)</v>
          </cell>
          <cell r="F613" t="str">
            <v>Manager</v>
          </cell>
          <cell r="G613" t="str">
            <v>Operation Directorate</v>
          </cell>
          <cell r="H613" t="str">
            <v>Dept. of Infrastructure</v>
          </cell>
          <cell r="I613" t="str">
            <v>Unit of Plant &amp; Port Prod Discharge Opr</v>
          </cell>
          <cell r="J613" t="str">
            <v>Section of Port Opr (Packer &amp; Curah)</v>
          </cell>
        </row>
        <row r="614">
          <cell r="A614">
            <v>5350</v>
          </cell>
          <cell r="B614" t="str">
            <v>8508052</v>
          </cell>
          <cell r="C614">
            <v>50068981</v>
          </cell>
          <cell r="D614" t="str">
            <v>ENDAH SULISTYO HARYANI, SE., Akt., MSi.</v>
          </cell>
          <cell r="E614" t="str">
            <v>Business Controller</v>
          </cell>
          <cell r="F614" t="str">
            <v>General Manager</v>
          </cell>
          <cell r="G614" t="str">
            <v>Direktorat Keuangan dan Risk Management</v>
          </cell>
          <cell r="H614" t="str">
            <v>Department of Financial Plan &amp; Analysis</v>
          </cell>
        </row>
        <row r="615">
          <cell r="A615">
            <v>5351</v>
          </cell>
          <cell r="B615" t="str">
            <v>8508083</v>
          </cell>
          <cell r="C615">
            <v>50066127</v>
          </cell>
          <cell r="D615" t="str">
            <v>SURAHMAN, ST.</v>
          </cell>
          <cell r="E615" t="str">
            <v>Mgr of Project Execution (Construction)</v>
          </cell>
          <cell r="F615" t="str">
            <v>Manager</v>
          </cell>
          <cell r="G615" t="str">
            <v>Operation Directorate</v>
          </cell>
          <cell r="H615" t="str">
            <v>Dep. of Project Mngmnt &amp; Maint. Support</v>
          </cell>
          <cell r="I615" t="str">
            <v>Unit of Project Management</v>
          </cell>
          <cell r="J615" t="str">
            <v>Section of Project Execution (Constr.)</v>
          </cell>
        </row>
        <row r="616">
          <cell r="A616">
            <v>5352</v>
          </cell>
          <cell r="B616" t="str">
            <v>8508084</v>
          </cell>
          <cell r="C616">
            <v>50068050</v>
          </cell>
          <cell r="D616" t="str">
            <v>RUSTAMIN RUSTAM, SE., MM.</v>
          </cell>
          <cell r="E616" t="str">
            <v>Group Head of Strategy &amp; Transform. Mgmt</v>
          </cell>
          <cell r="F616" t="str">
            <v>General Manager</v>
          </cell>
          <cell r="G616" t="str">
            <v>Direktorat Wakil Direktur Utama</v>
          </cell>
        </row>
        <row r="617">
          <cell r="A617">
            <v>5353</v>
          </cell>
          <cell r="B617" t="str">
            <v>8510034</v>
          </cell>
          <cell r="C617">
            <v>50069787</v>
          </cell>
          <cell r="D617" t="str">
            <v>ANDITA SELY BESTORO, AMD.</v>
          </cell>
          <cell r="E617" t="str">
            <v>OOTC (Pres Dir of PT SETRA)</v>
          </cell>
          <cell r="F617" t="str">
            <v>Manager</v>
          </cell>
          <cell r="G617" t="str">
            <v>President Directorate</v>
          </cell>
          <cell r="I617" t="str">
            <v>Staff of Pres Dir(Sedaya Multi Matra)</v>
          </cell>
        </row>
        <row r="618">
          <cell r="A618">
            <v>5354</v>
          </cell>
          <cell r="B618" t="str">
            <v>8508053</v>
          </cell>
          <cell r="C618">
            <v>70003246</v>
          </cell>
          <cell r="D618" t="str">
            <v>DEDI ABRIYANTORO, ST., MSc.</v>
          </cell>
          <cell r="E618" t="str">
            <v>SM of Supply Chain Development</v>
          </cell>
          <cell r="F618" t="str">
            <v>Senior Manager</v>
          </cell>
          <cell r="G618" t="str">
            <v>Direktorat Sales dan Marketing</v>
          </cell>
          <cell r="H618" t="str">
            <v>Department of Supply Chain Dev. &amp; Perf.</v>
          </cell>
          <cell r="I618" t="str">
            <v>Unit of Supply Chain Development</v>
          </cell>
        </row>
        <row r="619">
          <cell r="A619">
            <v>5355</v>
          </cell>
          <cell r="B619" t="str">
            <v>8508085</v>
          </cell>
          <cell r="C619">
            <v>50071433</v>
          </cell>
          <cell r="D619" t="str">
            <v>ANDIKA MARGAWAN AS, ST.</v>
          </cell>
          <cell r="E619" t="str">
            <v>Mgr of Performance &amp; Talent Mgmt</v>
          </cell>
          <cell r="F619" t="str">
            <v>Manager</v>
          </cell>
          <cell r="G619" t="str">
            <v>Finance Risk Mgmt &amp; General Directorate</v>
          </cell>
          <cell r="H619" t="str">
            <v>Department of Human Capital &amp; GRC</v>
          </cell>
          <cell r="I619" t="str">
            <v>Unit of HC Planning &amp; Development</v>
          </cell>
          <cell r="J619" t="str">
            <v>Section of Performance &amp; Talent Mgmt</v>
          </cell>
        </row>
        <row r="620">
          <cell r="A620">
            <v>5356</v>
          </cell>
          <cell r="B620" t="str">
            <v>8508086</v>
          </cell>
          <cell r="C620">
            <v>50069055</v>
          </cell>
          <cell r="D620" t="str">
            <v>KARDIANUSTI T. BUA, AMD.</v>
          </cell>
          <cell r="E620" t="str">
            <v>Mgr of Sorong Packing Plant</v>
          </cell>
          <cell r="F620" t="str">
            <v>Manager</v>
          </cell>
          <cell r="G620" t="str">
            <v>Operation Directorate</v>
          </cell>
          <cell r="H620" t="str">
            <v>Dept. of Infrastructure</v>
          </cell>
          <cell r="I620" t="str">
            <v>Unit of Packing Plant 2</v>
          </cell>
          <cell r="J620" t="str">
            <v>Section of Sorong Packing Plant</v>
          </cell>
        </row>
        <row r="621">
          <cell r="A621">
            <v>5357</v>
          </cell>
          <cell r="B621" t="str">
            <v>8508087</v>
          </cell>
          <cell r="C621">
            <v>50052082</v>
          </cell>
          <cell r="D621" t="str">
            <v>RIFKI S.PRADIPTA, S.Kom.</v>
          </cell>
          <cell r="E621" t="str">
            <v>Internal Audit Sr Officer</v>
          </cell>
          <cell r="F621" t="str">
            <v>Senior Manager</v>
          </cell>
          <cell r="G621" t="str">
            <v>President Directorate</v>
          </cell>
          <cell r="H621" t="str">
            <v>Department of Internal Audit</v>
          </cell>
          <cell r="I621" t="str">
            <v>Staff of Internal Audit</v>
          </cell>
        </row>
        <row r="622">
          <cell r="A622">
            <v>5358</v>
          </cell>
          <cell r="B622" t="str">
            <v>8510035</v>
          </cell>
          <cell r="C622">
            <v>50069449</v>
          </cell>
          <cell r="D622" t="str">
            <v>JAMAL, AMD.</v>
          </cell>
          <cell r="E622" t="str">
            <v>Service Planning Officer</v>
          </cell>
          <cell r="F622" t="str">
            <v>Manager</v>
          </cell>
          <cell r="G622" t="str">
            <v>Operation Directorate</v>
          </cell>
          <cell r="H622" t="str">
            <v>Dep. of Project Mngmnt &amp; Maint. Support</v>
          </cell>
          <cell r="I622" t="str">
            <v>Unit of Maintenance Planning &amp; Eval.</v>
          </cell>
          <cell r="J622" t="str">
            <v>Staff of Service Planning</v>
          </cell>
        </row>
        <row r="623">
          <cell r="A623">
            <v>5359</v>
          </cell>
          <cell r="B623" t="str">
            <v>8508088</v>
          </cell>
          <cell r="C623">
            <v>50071455</v>
          </cell>
          <cell r="D623" t="str">
            <v>Alm. MAULANA F.HIDAYATULLAH, SE, CAPM, C</v>
          </cell>
          <cell r="E623" t="str">
            <v>Fin. Policy &amp; Standardization Officer</v>
          </cell>
          <cell r="F623" t="str">
            <v>Manager</v>
          </cell>
          <cell r="G623" t="str">
            <v>Finance Risk Mgmt &amp; General Directorate</v>
          </cell>
          <cell r="H623" t="str">
            <v>Department of Finance &amp; Accounting</v>
          </cell>
          <cell r="I623" t="str">
            <v>Unit of Accounting</v>
          </cell>
          <cell r="J623" t="str">
            <v>Staff of Fin. Policy &amp; Standardization</v>
          </cell>
        </row>
        <row r="624">
          <cell r="A624">
            <v>5361</v>
          </cell>
          <cell r="B624" t="str">
            <v>8510036</v>
          </cell>
          <cell r="C624">
            <v>50023634</v>
          </cell>
          <cell r="D624" t="str">
            <v>HARIYONO GUNAWAN, ST., M.S.M.</v>
          </cell>
          <cell r="E624" t="str">
            <v>OOTC (Dir of Technical PT Topa. Trans)</v>
          </cell>
          <cell r="F624" t="str">
            <v>Senior Manager</v>
          </cell>
          <cell r="G624" t="str">
            <v>President Directorate</v>
          </cell>
          <cell r="I624" t="str">
            <v>Staff of Pres Dir (Topabiring)</v>
          </cell>
        </row>
        <row r="625">
          <cell r="A625">
            <v>5362</v>
          </cell>
          <cell r="B625" t="str">
            <v>8510037</v>
          </cell>
          <cell r="C625">
            <v>50008480</v>
          </cell>
          <cell r="D625" t="str">
            <v>SURYADI PASAMBANGI, ST.</v>
          </cell>
          <cell r="E625" t="str">
            <v>SM of Quality Control</v>
          </cell>
          <cell r="F625" t="str">
            <v>Senior Manager</v>
          </cell>
          <cell r="G625" t="str">
            <v>Operation Directorate</v>
          </cell>
          <cell r="H625" t="str">
            <v>Dept. of Production Planning &amp; Control</v>
          </cell>
          <cell r="I625" t="str">
            <v>Unit of Quality Control</v>
          </cell>
        </row>
        <row r="626">
          <cell r="A626">
            <v>5363</v>
          </cell>
          <cell r="B626" t="str">
            <v>8510038</v>
          </cell>
          <cell r="C626">
            <v>50064427</v>
          </cell>
          <cell r="D626" t="str">
            <v>SYAMSUPRIADI, S.Si.</v>
          </cell>
          <cell r="E626" t="str">
            <v>Mgr of AFR &amp; 3rd Material</v>
          </cell>
          <cell r="F626" t="str">
            <v>Manager</v>
          </cell>
          <cell r="G626" t="str">
            <v>Operation Directorate</v>
          </cell>
          <cell r="H626" t="str">
            <v>Dept. of Production Planning &amp; Control</v>
          </cell>
          <cell r="I626" t="str">
            <v>Unit of AFR &amp; Energy</v>
          </cell>
          <cell r="J626" t="str">
            <v>Section of AFR &amp; 3rd Material</v>
          </cell>
        </row>
        <row r="627">
          <cell r="A627">
            <v>5364</v>
          </cell>
          <cell r="B627" t="str">
            <v>8610039</v>
          </cell>
          <cell r="C627">
            <v>50066247</v>
          </cell>
          <cell r="D627" t="str">
            <v>DWI CATUR YANUARI, S.Si. M.M</v>
          </cell>
          <cell r="E627" t="str">
            <v>Planning &amp; Scheduling Officer</v>
          </cell>
          <cell r="F627" t="str">
            <v>Manager</v>
          </cell>
          <cell r="G627" t="str">
            <v>Operation Directorate</v>
          </cell>
          <cell r="H627" t="str">
            <v>Dept. of Maintenance</v>
          </cell>
          <cell r="I627" t="str">
            <v>Unit of Reliability Maintenance</v>
          </cell>
          <cell r="J627" t="str">
            <v>Staff of Planning &amp; Scheduling</v>
          </cell>
        </row>
        <row r="628">
          <cell r="A628">
            <v>5365</v>
          </cell>
          <cell r="B628" t="str">
            <v>8609001</v>
          </cell>
          <cell r="C628">
            <v>50008502</v>
          </cell>
          <cell r="D628" t="str">
            <v>M.RIZAL M., ST.</v>
          </cell>
          <cell r="E628" t="str">
            <v>Mgr of Quality Control (4/5)</v>
          </cell>
          <cell r="F628" t="str">
            <v>Manager</v>
          </cell>
          <cell r="G628" t="str">
            <v>Operation Directorate</v>
          </cell>
          <cell r="H628" t="str">
            <v>Dept. of Production Planning &amp; Control</v>
          </cell>
          <cell r="I628" t="str">
            <v>Unit of Quality Control</v>
          </cell>
          <cell r="J628" t="str">
            <v>Section of Quality Control (4/5)</v>
          </cell>
        </row>
        <row r="629">
          <cell r="A629">
            <v>5366</v>
          </cell>
          <cell r="B629" t="str">
            <v>8610042</v>
          </cell>
          <cell r="C629">
            <v>50066376</v>
          </cell>
          <cell r="D629" t="str">
            <v>JUSRIADI, AMD.</v>
          </cell>
          <cell r="E629" t="str">
            <v>Spare Part Planning Jr Officer</v>
          </cell>
          <cell r="F629" t="str">
            <v>Supervisor</v>
          </cell>
          <cell r="G629" t="str">
            <v>Operation Directorate</v>
          </cell>
          <cell r="H629" t="str">
            <v>Dep. of Project Mngmnt &amp; Maint. Support</v>
          </cell>
          <cell r="I629" t="str">
            <v>Unit of Maintenance Planning &amp; Eval.</v>
          </cell>
          <cell r="J629" t="str">
            <v>Staff of Spare Part Planning</v>
          </cell>
        </row>
        <row r="630">
          <cell r="A630">
            <v>5367</v>
          </cell>
          <cell r="B630" t="str">
            <v>8610043</v>
          </cell>
          <cell r="C630">
            <v>50039009</v>
          </cell>
          <cell r="D630" t="str">
            <v>STANISLAUS RIZAL, AMD.</v>
          </cell>
          <cell r="E630" t="str">
            <v>Jr of PDM EPDC</v>
          </cell>
          <cell r="F630" t="str">
            <v>Supervisor</v>
          </cell>
          <cell r="G630" t="str">
            <v>Operation Directorate</v>
          </cell>
          <cell r="H630" t="str">
            <v>Dept. of Maintenance</v>
          </cell>
          <cell r="I630" t="str">
            <v>Unit of Elins Maintenance 2</v>
          </cell>
          <cell r="J630" t="str">
            <v>Section of EP/DC Maintenance</v>
          </cell>
        </row>
        <row r="631">
          <cell r="A631">
            <v>5368</v>
          </cell>
          <cell r="B631" t="str">
            <v>8610067</v>
          </cell>
          <cell r="C631">
            <v>50070763</v>
          </cell>
          <cell r="D631" t="str">
            <v>MUH.SUAIB, AMD.</v>
          </cell>
          <cell r="E631" t="str">
            <v>Key Account Officer</v>
          </cell>
          <cell r="F631" t="str">
            <v>Manager</v>
          </cell>
          <cell r="G631" t="str">
            <v>President Directorate</v>
          </cell>
          <cell r="H631" t="str">
            <v>Dept. of Sales</v>
          </cell>
          <cell r="I631" t="str">
            <v>Unit of Corporate Sales</v>
          </cell>
          <cell r="J631" t="str">
            <v>Staff of Key Account Officer</v>
          </cell>
        </row>
        <row r="632">
          <cell r="A632">
            <v>5369</v>
          </cell>
          <cell r="B632" t="str">
            <v>8610068</v>
          </cell>
          <cell r="C632">
            <v>50066229</v>
          </cell>
          <cell r="D632" t="str">
            <v>AHMAR, ST.</v>
          </cell>
          <cell r="E632" t="str">
            <v>C TPM Officer</v>
          </cell>
          <cell r="F632" t="str">
            <v>Manager</v>
          </cell>
          <cell r="G632" t="str">
            <v>Operation Directorate</v>
          </cell>
          <cell r="H632" t="str">
            <v>Dep. of Project Mngmnt &amp; Maint. Support</v>
          </cell>
          <cell r="I632" t="str">
            <v>Staff of TPM Officer</v>
          </cell>
        </row>
        <row r="633">
          <cell r="A633">
            <v>5370</v>
          </cell>
          <cell r="B633" t="str">
            <v>8610069</v>
          </cell>
          <cell r="C633">
            <v>50066403</v>
          </cell>
          <cell r="D633" t="str">
            <v>WAHYUDIN, ST.</v>
          </cell>
          <cell r="E633" t="str">
            <v>Spv of PdM Elins Workshop</v>
          </cell>
          <cell r="F633" t="str">
            <v>Supervisor</v>
          </cell>
          <cell r="G633" t="str">
            <v>Operation Directorate</v>
          </cell>
          <cell r="H633" t="str">
            <v>Dep. of Project Mngmnt &amp; Maint. Support</v>
          </cell>
          <cell r="I633" t="str">
            <v>Unit of Workshop</v>
          </cell>
          <cell r="J633" t="str">
            <v>Section of Elins Workshop</v>
          </cell>
        </row>
        <row r="634">
          <cell r="A634">
            <v>5371</v>
          </cell>
          <cell r="B634" t="str">
            <v>8610044</v>
          </cell>
          <cell r="C634">
            <v>50063882</v>
          </cell>
          <cell r="D634" t="str">
            <v>ZULKARNAEN NATSIR, AMD.</v>
          </cell>
          <cell r="E634" t="str">
            <v>D TPM Jr Officer</v>
          </cell>
          <cell r="F634" t="str">
            <v>Supervisor</v>
          </cell>
          <cell r="G634" t="str">
            <v>Operation Directorate</v>
          </cell>
          <cell r="H634" t="str">
            <v>Dep. of Project Mngmnt &amp; Maint. Support</v>
          </cell>
          <cell r="I634" t="str">
            <v>Staff of TPM Officer</v>
          </cell>
        </row>
        <row r="635">
          <cell r="A635">
            <v>5372</v>
          </cell>
          <cell r="B635" t="str">
            <v>8610045</v>
          </cell>
          <cell r="C635">
            <v>50065993</v>
          </cell>
          <cell r="D635" t="str">
            <v>NANI SIWI LESTARI, AMD.</v>
          </cell>
          <cell r="E635" t="str">
            <v>Civil Design Engineer Officer</v>
          </cell>
          <cell r="F635" t="str">
            <v>Manager</v>
          </cell>
          <cell r="G635" t="str">
            <v>Operation Directorate</v>
          </cell>
          <cell r="H635" t="str">
            <v>Dep. of Project Mngmnt &amp; Maint. Support</v>
          </cell>
          <cell r="I635" t="str">
            <v>Unit of Engineering</v>
          </cell>
          <cell r="J635" t="str">
            <v>Staff of Civil Design Engineer</v>
          </cell>
        </row>
        <row r="636">
          <cell r="A636">
            <v>5373</v>
          </cell>
          <cell r="B636" t="str">
            <v>8610070</v>
          </cell>
          <cell r="C636">
            <v>50053929</v>
          </cell>
          <cell r="D636" t="str">
            <v>ILYASUSANTO, ST.</v>
          </cell>
          <cell r="E636" t="str">
            <v>Mgr of Line 5 FM Operation</v>
          </cell>
          <cell r="F636" t="str">
            <v>Manager</v>
          </cell>
          <cell r="G636" t="str">
            <v>Operation Directorate</v>
          </cell>
          <cell r="H636" t="str">
            <v>Dept. of Clinker &amp; Cement Production</v>
          </cell>
          <cell r="I636" t="str">
            <v>Unit of Cement Production</v>
          </cell>
          <cell r="J636" t="str">
            <v>Section of Line 5 Finish Mill Operation</v>
          </cell>
        </row>
        <row r="637">
          <cell r="A637">
            <v>5374</v>
          </cell>
          <cell r="B637" t="str">
            <v>8610046</v>
          </cell>
          <cell r="C637">
            <v>50008289</v>
          </cell>
          <cell r="D637" t="str">
            <v>ANGGA ADHITYA, ST.</v>
          </cell>
          <cell r="E637" t="str">
            <v>Mgr of Utility</v>
          </cell>
          <cell r="F637" t="str">
            <v>Manager</v>
          </cell>
          <cell r="G637" t="str">
            <v>Operation Directorate</v>
          </cell>
          <cell r="H637" t="str">
            <v>Dept. of Production Planning &amp; Control</v>
          </cell>
          <cell r="I637" t="str">
            <v>Unit of Production Support</v>
          </cell>
          <cell r="J637" t="str">
            <v>Section of Utility</v>
          </cell>
        </row>
        <row r="638">
          <cell r="A638">
            <v>5375</v>
          </cell>
          <cell r="B638" t="str">
            <v>8610071</v>
          </cell>
          <cell r="C638">
            <v>50070721</v>
          </cell>
          <cell r="D638" t="str">
            <v>MUHAMMAD ALWI, AMD.</v>
          </cell>
          <cell r="E638" t="str">
            <v>Kaltim &amp; Kaltara TSO</v>
          </cell>
          <cell r="F638" t="str">
            <v>Supervisor</v>
          </cell>
          <cell r="G638" t="str">
            <v>President Directorate</v>
          </cell>
          <cell r="H638" t="str">
            <v>Dept. of Sales</v>
          </cell>
          <cell r="I638" t="str">
            <v>Unit of Sales 1</v>
          </cell>
          <cell r="J638" t="str">
            <v>Section of Kaltim &amp; Kaltara</v>
          </cell>
        </row>
        <row r="639">
          <cell r="A639">
            <v>5376</v>
          </cell>
          <cell r="B639" t="str">
            <v>8610072</v>
          </cell>
          <cell r="C639">
            <v>50066479</v>
          </cell>
          <cell r="D639" t="str">
            <v>PAHMAN, AMD.</v>
          </cell>
          <cell r="E639" t="str">
            <v>Maintenance Control &amp; Eval. Jr Officer</v>
          </cell>
          <cell r="F639" t="str">
            <v>Supervisor</v>
          </cell>
          <cell r="G639" t="str">
            <v>Operation Directorate</v>
          </cell>
          <cell r="H639" t="str">
            <v>Dep. of Project Mngmnt &amp; Maint. Support</v>
          </cell>
          <cell r="I639" t="str">
            <v>Unit of Maintenance Planning &amp; Eval.</v>
          </cell>
          <cell r="J639" t="str">
            <v>Staff of Maintenance Control &amp; Eval.</v>
          </cell>
        </row>
        <row r="640">
          <cell r="A640">
            <v>5377</v>
          </cell>
          <cell r="B640" t="str">
            <v>8608090</v>
          </cell>
          <cell r="C640">
            <v>50009100</v>
          </cell>
          <cell r="D640" t="str">
            <v>EUNIKE YULINAH S, SE., MM.</v>
          </cell>
          <cell r="E640" t="str">
            <v>SM of Budgeting &amp; Performance</v>
          </cell>
          <cell r="F640" t="str">
            <v>Senior Manager</v>
          </cell>
          <cell r="G640" t="str">
            <v>Finance Risk Mgmt &amp; General Directorate</v>
          </cell>
          <cell r="H640" t="str">
            <v>Department of Finance &amp; Accounting</v>
          </cell>
          <cell r="I640" t="str">
            <v>Unit of Budgeting &amp; Performance</v>
          </cell>
        </row>
        <row r="641">
          <cell r="A641">
            <v>5378</v>
          </cell>
          <cell r="B641" t="str">
            <v>8609002</v>
          </cell>
          <cell r="C641">
            <v>50066800</v>
          </cell>
          <cell r="D641" t="str">
            <v>REZA HENRADI, ST.</v>
          </cell>
          <cell r="E641" t="str">
            <v>Spv of X - Ray &amp; Analysis (5)</v>
          </cell>
          <cell r="F641" t="str">
            <v>Supervisor</v>
          </cell>
          <cell r="G641" t="str">
            <v>Operation Directorate</v>
          </cell>
          <cell r="H641" t="str">
            <v>Dept. of Production Planning &amp; Control</v>
          </cell>
          <cell r="I641" t="str">
            <v>Unit of Quality Control</v>
          </cell>
          <cell r="J641" t="str">
            <v>Section of Quality Control (4/5)</v>
          </cell>
        </row>
        <row r="642">
          <cell r="A642">
            <v>5379</v>
          </cell>
          <cell r="B642" t="str">
            <v>8610047</v>
          </cell>
          <cell r="C642">
            <v>50071462</v>
          </cell>
          <cell r="D642" t="str">
            <v>NELAWANI ANGELIA SANGGARIA, AMD.</v>
          </cell>
          <cell r="E642" t="str">
            <v>Bus Dev Bus Process IC &amp; ICOFR Officer</v>
          </cell>
          <cell r="F642" t="str">
            <v>Manager</v>
          </cell>
          <cell r="G642" t="str">
            <v>Finance Risk Mgmt &amp; General Directorate</v>
          </cell>
          <cell r="H642" t="str">
            <v>Department of Human Capital &amp; GRC</v>
          </cell>
          <cell r="I642" t="str">
            <v>Unit of Business &amp; System Development</v>
          </cell>
          <cell r="J642" t="str">
            <v>Staff of Bus Dev Bus Process IC &amp; ICOFR</v>
          </cell>
        </row>
        <row r="643">
          <cell r="A643">
            <v>5380</v>
          </cell>
          <cell r="B643" t="str">
            <v>8610048</v>
          </cell>
          <cell r="C643">
            <v>50055753</v>
          </cell>
          <cell r="D643" t="str">
            <v>NURFAH INDRASARI, SE.</v>
          </cell>
          <cell r="E643" t="str">
            <v>OOTC (Dir of Finance PT BR)</v>
          </cell>
          <cell r="F643" t="str">
            <v>Senior Manager</v>
          </cell>
          <cell r="G643" t="str">
            <v>President Directorate</v>
          </cell>
          <cell r="I643" t="str">
            <v>Staff of Pres Dir (BKS Raya)</v>
          </cell>
        </row>
        <row r="644">
          <cell r="A644">
            <v>5381</v>
          </cell>
          <cell r="B644" t="str">
            <v>8610073</v>
          </cell>
          <cell r="C644">
            <v>50008055</v>
          </cell>
          <cell r="D644" t="str">
            <v>ALBAR BUDIMAN, ST.</v>
          </cell>
          <cell r="E644" t="str">
            <v>SM of Clinker Production</v>
          </cell>
          <cell r="F644" t="str">
            <v>Senior Manager</v>
          </cell>
          <cell r="G644" t="str">
            <v>Operation Directorate</v>
          </cell>
          <cell r="H644" t="str">
            <v>Dept. of Clinker &amp; Cement Production</v>
          </cell>
          <cell r="I644" t="str">
            <v>Unit of Clinker Production</v>
          </cell>
        </row>
        <row r="645">
          <cell r="A645">
            <v>5382</v>
          </cell>
          <cell r="B645" t="str">
            <v>8610074</v>
          </cell>
          <cell r="C645">
            <v>50052132</v>
          </cell>
          <cell r="D645" t="str">
            <v>AL AZHAR, ST.</v>
          </cell>
          <cell r="E645" t="str">
            <v>PGO Officer</v>
          </cell>
          <cell r="F645" t="str">
            <v>Manager</v>
          </cell>
          <cell r="G645" t="str">
            <v>Operation Directorate</v>
          </cell>
          <cell r="H645" t="str">
            <v>Dept. of Maintenance</v>
          </cell>
          <cell r="I645" t="str">
            <v>Unit of Reliability Maintenance</v>
          </cell>
          <cell r="J645" t="str">
            <v>Staff of PGO</v>
          </cell>
        </row>
        <row r="646">
          <cell r="A646">
            <v>5383</v>
          </cell>
          <cell r="B646" t="str">
            <v>8609003</v>
          </cell>
          <cell r="C646">
            <v>50069491</v>
          </cell>
          <cell r="D646" t="str">
            <v>MUHAMMAD ARHAM ISNAN</v>
          </cell>
          <cell r="E646" t="str">
            <v>Spv of Coal MIx Quality Control</v>
          </cell>
          <cell r="F646" t="str">
            <v>Supervisor</v>
          </cell>
          <cell r="G646" t="str">
            <v>Operation Directorate</v>
          </cell>
          <cell r="H646" t="str">
            <v>Dept. of Production Planning &amp; Control</v>
          </cell>
          <cell r="I646" t="str">
            <v>Unit of AFR &amp; Energy</v>
          </cell>
          <cell r="J646" t="str">
            <v>Section of Coal Mixing</v>
          </cell>
        </row>
        <row r="647">
          <cell r="A647">
            <v>5384</v>
          </cell>
          <cell r="B647" t="str">
            <v>8610076</v>
          </cell>
          <cell r="C647">
            <v>50052130</v>
          </cell>
          <cell r="D647" t="str">
            <v>ARDIANSYAH, S.ST</v>
          </cell>
          <cell r="E647" t="str">
            <v>SM of Elins Maintenance 2</v>
          </cell>
          <cell r="F647" t="str">
            <v>Senior Manager</v>
          </cell>
          <cell r="G647" t="str">
            <v>Operation Directorate</v>
          </cell>
          <cell r="H647" t="str">
            <v>Dept. of Maintenance</v>
          </cell>
          <cell r="I647" t="str">
            <v>Unit of Elins Maintenance 2</v>
          </cell>
        </row>
        <row r="648">
          <cell r="A648">
            <v>5385</v>
          </cell>
          <cell r="B648" t="str">
            <v>8610077</v>
          </cell>
          <cell r="C648">
            <v>50007929</v>
          </cell>
          <cell r="D648" t="str">
            <v>PUTRA ADHI SUMARYANTO, S.ST.</v>
          </cell>
          <cell r="E648" t="str">
            <v>Mgr of Line 4/5 FM Elins Maint</v>
          </cell>
          <cell r="F648" t="str">
            <v>Manager</v>
          </cell>
          <cell r="G648" t="str">
            <v>Operation Directorate</v>
          </cell>
          <cell r="H648" t="str">
            <v>Dept. of Maintenance</v>
          </cell>
          <cell r="I648" t="str">
            <v>Unit of Elins Maintenance 2</v>
          </cell>
          <cell r="J648" t="str">
            <v>Section of Line 4/5 FM Elins Maint</v>
          </cell>
        </row>
        <row r="649">
          <cell r="A649">
            <v>5386</v>
          </cell>
          <cell r="B649" t="str">
            <v>8610078</v>
          </cell>
          <cell r="C649">
            <v>50070082</v>
          </cell>
          <cell r="D649" t="str">
            <v>YUDI MUSFUDI YANTO, ST.</v>
          </cell>
          <cell r="E649" t="str">
            <v>Goods Control Officer</v>
          </cell>
          <cell r="F649" t="str">
            <v>Manager</v>
          </cell>
          <cell r="G649" t="str">
            <v>Direktorat Human Capital</v>
          </cell>
          <cell r="H649" t="str">
            <v>Department of Goods Proc. Plan. &amp; Policy</v>
          </cell>
          <cell r="I649" t="str">
            <v>Unit of Electrical Goods Control</v>
          </cell>
        </row>
        <row r="650">
          <cell r="A650">
            <v>5388</v>
          </cell>
          <cell r="B650" t="str">
            <v>8710050</v>
          </cell>
          <cell r="C650">
            <v>50066012</v>
          </cell>
          <cell r="D650" t="str">
            <v>NUR AZIZAH SETYARINI, AMD.</v>
          </cell>
          <cell r="E650" t="str">
            <v>AFR Officer</v>
          </cell>
          <cell r="F650" t="str">
            <v>Manager</v>
          </cell>
          <cell r="G650" t="str">
            <v>Operation Directorate</v>
          </cell>
          <cell r="H650" t="str">
            <v>Dept. of Production Planning &amp; Control</v>
          </cell>
          <cell r="I650" t="str">
            <v>Unit of AFR &amp; Energy</v>
          </cell>
          <cell r="J650" t="str">
            <v>Staff of AFR</v>
          </cell>
        </row>
        <row r="651">
          <cell r="A651">
            <v>5390</v>
          </cell>
          <cell r="B651" t="str">
            <v>8710052</v>
          </cell>
          <cell r="C651">
            <v>50018523</v>
          </cell>
          <cell r="D651" t="str">
            <v>MARTSEL KIDING ALLO, SE.</v>
          </cell>
          <cell r="E651" t="str">
            <v>Administration &amp; Financial Officer</v>
          </cell>
          <cell r="F651" t="str">
            <v>Manager</v>
          </cell>
          <cell r="G651" t="str">
            <v>President Directorate</v>
          </cell>
          <cell r="H651" t="str">
            <v>Dept. of Communication, Legal &amp; GA</v>
          </cell>
          <cell r="I651" t="str">
            <v>Unit of TJSL</v>
          </cell>
          <cell r="J651" t="str">
            <v>Staff of Administration &amp; Financial</v>
          </cell>
        </row>
        <row r="652">
          <cell r="A652">
            <v>5391</v>
          </cell>
          <cell r="B652" t="str">
            <v>8710053</v>
          </cell>
          <cell r="C652">
            <v>50070656</v>
          </cell>
          <cell r="D652" t="str">
            <v>HANIF YUSMY KARTONO, SE., MM.</v>
          </cell>
          <cell r="E652" t="str">
            <v>SSM of Sales Excellence Specialist</v>
          </cell>
          <cell r="F652" t="str">
            <v>Senior Manager</v>
          </cell>
          <cell r="G652" t="str">
            <v>President Directorate</v>
          </cell>
          <cell r="H652" t="str">
            <v>Dept. of Sales</v>
          </cell>
        </row>
        <row r="653">
          <cell r="A653">
            <v>5392</v>
          </cell>
          <cell r="B653" t="str">
            <v>8710054</v>
          </cell>
          <cell r="C653">
            <v>50069613</v>
          </cell>
          <cell r="D653" t="str">
            <v>RANDY APRIZAL REWAH, ST.</v>
          </cell>
          <cell r="E653" t="str">
            <v>Spv of Mining Safety Supervision</v>
          </cell>
          <cell r="F653" t="str">
            <v>Supervisor</v>
          </cell>
          <cell r="G653" t="str">
            <v>Operation Directorate</v>
          </cell>
          <cell r="H653" t="str">
            <v>Dept. of Mining &amp; Power Plant</v>
          </cell>
          <cell r="I653" t="str">
            <v>Unit of Mine Plan</v>
          </cell>
          <cell r="J653" t="str">
            <v>Section of Mine Safety Reclamation</v>
          </cell>
        </row>
        <row r="654">
          <cell r="A654">
            <v>5393</v>
          </cell>
          <cell r="B654" t="str">
            <v>8709004</v>
          </cell>
          <cell r="C654">
            <v>50069163</v>
          </cell>
          <cell r="D654" t="str">
            <v>MAYLTON SUMOMBA, ST.</v>
          </cell>
          <cell r="E654" t="str">
            <v>Physical &amp; Chemical Lab Jr Officer</v>
          </cell>
          <cell r="F654" t="str">
            <v>Supervisor</v>
          </cell>
          <cell r="G654" t="str">
            <v>Operation Directorate</v>
          </cell>
          <cell r="I654" t="str">
            <v>Unit of Quality Assurance</v>
          </cell>
          <cell r="J654" t="str">
            <v>Section of Product Quality Assurance</v>
          </cell>
        </row>
        <row r="655">
          <cell r="A655">
            <v>5394</v>
          </cell>
          <cell r="B655" t="str">
            <v>8709005</v>
          </cell>
          <cell r="C655">
            <v>50069156</v>
          </cell>
          <cell r="D655" t="str">
            <v>WIWIN MURSIDIN, ST.</v>
          </cell>
          <cell r="E655" t="str">
            <v>Incoming &amp; Sup Material Lab Jr officer</v>
          </cell>
          <cell r="F655" t="str">
            <v>Supervisor</v>
          </cell>
          <cell r="G655" t="str">
            <v>Operation Directorate</v>
          </cell>
          <cell r="I655" t="str">
            <v>Unit of Quality Assurance</v>
          </cell>
          <cell r="J655" t="str">
            <v>Section of Material Quality Assurance</v>
          </cell>
        </row>
        <row r="656">
          <cell r="A656">
            <v>5395</v>
          </cell>
          <cell r="B656" t="str">
            <v>8710055</v>
          </cell>
          <cell r="C656">
            <v>50052152</v>
          </cell>
          <cell r="D656" t="str">
            <v>EZRA, ST.</v>
          </cell>
          <cell r="E656" t="str">
            <v>Mgr of Line 2/3 FM Machine Maint.</v>
          </cell>
          <cell r="F656" t="str">
            <v>Manager</v>
          </cell>
          <cell r="G656" t="str">
            <v>Operation Directorate</v>
          </cell>
          <cell r="H656" t="str">
            <v>Dept. of Maintenance</v>
          </cell>
          <cell r="I656" t="str">
            <v>Unit of Machine Maintenance 1</v>
          </cell>
          <cell r="J656" t="str">
            <v>Section of Line 2/3 FM Machine Maint.</v>
          </cell>
        </row>
        <row r="657">
          <cell r="A657">
            <v>5396</v>
          </cell>
          <cell r="B657" t="str">
            <v>8710079</v>
          </cell>
          <cell r="C657">
            <v>50053928</v>
          </cell>
          <cell r="D657" t="str">
            <v>MUHAMMAD FAUSI, ST.</v>
          </cell>
          <cell r="E657" t="str">
            <v>Mgr of Line 4 Finish Mill Operation</v>
          </cell>
          <cell r="F657" t="str">
            <v>Manager</v>
          </cell>
          <cell r="G657" t="str">
            <v>Operation Directorate</v>
          </cell>
          <cell r="H657" t="str">
            <v>Dept. of Clinker &amp; Cement Production</v>
          </cell>
          <cell r="I657" t="str">
            <v>Unit of Cement Production</v>
          </cell>
          <cell r="J657" t="str">
            <v>Section of Line 4 Finish Mill Operation</v>
          </cell>
        </row>
        <row r="658">
          <cell r="A658">
            <v>5397</v>
          </cell>
          <cell r="B658" t="str">
            <v>8710080</v>
          </cell>
          <cell r="C658">
            <v>50007857</v>
          </cell>
          <cell r="D658" t="str">
            <v>KAMARUDIN, AMD.</v>
          </cell>
          <cell r="E658" t="str">
            <v>Spv of Line 4 RM Machine PvM</v>
          </cell>
          <cell r="F658" t="str">
            <v>Supervisor</v>
          </cell>
          <cell r="G658" t="str">
            <v>Operation Directorate</v>
          </cell>
          <cell r="H658" t="str">
            <v>Dept. of Maintenance</v>
          </cell>
          <cell r="I658" t="str">
            <v>Unit of Machine Maintenance 2</v>
          </cell>
          <cell r="J658" t="str">
            <v>Section of Line 4/5 RM Machine Maint</v>
          </cell>
        </row>
        <row r="659">
          <cell r="A659">
            <v>5398</v>
          </cell>
          <cell r="B659" t="str">
            <v>8710056</v>
          </cell>
          <cell r="C659">
            <v>50069162</v>
          </cell>
          <cell r="D659" t="str">
            <v>YULIANA WULANDARI, AMD.</v>
          </cell>
          <cell r="E659" t="str">
            <v>Mgr of Product Quality Assurance</v>
          </cell>
          <cell r="F659" t="str">
            <v>Manager</v>
          </cell>
          <cell r="G659" t="str">
            <v>Operation Directorate</v>
          </cell>
          <cell r="I659" t="str">
            <v>Unit of Quality Assurance</v>
          </cell>
          <cell r="J659" t="str">
            <v>Section of Product Quality Assurance</v>
          </cell>
        </row>
        <row r="660">
          <cell r="A660">
            <v>5400</v>
          </cell>
          <cell r="B660" t="str">
            <v>8710082</v>
          </cell>
          <cell r="C660">
            <v>50065994</v>
          </cell>
          <cell r="D660" t="str">
            <v>CENDHIKA LARASSAYOM ESA, Ir., ST.</v>
          </cell>
          <cell r="E660" t="str">
            <v>Process Design Engineer Officer</v>
          </cell>
          <cell r="F660" t="str">
            <v>Manager</v>
          </cell>
          <cell r="G660" t="str">
            <v>Operation Directorate</v>
          </cell>
          <cell r="H660" t="str">
            <v>Dep. of Project Mngmnt &amp; Maint. Support</v>
          </cell>
          <cell r="I660" t="str">
            <v>Unit of Engineering</v>
          </cell>
          <cell r="J660" t="str">
            <v>Staff of Process Design Engineer</v>
          </cell>
        </row>
        <row r="661">
          <cell r="A661">
            <v>5401</v>
          </cell>
          <cell r="B661" t="str">
            <v>8709006</v>
          </cell>
          <cell r="C661">
            <v>50066730</v>
          </cell>
          <cell r="D661" t="str">
            <v>AGUS FIRMANTO, ST.</v>
          </cell>
          <cell r="E661" t="str">
            <v>Mgr of Quality Development &amp; Evaluation</v>
          </cell>
          <cell r="F661" t="str">
            <v>Manager</v>
          </cell>
          <cell r="G661" t="str">
            <v>Operation Directorate</v>
          </cell>
          <cell r="H661" t="str">
            <v>Dept. of Production Planning &amp; Control</v>
          </cell>
          <cell r="I661" t="str">
            <v>Unit of Quality Control</v>
          </cell>
          <cell r="J661" t="str">
            <v>Section of Quality Development &amp; Eval.</v>
          </cell>
        </row>
        <row r="662">
          <cell r="A662">
            <v>5402</v>
          </cell>
          <cell r="B662" t="str">
            <v>8710057</v>
          </cell>
          <cell r="C662">
            <v>50007330</v>
          </cell>
          <cell r="D662" t="str">
            <v>PERMATA KUSUMADEWI, SH.</v>
          </cell>
          <cell r="E662" t="str">
            <v>SM of Legal</v>
          </cell>
          <cell r="F662" t="str">
            <v>Senior Manager</v>
          </cell>
          <cell r="G662" t="str">
            <v>President Directorate</v>
          </cell>
          <cell r="H662" t="str">
            <v>Dept. of Communication, Legal &amp; GA</v>
          </cell>
          <cell r="I662" t="str">
            <v>Unit of Legal</v>
          </cell>
        </row>
        <row r="663">
          <cell r="A663">
            <v>5403</v>
          </cell>
          <cell r="B663" t="str">
            <v>8710058</v>
          </cell>
          <cell r="C663">
            <v>50070443</v>
          </cell>
          <cell r="D663" t="str">
            <v>ADI AKMAL, SE.</v>
          </cell>
          <cell r="E663" t="str">
            <v>SM of Deriv. &amp; Non Cement Serv Sol</v>
          </cell>
          <cell r="F663" t="str">
            <v>Senior Manager</v>
          </cell>
          <cell r="G663" t="str">
            <v>Direktorat Pengembangan Bisnis&amp;Strategy</v>
          </cell>
          <cell r="H663" t="str">
            <v>Department of Commercial Strategy &amp; Dev</v>
          </cell>
          <cell r="I663" t="str">
            <v>Unit of Deriv. &amp; Non Cement Serv Sol</v>
          </cell>
        </row>
        <row r="664">
          <cell r="A664">
            <v>5404</v>
          </cell>
          <cell r="B664" t="str">
            <v>8710083</v>
          </cell>
          <cell r="C664">
            <v>50023568</v>
          </cell>
          <cell r="D664" t="str">
            <v>AKHMAD MIFTAKHUL ULUM, AMD.</v>
          </cell>
          <cell r="E664" t="str">
            <v>Mgr of Line 4/5 FM Machine Maint</v>
          </cell>
          <cell r="F664" t="str">
            <v>Manager</v>
          </cell>
          <cell r="G664" t="str">
            <v>Operation Directorate</v>
          </cell>
          <cell r="H664" t="str">
            <v>Dept. of Maintenance</v>
          </cell>
          <cell r="I664" t="str">
            <v>Unit of Machine Maintenance 2</v>
          </cell>
          <cell r="J664" t="str">
            <v>Section of Line 4/5 FM Machine Maint</v>
          </cell>
        </row>
        <row r="665">
          <cell r="A665">
            <v>5405</v>
          </cell>
          <cell r="B665" t="str">
            <v>8709007</v>
          </cell>
          <cell r="C665">
            <v>50043109</v>
          </cell>
          <cell r="D665" t="str">
            <v>SYARIF HIDAYAT FIRMAN, S.Sos.</v>
          </cell>
          <cell r="E665" t="str">
            <v>Production Planning Jr Officer</v>
          </cell>
          <cell r="F665" t="str">
            <v>Supervisor</v>
          </cell>
          <cell r="G665" t="str">
            <v>Operation Directorate</v>
          </cell>
          <cell r="H665" t="str">
            <v>Dept. of Production Planning &amp; Control</v>
          </cell>
          <cell r="I665" t="str">
            <v>Unit of Prod. Plan Eval. &amp; Environmental</v>
          </cell>
          <cell r="J665" t="str">
            <v>Section of Production Planning</v>
          </cell>
        </row>
        <row r="666">
          <cell r="A666">
            <v>5407</v>
          </cell>
          <cell r="B666" t="str">
            <v>8710084</v>
          </cell>
          <cell r="C666">
            <v>50069094</v>
          </cell>
          <cell r="D666" t="str">
            <v>MARGIANTONIUS, S.ST</v>
          </cell>
          <cell r="E666" t="str">
            <v>Mgr of Plant Site Packer &amp; Bulk Opr</v>
          </cell>
          <cell r="F666" t="str">
            <v>Manager</v>
          </cell>
          <cell r="G666" t="str">
            <v>Operation Directorate</v>
          </cell>
          <cell r="H666" t="str">
            <v>Dept. of Infrastructure</v>
          </cell>
          <cell r="I666" t="str">
            <v>Unit of Plant &amp; Port Prod Discharge Opr</v>
          </cell>
          <cell r="J666" t="str">
            <v>Section of Plant Site Packer &amp; Bulk Opr</v>
          </cell>
        </row>
        <row r="667">
          <cell r="A667">
            <v>5408</v>
          </cell>
          <cell r="B667" t="str">
            <v>8710085</v>
          </cell>
          <cell r="C667">
            <v>50064426</v>
          </cell>
          <cell r="D667" t="str">
            <v>MU'AMMAR AULADY, ST.</v>
          </cell>
          <cell r="E667" t="str">
            <v>Energy Officer</v>
          </cell>
          <cell r="F667" t="str">
            <v>Manager</v>
          </cell>
          <cell r="G667" t="str">
            <v>Operation Directorate</v>
          </cell>
          <cell r="H667" t="str">
            <v>Dept. of Production Planning &amp; Control</v>
          </cell>
          <cell r="I667" t="str">
            <v>Unit of AFR &amp; Energy</v>
          </cell>
          <cell r="J667" t="str">
            <v>Staff of Energy</v>
          </cell>
        </row>
        <row r="668">
          <cell r="A668">
            <v>5409</v>
          </cell>
          <cell r="B668" t="str">
            <v>8810086</v>
          </cell>
          <cell r="C668">
            <v>50065462</v>
          </cell>
          <cell r="D668" t="str">
            <v>ESRA KARRA' DUA, S.M.</v>
          </cell>
          <cell r="E668" t="str">
            <v>Spv of LS, CL, SL 5 PdM &amp; PM</v>
          </cell>
          <cell r="F668" t="str">
            <v>Supervisor</v>
          </cell>
          <cell r="G668" t="str">
            <v>Operation Directorate</v>
          </cell>
          <cell r="H668" t="str">
            <v>Dept. of Maintenance</v>
          </cell>
          <cell r="I668" t="str">
            <v>Unit of Machine Maintenance 1</v>
          </cell>
          <cell r="J668" t="str">
            <v>Section of Crusher Machine &amp; Conv Maint.</v>
          </cell>
        </row>
        <row r="669">
          <cell r="A669">
            <v>5410</v>
          </cell>
          <cell r="B669" t="str">
            <v>8810087</v>
          </cell>
          <cell r="C669">
            <v>50007868</v>
          </cell>
          <cell r="D669" t="str">
            <v>FAHRUL ARIFIANTO, ST.</v>
          </cell>
          <cell r="E669" t="str">
            <v>Mgr of Line 4/5 Kiln &amp; CM Mach Maint</v>
          </cell>
          <cell r="F669" t="str">
            <v>Manager</v>
          </cell>
          <cell r="G669" t="str">
            <v>Operation Directorate</v>
          </cell>
          <cell r="H669" t="str">
            <v>Dept. of Maintenance</v>
          </cell>
          <cell r="I669" t="str">
            <v>Unit of Machine Maintenance 2</v>
          </cell>
          <cell r="J669" t="str">
            <v>Section of Line 4/5 Kiln &amp; CM Mach Maint</v>
          </cell>
        </row>
        <row r="670">
          <cell r="A670">
            <v>5411</v>
          </cell>
          <cell r="B670" t="str">
            <v>8810088</v>
          </cell>
          <cell r="C670">
            <v>50023503</v>
          </cell>
          <cell r="D670" t="str">
            <v>IMAM SUYUTI, ST.</v>
          </cell>
          <cell r="E670" t="str">
            <v>Mgr of Crusher Elins Maintenance</v>
          </cell>
          <cell r="F670" t="str">
            <v>Manager</v>
          </cell>
          <cell r="G670" t="str">
            <v>Operation Directorate</v>
          </cell>
          <cell r="H670" t="str">
            <v>Dept. of Maintenance</v>
          </cell>
          <cell r="I670" t="str">
            <v>Unit of Elins Maintenance 1</v>
          </cell>
          <cell r="J670" t="str">
            <v>Section of Crusher Elins Maintenance</v>
          </cell>
        </row>
        <row r="671">
          <cell r="A671">
            <v>5413</v>
          </cell>
          <cell r="B671" t="str">
            <v>8810090</v>
          </cell>
          <cell r="C671">
            <v>50066245</v>
          </cell>
          <cell r="D671" t="str">
            <v>MUHAMMAD ARIF, ST.</v>
          </cell>
          <cell r="E671" t="str">
            <v>Spare Part Planning Officer</v>
          </cell>
          <cell r="F671" t="str">
            <v>Manager</v>
          </cell>
          <cell r="G671" t="str">
            <v>Operation Directorate</v>
          </cell>
          <cell r="H671" t="str">
            <v>Dep. of Project Mngmnt &amp; Maint. Support</v>
          </cell>
          <cell r="I671" t="str">
            <v>Unit of Maintenance Planning &amp; Eval.</v>
          </cell>
          <cell r="J671" t="str">
            <v>Staff of Spare Part Planning</v>
          </cell>
        </row>
        <row r="672">
          <cell r="A672">
            <v>5414</v>
          </cell>
          <cell r="B672" t="str">
            <v>8809008</v>
          </cell>
          <cell r="C672">
            <v>50066792</v>
          </cell>
          <cell r="D672" t="str">
            <v>HERIYAWAL, S.Kom.</v>
          </cell>
          <cell r="E672" t="str">
            <v>Spv of X - Ray &amp; Analysis (4)</v>
          </cell>
          <cell r="F672" t="str">
            <v>Supervisor</v>
          </cell>
          <cell r="G672" t="str">
            <v>Operation Directorate</v>
          </cell>
          <cell r="H672" t="str">
            <v>Dept. of Production Planning &amp; Control</v>
          </cell>
          <cell r="I672" t="str">
            <v>Unit of Quality Control</v>
          </cell>
          <cell r="J672" t="str">
            <v>Section of Quality Control (4/5)</v>
          </cell>
        </row>
        <row r="673">
          <cell r="A673">
            <v>5415</v>
          </cell>
          <cell r="B673" t="str">
            <v>8810091</v>
          </cell>
          <cell r="C673">
            <v>50070712</v>
          </cell>
          <cell r="D673" t="str">
            <v>GERY HARDIK KADEMBO, S.Tr.T</v>
          </cell>
          <cell r="E673" t="str">
            <v>Sultra, Sulut &amp; Gorontalo TSO</v>
          </cell>
          <cell r="F673" t="str">
            <v>Supervisor</v>
          </cell>
          <cell r="G673" t="str">
            <v>President Directorate</v>
          </cell>
          <cell r="H673" t="str">
            <v>Dept. of Sales</v>
          </cell>
          <cell r="I673" t="str">
            <v>Unit of Sales 1</v>
          </cell>
          <cell r="J673" t="str">
            <v>Section of Sultra, Sulut &amp; Gorontalo</v>
          </cell>
        </row>
        <row r="674">
          <cell r="A674">
            <v>5416</v>
          </cell>
          <cell r="B674" t="str">
            <v>8810092</v>
          </cell>
          <cell r="C674">
            <v>50068992</v>
          </cell>
          <cell r="D674" t="str">
            <v>DEVA RIYANTO KURNIAWAN, S.ST</v>
          </cell>
          <cell r="E674" t="str">
            <v>Deriv. &amp; Non Cement Sales Specialist</v>
          </cell>
          <cell r="F674" t="str">
            <v>Manager</v>
          </cell>
          <cell r="G674" t="str">
            <v>Direktorat Pengembangan Bisnis&amp;Strategy</v>
          </cell>
          <cell r="H674" t="str">
            <v>Department of Commercial Strategy &amp; Dev</v>
          </cell>
          <cell r="I674" t="str">
            <v>Unit of Deriv. &amp; Non Cement Sales Proj.</v>
          </cell>
        </row>
        <row r="675">
          <cell r="A675">
            <v>5417</v>
          </cell>
          <cell r="B675" t="str">
            <v>8810093</v>
          </cell>
          <cell r="C675">
            <v>50008427</v>
          </cell>
          <cell r="D675" t="str">
            <v>MUH. DARIS DANIAL, ST.</v>
          </cell>
          <cell r="E675" t="str">
            <v>Mgr of Power Plant Elctrical Maint.</v>
          </cell>
          <cell r="F675" t="str">
            <v>Manager</v>
          </cell>
          <cell r="G675" t="str">
            <v>Operation Directorate</v>
          </cell>
          <cell r="H675" t="str">
            <v>Dept. of Mining &amp; Power Plant</v>
          </cell>
          <cell r="I675" t="str">
            <v>Unit of Power Plant Elins Maintenance</v>
          </cell>
          <cell r="J675" t="str">
            <v>Section of Power Plant Elctrical Maint.</v>
          </cell>
        </row>
        <row r="676">
          <cell r="A676">
            <v>5418</v>
          </cell>
          <cell r="B676" t="str">
            <v>8809009</v>
          </cell>
          <cell r="C676">
            <v>50066799</v>
          </cell>
          <cell r="D676" t="str">
            <v>DEDI FARID RAMLI, SE.</v>
          </cell>
          <cell r="E676" t="str">
            <v>Spv of X - Ray &amp; Analysis (5)</v>
          </cell>
          <cell r="F676" t="str">
            <v>Supervisor</v>
          </cell>
          <cell r="G676" t="str">
            <v>Operation Directorate</v>
          </cell>
          <cell r="H676" t="str">
            <v>Dept. of Production Planning &amp; Control</v>
          </cell>
          <cell r="I676" t="str">
            <v>Unit of Quality Control</v>
          </cell>
          <cell r="J676" t="str">
            <v>Section of Quality Control (4/5)</v>
          </cell>
        </row>
        <row r="677">
          <cell r="A677">
            <v>5419</v>
          </cell>
          <cell r="B677" t="str">
            <v>8810061</v>
          </cell>
          <cell r="C677">
            <v>50068196</v>
          </cell>
          <cell r="D677" t="str">
            <v>AHMAD RIZKY DARAJAT TAHIR, SE.,MM.,CPIA</v>
          </cell>
          <cell r="E677" t="str">
            <v>SM of Product Pricing &amp; Promotion Mgmt</v>
          </cell>
          <cell r="F677" t="str">
            <v>Senior Manager</v>
          </cell>
          <cell r="G677" t="str">
            <v>President Directorate</v>
          </cell>
          <cell r="H677" t="str">
            <v>Dept. of Market Planning &amp; Development</v>
          </cell>
          <cell r="I677" t="str">
            <v>Unit of Product Pricing &amp; Promotion Mgmt</v>
          </cell>
        </row>
        <row r="678">
          <cell r="A678">
            <v>5420</v>
          </cell>
          <cell r="B678" t="str">
            <v>8810063</v>
          </cell>
          <cell r="C678">
            <v>50069925</v>
          </cell>
          <cell r="D678" t="str">
            <v>YUKI TRI BASKORO, SE.</v>
          </cell>
          <cell r="E678" t="str">
            <v>OOTC (Dir of Finance PT PKM)</v>
          </cell>
          <cell r="F678" t="str">
            <v>Manager</v>
          </cell>
          <cell r="G678" t="str">
            <v>President Directorate</v>
          </cell>
          <cell r="I678" t="str">
            <v>Staff of Pres Dir (PKM)</v>
          </cell>
        </row>
        <row r="679">
          <cell r="A679">
            <v>5421</v>
          </cell>
          <cell r="B679" t="str">
            <v>8810094</v>
          </cell>
          <cell r="C679">
            <v>50023516</v>
          </cell>
          <cell r="D679" t="str">
            <v>AHMAD ZAKY IMANI, AMD.</v>
          </cell>
          <cell r="E679" t="str">
            <v>Mgr of Raw Material &amp; Cement Mill Eval</v>
          </cell>
          <cell r="F679" t="str">
            <v>Manager</v>
          </cell>
          <cell r="G679" t="str">
            <v>Operation Directorate</v>
          </cell>
          <cell r="H679" t="str">
            <v>Dept. of Production Planning &amp; Control</v>
          </cell>
          <cell r="I679" t="str">
            <v>Unit of Prod. Plan Eval. &amp; Environmental</v>
          </cell>
          <cell r="J679" t="str">
            <v>Section of Raw Material &amp; Cement Mill Ev</v>
          </cell>
        </row>
        <row r="680">
          <cell r="A680">
            <v>5422</v>
          </cell>
          <cell r="B680" t="str">
            <v>8809010</v>
          </cell>
          <cell r="C680">
            <v>50052204</v>
          </cell>
          <cell r="D680" t="str">
            <v>ALFIAN JAIS, ST.,M.Si</v>
          </cell>
          <cell r="E680" t="str">
            <v>Mgr of RKC Evaluation</v>
          </cell>
          <cell r="F680" t="str">
            <v>Manager</v>
          </cell>
          <cell r="G680" t="str">
            <v>Operation Directorate</v>
          </cell>
          <cell r="H680" t="str">
            <v>Dept. of Production Planning &amp; Control</v>
          </cell>
          <cell r="I680" t="str">
            <v>Unit of Prod. Plan Eval. &amp; Environmental</v>
          </cell>
          <cell r="J680" t="str">
            <v>Section of RKC Evaluation</v>
          </cell>
        </row>
        <row r="681">
          <cell r="A681">
            <v>5423</v>
          </cell>
          <cell r="B681" t="str">
            <v>8810095</v>
          </cell>
          <cell r="C681">
            <v>50067133</v>
          </cell>
          <cell r="D681" t="str">
            <v>SONAL PILO, S.ST</v>
          </cell>
          <cell r="E681" t="str">
            <v>Overhaul Management Officer</v>
          </cell>
          <cell r="F681" t="str">
            <v>Manager</v>
          </cell>
          <cell r="G681" t="str">
            <v>Operation Directorate</v>
          </cell>
          <cell r="H681" t="str">
            <v>Dep. of Project Mngmnt &amp; Maint. Support</v>
          </cell>
          <cell r="I681" t="str">
            <v>Unit of Project Management</v>
          </cell>
          <cell r="J681" t="str">
            <v>Staff of OVH Management</v>
          </cell>
        </row>
        <row r="682">
          <cell r="A682">
            <v>5424</v>
          </cell>
          <cell r="B682" t="str">
            <v>8810096</v>
          </cell>
          <cell r="C682">
            <v>50050361</v>
          </cell>
          <cell r="D682" t="str">
            <v>SAFRUDDIN HAERUDDIN, ST.</v>
          </cell>
          <cell r="E682" t="str">
            <v>Mgr of Line 5 RKC Operation</v>
          </cell>
          <cell r="F682" t="str">
            <v>Manager</v>
          </cell>
          <cell r="G682" t="str">
            <v>Operation Directorate</v>
          </cell>
          <cell r="H682" t="str">
            <v>Dept. of Clinker &amp; Cement Production</v>
          </cell>
          <cell r="I682" t="str">
            <v>Unit of Clinker Production</v>
          </cell>
          <cell r="J682" t="str">
            <v>Section of Line 5 RKC Operation</v>
          </cell>
        </row>
        <row r="683">
          <cell r="A683">
            <v>5425</v>
          </cell>
          <cell r="B683" t="str">
            <v>8909011</v>
          </cell>
          <cell r="C683">
            <v>50069172</v>
          </cell>
          <cell r="D683" t="str">
            <v>NUR WAHYU B., S.KM.</v>
          </cell>
          <cell r="E683" t="str">
            <v>Cement Application Lab Jr Officer</v>
          </cell>
          <cell r="F683" t="str">
            <v>Supervisor</v>
          </cell>
          <cell r="G683" t="str">
            <v>Operation Directorate</v>
          </cell>
          <cell r="I683" t="str">
            <v>Unit of Quality Assurance</v>
          </cell>
          <cell r="J683" t="str">
            <v>Section of Cement App &amp; Tech Service</v>
          </cell>
        </row>
        <row r="684">
          <cell r="A684">
            <v>5427</v>
          </cell>
          <cell r="B684" t="str">
            <v>8910097</v>
          </cell>
          <cell r="C684">
            <v>50069352</v>
          </cell>
          <cell r="D684" t="str">
            <v>ANDIKA SARLY TANDIRURA, AMD.</v>
          </cell>
          <cell r="E684" t="str">
            <v>Mgr of Kiln Production Coach</v>
          </cell>
          <cell r="F684" t="str">
            <v>Manager</v>
          </cell>
          <cell r="G684" t="str">
            <v>Operation Directorate</v>
          </cell>
          <cell r="H684" t="str">
            <v>Dept. of Clinker &amp; Cement Production</v>
          </cell>
          <cell r="I684" t="str">
            <v>Unit of Clinker Production</v>
          </cell>
          <cell r="J684" t="str">
            <v>Section of Kiln Production Coach</v>
          </cell>
        </row>
        <row r="685">
          <cell r="A685">
            <v>5428</v>
          </cell>
          <cell r="B685" t="str">
            <v>9009013</v>
          </cell>
          <cell r="C685">
            <v>50066797</v>
          </cell>
          <cell r="D685" t="str">
            <v>MUHAMMAD APRIS CAM, ST.</v>
          </cell>
          <cell r="E685" t="str">
            <v>Spv of X - Ray &amp; Analysis (5)</v>
          </cell>
          <cell r="F685" t="str">
            <v>Supervisor</v>
          </cell>
          <cell r="G685" t="str">
            <v>Operation Directorate</v>
          </cell>
          <cell r="H685" t="str">
            <v>Dept. of Production Planning &amp; Control</v>
          </cell>
          <cell r="I685" t="str">
            <v>Unit of Quality Control</v>
          </cell>
          <cell r="J685" t="str">
            <v>Section of Quality Control (4/5)</v>
          </cell>
        </row>
        <row r="686">
          <cell r="A686">
            <v>5834</v>
          </cell>
          <cell r="B686" t="str">
            <v>8512001</v>
          </cell>
          <cell r="C686">
            <v>50069547</v>
          </cell>
          <cell r="D686" t="str">
            <v>IBRAHIM, Ir., ST., IPP</v>
          </cell>
          <cell r="E686" t="str">
            <v>Spv of Line 4 FM Elins PdM &amp; PM Schdl</v>
          </cell>
          <cell r="F686" t="str">
            <v>Supervisor</v>
          </cell>
          <cell r="G686" t="str">
            <v>Operation Directorate</v>
          </cell>
          <cell r="H686" t="str">
            <v>Dept. of Maintenance</v>
          </cell>
          <cell r="I686" t="str">
            <v>Unit of Elins Maintenance 2</v>
          </cell>
          <cell r="J686" t="str">
            <v>Section of Line 4/5 FM Elins Maint</v>
          </cell>
        </row>
        <row r="687">
          <cell r="A687">
            <v>5835</v>
          </cell>
          <cell r="B687" t="str">
            <v>8512002</v>
          </cell>
          <cell r="C687">
            <v>50055754</v>
          </cell>
          <cell r="D687" t="str">
            <v>IRWAN</v>
          </cell>
          <cell r="E687" t="str">
            <v>Insurance Jr Officer</v>
          </cell>
          <cell r="F687" t="str">
            <v>Supervisor</v>
          </cell>
          <cell r="G687" t="str">
            <v>Finance Risk Mgmt &amp; General Directorate</v>
          </cell>
          <cell r="H687" t="str">
            <v>Department of Finance &amp; Accounting</v>
          </cell>
          <cell r="I687" t="str">
            <v>Unit of Finance</v>
          </cell>
          <cell r="J687" t="str">
            <v>Staff of Insurance</v>
          </cell>
        </row>
        <row r="688">
          <cell r="A688">
            <v>5836</v>
          </cell>
          <cell r="B688" t="str">
            <v>8512003</v>
          </cell>
          <cell r="C688">
            <v>50047115</v>
          </cell>
          <cell r="D688" t="str">
            <v>ANSAR</v>
          </cell>
          <cell r="E688" t="str">
            <v>PGO Jr Officer</v>
          </cell>
          <cell r="F688" t="str">
            <v>Supervisor</v>
          </cell>
          <cell r="G688" t="str">
            <v>Operation Directorate</v>
          </cell>
          <cell r="H688" t="str">
            <v>Dept. of Maintenance</v>
          </cell>
          <cell r="I688" t="str">
            <v>Unit of Reliability Maintenance</v>
          </cell>
          <cell r="J688" t="str">
            <v>Staff of PGO</v>
          </cell>
        </row>
        <row r="689">
          <cell r="A689">
            <v>5837</v>
          </cell>
          <cell r="B689" t="str">
            <v>8512004</v>
          </cell>
          <cell r="C689">
            <v>50069433</v>
          </cell>
          <cell r="D689" t="str">
            <v>MUH.ALWI S.</v>
          </cell>
          <cell r="E689" t="str">
            <v>Spv of Drier Trass Mill 4</v>
          </cell>
          <cell r="F689" t="str">
            <v>Supervisor</v>
          </cell>
          <cell r="G689" t="str">
            <v>Operation Directorate</v>
          </cell>
          <cell r="H689" t="str">
            <v>Dept. of Clinker &amp; Cement Production</v>
          </cell>
          <cell r="I689" t="str">
            <v>Unit of Cement Production</v>
          </cell>
          <cell r="J689" t="str">
            <v>Section of Line 4 Finish Mill Operation</v>
          </cell>
        </row>
        <row r="690">
          <cell r="A690">
            <v>5838</v>
          </cell>
          <cell r="B690" t="str">
            <v>8512005</v>
          </cell>
          <cell r="C690">
            <v>50069695</v>
          </cell>
          <cell r="D690" t="str">
            <v>JOENARDY</v>
          </cell>
          <cell r="E690" t="str">
            <v>Spv of PP Troubleshooting</v>
          </cell>
          <cell r="F690" t="str">
            <v>Supervisor</v>
          </cell>
          <cell r="G690" t="str">
            <v>Operation Directorate</v>
          </cell>
          <cell r="H690" t="str">
            <v>Dept. of Mining &amp; Power Plant</v>
          </cell>
          <cell r="I690" t="str">
            <v>Unit of Power Distribution</v>
          </cell>
          <cell r="J690" t="str">
            <v>Section of Electricity Load Control</v>
          </cell>
        </row>
        <row r="691">
          <cell r="A691">
            <v>5839</v>
          </cell>
          <cell r="B691" t="str">
            <v>8512006</v>
          </cell>
          <cell r="C691">
            <v>50053931</v>
          </cell>
          <cell r="D691" t="str">
            <v>TOHIRIN</v>
          </cell>
          <cell r="E691" t="str">
            <v>Line 4 CCR FM Jr Officer</v>
          </cell>
          <cell r="F691" t="str">
            <v>Supervisor</v>
          </cell>
          <cell r="G691" t="str">
            <v>Operation Directorate</v>
          </cell>
          <cell r="H691" t="str">
            <v>Dept. of Clinker &amp; Cement Production</v>
          </cell>
          <cell r="I691" t="str">
            <v>Unit of Cement Production</v>
          </cell>
          <cell r="J691" t="str">
            <v>Section of Line 4 Finish Mill Operation</v>
          </cell>
        </row>
        <row r="692">
          <cell r="A692">
            <v>5840</v>
          </cell>
          <cell r="B692" t="str">
            <v>8512007</v>
          </cell>
          <cell r="C692">
            <v>50069524</v>
          </cell>
          <cell r="D692" t="str">
            <v>SYAHRIR</v>
          </cell>
          <cell r="E692" t="str">
            <v>Spv of Line 5 RKC PvM</v>
          </cell>
          <cell r="F692" t="str">
            <v>Supervisor</v>
          </cell>
          <cell r="G692" t="str">
            <v>Operation Directorate</v>
          </cell>
          <cell r="H692" t="str">
            <v>Dept. of Maintenance</v>
          </cell>
          <cell r="I692" t="str">
            <v>Unit of Elins Maintenance 2</v>
          </cell>
          <cell r="J692" t="str">
            <v>Section of Line 4/5 RKC Elctr. Maint.</v>
          </cell>
        </row>
        <row r="693">
          <cell r="A693">
            <v>5841</v>
          </cell>
          <cell r="B693" t="str">
            <v>8512008</v>
          </cell>
          <cell r="C693">
            <v>50071435</v>
          </cell>
          <cell r="D693" t="str">
            <v>ANI RISNA S</v>
          </cell>
          <cell r="E693" t="str">
            <v>Performance &amp; Talent Mgmt Jr Officer</v>
          </cell>
          <cell r="F693" t="str">
            <v>Supervisor</v>
          </cell>
          <cell r="G693" t="str">
            <v>Finance Risk Mgmt &amp; General Directorate</v>
          </cell>
          <cell r="H693" t="str">
            <v>Department of Human Capital &amp; GRC</v>
          </cell>
          <cell r="I693" t="str">
            <v>Unit of HC Planning &amp; Development</v>
          </cell>
          <cell r="J693" t="str">
            <v>Section of Performance &amp; Talent Mgmt</v>
          </cell>
        </row>
        <row r="694">
          <cell r="A694">
            <v>5842</v>
          </cell>
          <cell r="B694" t="str">
            <v>8512009</v>
          </cell>
          <cell r="C694">
            <v>50069431</v>
          </cell>
          <cell r="D694" t="str">
            <v>MUH.RISAL</v>
          </cell>
          <cell r="E694" t="str">
            <v>Spv of Drier Trass Mill 4</v>
          </cell>
          <cell r="F694" t="str">
            <v>Supervisor</v>
          </cell>
          <cell r="G694" t="str">
            <v>Operation Directorate</v>
          </cell>
          <cell r="H694" t="str">
            <v>Dept. of Clinker &amp; Cement Production</v>
          </cell>
          <cell r="I694" t="str">
            <v>Unit of Cement Production</v>
          </cell>
          <cell r="J694" t="str">
            <v>Section of Line 4 Finish Mill Operation</v>
          </cell>
        </row>
        <row r="695">
          <cell r="A695">
            <v>5843</v>
          </cell>
          <cell r="B695" t="str">
            <v>8512010</v>
          </cell>
          <cell r="C695">
            <v>50069671</v>
          </cell>
          <cell r="D695" t="str">
            <v>ARMIN</v>
          </cell>
          <cell r="E695" t="str">
            <v>Spv of PdM &amp; PM Scdl CUS Machine</v>
          </cell>
          <cell r="F695" t="str">
            <v>Supervisor</v>
          </cell>
          <cell r="G695" t="str">
            <v>Operation Directorate</v>
          </cell>
          <cell r="H695" t="str">
            <v>Dept. of Mining &amp; Power Plant</v>
          </cell>
          <cell r="I695" t="str">
            <v>Unit of Power Plant Machine Maint</v>
          </cell>
          <cell r="J695" t="str">
            <v>Section of CUS Maintenance</v>
          </cell>
        </row>
        <row r="696">
          <cell r="A696">
            <v>5844</v>
          </cell>
          <cell r="B696" t="str">
            <v>8512011</v>
          </cell>
          <cell r="C696">
            <v>50069530</v>
          </cell>
          <cell r="D696" t="str">
            <v>PANCE ASYIK, ST.</v>
          </cell>
          <cell r="E696" t="str">
            <v>Spv of Line 5 System Control Maint</v>
          </cell>
          <cell r="F696" t="str">
            <v>Supervisor</v>
          </cell>
          <cell r="G696" t="str">
            <v>Operation Directorate</v>
          </cell>
          <cell r="H696" t="str">
            <v>Dept. of Maintenance</v>
          </cell>
          <cell r="I696" t="str">
            <v>Unit of Elins Maintenance 2</v>
          </cell>
          <cell r="J696" t="str">
            <v>Section of Line 4/5 RKC Instr. Maint.</v>
          </cell>
        </row>
        <row r="697">
          <cell r="A697">
            <v>5845</v>
          </cell>
          <cell r="B697" t="str">
            <v>8512012</v>
          </cell>
          <cell r="C697">
            <v>50008437</v>
          </cell>
          <cell r="D697" t="str">
            <v>MUH.YUNUS GAUS</v>
          </cell>
          <cell r="E697" t="str">
            <v>Spv of PP Electrical</v>
          </cell>
          <cell r="F697" t="str">
            <v>Supervisor</v>
          </cell>
          <cell r="G697" t="str">
            <v>Operation Directorate</v>
          </cell>
          <cell r="H697" t="str">
            <v>Dept. of Mining &amp; Power Plant</v>
          </cell>
          <cell r="I697" t="str">
            <v>Unit of Power Plant Elins Maintenance</v>
          </cell>
          <cell r="J697" t="str">
            <v>Section of Power Plant Elctrical Maint.</v>
          </cell>
        </row>
        <row r="698">
          <cell r="A698">
            <v>5846</v>
          </cell>
          <cell r="B698" t="str">
            <v>8512013</v>
          </cell>
          <cell r="C698">
            <v>50069702</v>
          </cell>
          <cell r="D698" t="str">
            <v>ABDUL KHALIK</v>
          </cell>
          <cell r="E698" t="str">
            <v>Spv of PP Boiler Operation</v>
          </cell>
          <cell r="F698" t="str">
            <v>Supervisor</v>
          </cell>
          <cell r="G698" t="str">
            <v>Operation Directorate</v>
          </cell>
          <cell r="H698" t="str">
            <v>Dept. of Mining &amp; Power Plant</v>
          </cell>
          <cell r="I698" t="str">
            <v>Unit of Power Plant Operation</v>
          </cell>
          <cell r="J698" t="str">
            <v>Section of Power Plant Operation</v>
          </cell>
        </row>
        <row r="699">
          <cell r="A699">
            <v>5847</v>
          </cell>
          <cell r="B699" t="str">
            <v>8512014</v>
          </cell>
          <cell r="C699">
            <v>50069514</v>
          </cell>
          <cell r="D699" t="str">
            <v>MUNAWIR</v>
          </cell>
          <cell r="E699" t="str">
            <v>Spv of Line 4 RKC Elctr PdM &amp; PM Schdl</v>
          </cell>
          <cell r="F699" t="str">
            <v>Supervisor</v>
          </cell>
          <cell r="G699" t="str">
            <v>Operation Directorate</v>
          </cell>
          <cell r="H699" t="str">
            <v>Dept. of Maintenance</v>
          </cell>
          <cell r="I699" t="str">
            <v>Unit of Elins Maintenance 2</v>
          </cell>
          <cell r="J699" t="str">
            <v>Section of Line 4/5 RKC Elctr. Maint.</v>
          </cell>
        </row>
        <row r="700">
          <cell r="A700">
            <v>5848</v>
          </cell>
          <cell r="B700" t="str">
            <v>8512015</v>
          </cell>
          <cell r="C700">
            <v>50069544</v>
          </cell>
          <cell r="D700" t="str">
            <v>ZULKARNAIN</v>
          </cell>
          <cell r="E700" t="str">
            <v>Spv of Line 5 RKCM Instr PvM</v>
          </cell>
          <cell r="F700" t="str">
            <v>Supervisor</v>
          </cell>
          <cell r="G700" t="str">
            <v>Operation Directorate</v>
          </cell>
          <cell r="H700" t="str">
            <v>Dept. of Maintenance</v>
          </cell>
          <cell r="I700" t="str">
            <v>Unit of Elins Maintenance 2</v>
          </cell>
          <cell r="J700" t="str">
            <v>Section of Line 4/5 RKC Instr. Maint.</v>
          </cell>
        </row>
        <row r="701">
          <cell r="A701">
            <v>5849</v>
          </cell>
          <cell r="B701" t="str">
            <v>8512016</v>
          </cell>
          <cell r="C701">
            <v>50069697</v>
          </cell>
          <cell r="D701" t="str">
            <v>RAHMAT YAKIN</v>
          </cell>
          <cell r="E701" t="str">
            <v>Spv of PP Troubleshooting</v>
          </cell>
          <cell r="F701" t="str">
            <v>Supervisor</v>
          </cell>
          <cell r="G701" t="str">
            <v>Operation Directorate</v>
          </cell>
          <cell r="H701" t="str">
            <v>Dept. of Mining &amp; Power Plant</v>
          </cell>
          <cell r="I701" t="str">
            <v>Unit of Power Distribution</v>
          </cell>
          <cell r="J701" t="str">
            <v>Section of Electricity Load Control</v>
          </cell>
        </row>
        <row r="702">
          <cell r="A702">
            <v>5850</v>
          </cell>
          <cell r="B702" t="str">
            <v>8512017</v>
          </cell>
          <cell r="C702">
            <v>50069471</v>
          </cell>
          <cell r="D702" t="str">
            <v>ARMAN NAIM, S.Pd.</v>
          </cell>
          <cell r="E702" t="str">
            <v>Spv of Line 4/5 QC</v>
          </cell>
          <cell r="F702" t="str">
            <v>Supervisor</v>
          </cell>
          <cell r="G702" t="str">
            <v>Operation Directorate</v>
          </cell>
          <cell r="H702" t="str">
            <v>Dept. of Production Planning &amp; Control</v>
          </cell>
          <cell r="I702" t="str">
            <v>Unit of Quality Control</v>
          </cell>
          <cell r="J702" t="str">
            <v>Section of Quality Control (4/5)</v>
          </cell>
        </row>
        <row r="703">
          <cell r="A703">
            <v>5851</v>
          </cell>
          <cell r="B703" t="str">
            <v>8512027</v>
          </cell>
          <cell r="C703">
            <v>50069453</v>
          </cell>
          <cell r="D703" t="str">
            <v>A.ABUSTAN ARIFIN</v>
          </cell>
          <cell r="E703" t="str">
            <v>Spv of Fabrication</v>
          </cell>
          <cell r="F703" t="str">
            <v>Supervisor</v>
          </cell>
          <cell r="G703" t="str">
            <v>Operation Directorate</v>
          </cell>
          <cell r="H703" t="str">
            <v>Dep. of Project Mngmnt &amp; Maint. Support</v>
          </cell>
          <cell r="I703" t="str">
            <v>Unit of Workshop</v>
          </cell>
          <cell r="J703" t="str">
            <v>Section of Machine Workshop</v>
          </cell>
        </row>
        <row r="704">
          <cell r="A704">
            <v>5852</v>
          </cell>
          <cell r="B704" t="str">
            <v>8512018</v>
          </cell>
          <cell r="C704">
            <v>50069525</v>
          </cell>
          <cell r="D704" t="str">
            <v>IRWAN</v>
          </cell>
          <cell r="E704" t="str">
            <v>Spv of Line 5 RKC PvM</v>
          </cell>
          <cell r="F704" t="str">
            <v>Supervisor</v>
          </cell>
          <cell r="G704" t="str">
            <v>Operation Directorate</v>
          </cell>
          <cell r="H704" t="str">
            <v>Dept. of Maintenance</v>
          </cell>
          <cell r="I704" t="str">
            <v>Unit of Elins Maintenance 2</v>
          </cell>
          <cell r="J704" t="str">
            <v>Section of Line 4/5 RKC Elctr. Maint.</v>
          </cell>
        </row>
        <row r="705">
          <cell r="A705">
            <v>5853</v>
          </cell>
          <cell r="B705" t="str">
            <v>8512019</v>
          </cell>
          <cell r="C705">
            <v>50069587</v>
          </cell>
          <cell r="D705" t="str">
            <v>INDRA AHMAD SETIAWAN, ST.</v>
          </cell>
          <cell r="E705" t="str">
            <v>Troubleshooting Jr Officer</v>
          </cell>
          <cell r="F705" t="str">
            <v>Supervisor</v>
          </cell>
          <cell r="G705" t="str">
            <v>Operation Directorate</v>
          </cell>
          <cell r="H705" t="str">
            <v>Dept. of Maintenance</v>
          </cell>
          <cell r="I705" t="str">
            <v>Unit of Reliability Maintenance</v>
          </cell>
          <cell r="J705" t="str">
            <v>Staff of Troubleshooting</v>
          </cell>
        </row>
        <row r="706">
          <cell r="A706">
            <v>5854</v>
          </cell>
          <cell r="B706" t="str">
            <v>8512020</v>
          </cell>
          <cell r="C706">
            <v>50063640</v>
          </cell>
          <cell r="D706" t="str">
            <v>SAPRIADI, ST.</v>
          </cell>
          <cell r="E706" t="str">
            <v>Internal Audit Jr Officer</v>
          </cell>
          <cell r="F706" t="str">
            <v>Supervisor</v>
          </cell>
          <cell r="G706" t="str">
            <v>President Directorate</v>
          </cell>
          <cell r="H706" t="str">
            <v>Department of Internal Audit</v>
          </cell>
          <cell r="I706" t="str">
            <v>Staff of Internal Audit</v>
          </cell>
        </row>
        <row r="707">
          <cell r="A707">
            <v>5855</v>
          </cell>
          <cell r="B707" t="str">
            <v>8512021</v>
          </cell>
          <cell r="C707">
            <v>50009101</v>
          </cell>
          <cell r="D707" t="str">
            <v>ALAMSYAH, S.M.</v>
          </cell>
          <cell r="E707" t="str">
            <v>Financial Accounting Officer</v>
          </cell>
          <cell r="F707" t="str">
            <v>Manager</v>
          </cell>
          <cell r="G707" t="str">
            <v>Finance Risk Mgmt &amp; General Directorate</v>
          </cell>
          <cell r="H707" t="str">
            <v>Department of Finance &amp; Accounting</v>
          </cell>
          <cell r="I707" t="str">
            <v>Unit of Accounting</v>
          </cell>
          <cell r="J707" t="str">
            <v>Section of Financial Accounting</v>
          </cell>
        </row>
        <row r="708">
          <cell r="A708">
            <v>5856</v>
          </cell>
          <cell r="B708" t="str">
            <v>8512022</v>
          </cell>
          <cell r="C708">
            <v>50068223</v>
          </cell>
          <cell r="D708" t="str">
            <v>FAHRUL</v>
          </cell>
          <cell r="E708" t="str">
            <v>Spv of Plant Maintenance</v>
          </cell>
          <cell r="F708" t="str">
            <v>Supervisor</v>
          </cell>
          <cell r="H708" t="str">
            <v>Department of Cmnt Prod.&amp;Ext. Plant Ops.</v>
          </cell>
          <cell r="I708" t="str">
            <v>Unit of Grinding &amp; Packing Operation</v>
          </cell>
          <cell r="J708" t="str">
            <v>Section of Celukan Bawang Packing Plant</v>
          </cell>
        </row>
        <row r="709">
          <cell r="A709">
            <v>5857</v>
          </cell>
          <cell r="B709" t="str">
            <v>8512023</v>
          </cell>
          <cell r="C709">
            <v>50029896</v>
          </cell>
          <cell r="D709" t="str">
            <v>RAHMAT HARUNA, S.M</v>
          </cell>
          <cell r="E709" t="str">
            <v>Spv of PP Instrument</v>
          </cell>
          <cell r="F709" t="str">
            <v>Supervisor</v>
          </cell>
          <cell r="G709" t="str">
            <v>Operation Directorate</v>
          </cell>
          <cell r="H709" t="str">
            <v>Dept. of Mining &amp; Power Plant</v>
          </cell>
          <cell r="I709" t="str">
            <v>Unit of Power Plant Elins Maintenance</v>
          </cell>
          <cell r="J709" t="str">
            <v>Section of Power Plant Instrument Maint.</v>
          </cell>
        </row>
        <row r="710">
          <cell r="A710">
            <v>5858</v>
          </cell>
          <cell r="B710" t="str">
            <v>8512024</v>
          </cell>
          <cell r="C710">
            <v>50069532</v>
          </cell>
          <cell r="D710" t="str">
            <v>ARIANTO AMIR, ST.</v>
          </cell>
          <cell r="E710" t="str">
            <v>Spv of Line 4 RKCM Instr PdM &amp; PM Schd</v>
          </cell>
          <cell r="F710" t="str">
            <v>Supervisor</v>
          </cell>
          <cell r="G710" t="str">
            <v>Operation Directorate</v>
          </cell>
          <cell r="H710" t="str">
            <v>Dept. of Maintenance</v>
          </cell>
          <cell r="I710" t="str">
            <v>Unit of Elins Maintenance 2</v>
          </cell>
          <cell r="J710" t="str">
            <v>Section of Line 4/5 RKC Instr. Maint.</v>
          </cell>
        </row>
        <row r="711">
          <cell r="A711">
            <v>5859</v>
          </cell>
          <cell r="B711" t="str">
            <v>8512025</v>
          </cell>
          <cell r="C711">
            <v>50070733</v>
          </cell>
          <cell r="D711" t="str">
            <v>RAMLI, SE., MM.</v>
          </cell>
          <cell r="E711" t="str">
            <v>ASM of Papua</v>
          </cell>
          <cell r="F711" t="str">
            <v>Manager</v>
          </cell>
          <cell r="G711" t="str">
            <v>President Directorate</v>
          </cell>
          <cell r="H711" t="str">
            <v>Dept. of Sales</v>
          </cell>
          <cell r="I711" t="str">
            <v>Unit of Sales 2</v>
          </cell>
          <cell r="J711" t="str">
            <v>Section of Papua</v>
          </cell>
        </row>
        <row r="712">
          <cell r="A712">
            <v>5860</v>
          </cell>
          <cell r="B712" t="str">
            <v>8512026</v>
          </cell>
          <cell r="C712">
            <v>50069545</v>
          </cell>
          <cell r="D712" t="str">
            <v>ARSYAD</v>
          </cell>
          <cell r="E712" t="str">
            <v>Spv of Line 5 RKCM Instr PvM</v>
          </cell>
          <cell r="F712" t="str">
            <v>Supervisor</v>
          </cell>
          <cell r="G712" t="str">
            <v>Operation Directorate</v>
          </cell>
          <cell r="H712" t="str">
            <v>Dept. of Maintenance</v>
          </cell>
          <cell r="I712" t="str">
            <v>Unit of Elins Maintenance 2</v>
          </cell>
          <cell r="J712" t="str">
            <v>Section of Line 4/5 RKC Instr. Maint.</v>
          </cell>
        </row>
        <row r="713">
          <cell r="A713">
            <v>5861</v>
          </cell>
          <cell r="B713" t="str">
            <v>8512028</v>
          </cell>
          <cell r="C713">
            <v>50065473</v>
          </cell>
          <cell r="D713" t="str">
            <v>SETIAWAN PUTRA</v>
          </cell>
          <cell r="E713" t="str">
            <v>Spv of Troubleshooting LS CL SC 5</v>
          </cell>
          <cell r="F713" t="str">
            <v>Supervisor</v>
          </cell>
          <cell r="G713" t="str">
            <v>Operation Directorate</v>
          </cell>
          <cell r="H713" t="str">
            <v>Dept. of Maintenance</v>
          </cell>
          <cell r="I713" t="str">
            <v>Unit of Machine Maintenance 1</v>
          </cell>
          <cell r="J713" t="str">
            <v>Section of Crusher Machine &amp; Conv Maint.</v>
          </cell>
        </row>
        <row r="714">
          <cell r="A714">
            <v>5862</v>
          </cell>
          <cell r="B714" t="str">
            <v>8512029</v>
          </cell>
          <cell r="C714">
            <v>50069385</v>
          </cell>
          <cell r="D714" t="str">
            <v>MUH.ARIF HIDAYAT</v>
          </cell>
          <cell r="E714" t="str">
            <v>Spv of CCR RKC 5</v>
          </cell>
          <cell r="F714" t="str">
            <v>Supervisor</v>
          </cell>
          <cell r="G714" t="str">
            <v>Operation Directorate</v>
          </cell>
          <cell r="H714" t="str">
            <v>Dept. of Clinker &amp; Cement Production</v>
          </cell>
          <cell r="I714" t="str">
            <v>Unit of Clinker Production</v>
          </cell>
          <cell r="J714" t="str">
            <v>Section of Line 5 RKC Operation</v>
          </cell>
        </row>
        <row r="715">
          <cell r="A715">
            <v>5863</v>
          </cell>
          <cell r="B715" t="str">
            <v>8512030</v>
          </cell>
          <cell r="C715">
            <v>50069579</v>
          </cell>
          <cell r="D715" t="str">
            <v>HERMAN</v>
          </cell>
          <cell r="E715" t="str">
            <v>Maintenance Inspection Jr Officer</v>
          </cell>
          <cell r="F715" t="str">
            <v>Supervisor</v>
          </cell>
          <cell r="G715" t="str">
            <v>Operation Directorate</v>
          </cell>
          <cell r="H715" t="str">
            <v>Dept. of Maintenance</v>
          </cell>
          <cell r="I715" t="str">
            <v>Unit of Reliability Maintenance</v>
          </cell>
          <cell r="J715" t="str">
            <v>Staff of Maintenance Inspection</v>
          </cell>
        </row>
        <row r="716">
          <cell r="A716">
            <v>5864</v>
          </cell>
          <cell r="B716" t="str">
            <v>8612031</v>
          </cell>
          <cell r="C716">
            <v>50071559</v>
          </cell>
          <cell r="D716" t="str">
            <v>FIRMANSYAH HERMAN</v>
          </cell>
          <cell r="E716" t="str">
            <v>Sparepart &amp; Consumable Mgmt Jr officer</v>
          </cell>
          <cell r="F716" t="str">
            <v>Supervisor</v>
          </cell>
          <cell r="G716" t="str">
            <v>Finance Risk Mgmt &amp; General Directorate</v>
          </cell>
          <cell r="I716" t="str">
            <v>Unit of Warehouse</v>
          </cell>
          <cell r="J716" t="str">
            <v>Section of Sparepart &amp; Consumable Mgmt</v>
          </cell>
        </row>
        <row r="717">
          <cell r="A717">
            <v>5865</v>
          </cell>
          <cell r="B717" t="str">
            <v>8612032</v>
          </cell>
          <cell r="C717">
            <v>50043777</v>
          </cell>
          <cell r="D717" t="str">
            <v>SYARIFUDDIN</v>
          </cell>
          <cell r="E717" t="str">
            <v>Spv of Line 5 Kiln &amp; CM Mech PvM</v>
          </cell>
          <cell r="F717" t="str">
            <v>Supervisor</v>
          </cell>
          <cell r="G717" t="str">
            <v>Operation Directorate</v>
          </cell>
          <cell r="H717" t="str">
            <v>Dept. of Maintenance</v>
          </cell>
          <cell r="I717" t="str">
            <v>Unit of Machine Maintenance 2</v>
          </cell>
          <cell r="J717" t="str">
            <v>Section of Line 4/5 Kiln &amp; CM Mach Maint</v>
          </cell>
        </row>
        <row r="718">
          <cell r="A718">
            <v>5866</v>
          </cell>
          <cell r="B718" t="str">
            <v>8612033</v>
          </cell>
          <cell r="C718">
            <v>50052325</v>
          </cell>
          <cell r="D718" t="str">
            <v>USMAN HASAN</v>
          </cell>
          <cell r="E718" t="str">
            <v>Spv of CEMS Maintenance</v>
          </cell>
          <cell r="F718" t="str">
            <v>Supervisor</v>
          </cell>
          <cell r="G718" t="str">
            <v>Operation Directorate</v>
          </cell>
          <cell r="H718" t="str">
            <v>Dept. of Maintenance</v>
          </cell>
          <cell r="I718" t="str">
            <v>Unit of Elins Maintenance 2</v>
          </cell>
          <cell r="J718" t="str">
            <v>Section of EP/DC Maintenance</v>
          </cell>
        </row>
        <row r="719">
          <cell r="A719">
            <v>5867</v>
          </cell>
          <cell r="B719" t="str">
            <v>8612034</v>
          </cell>
          <cell r="C719">
            <v>50052153</v>
          </cell>
          <cell r="D719" t="str">
            <v>ZULFIKAR</v>
          </cell>
          <cell r="E719" t="str">
            <v>Spv of 2/3 FM Mach PdM &amp; PM Schedule</v>
          </cell>
          <cell r="F719" t="str">
            <v>Supervisor</v>
          </cell>
          <cell r="G719" t="str">
            <v>Operation Directorate</v>
          </cell>
          <cell r="H719" t="str">
            <v>Dept. of Maintenance</v>
          </cell>
          <cell r="I719" t="str">
            <v>Unit of Machine Maintenance 1</v>
          </cell>
          <cell r="J719" t="str">
            <v>Section of Line 2/3 FM Machine Maint.</v>
          </cell>
        </row>
        <row r="720">
          <cell r="A720">
            <v>5868</v>
          </cell>
          <cell r="B720" t="str">
            <v>8612035</v>
          </cell>
          <cell r="C720">
            <v>50070742</v>
          </cell>
          <cell r="D720" t="str">
            <v>RUDY CASTRO MATONENG, SE.</v>
          </cell>
          <cell r="E720" t="str">
            <v>ASM of Maluku &amp; Maluku Utara</v>
          </cell>
          <cell r="F720" t="str">
            <v>Manager</v>
          </cell>
          <cell r="G720" t="str">
            <v>President Directorate</v>
          </cell>
          <cell r="H720" t="str">
            <v>Dept. of Sales</v>
          </cell>
          <cell r="I720" t="str">
            <v>Unit of Sales 2</v>
          </cell>
          <cell r="J720" t="str">
            <v>Section of Maluku &amp; Maluku Utara</v>
          </cell>
        </row>
        <row r="721">
          <cell r="A721">
            <v>5869</v>
          </cell>
          <cell r="B721" t="str">
            <v>8612036</v>
          </cell>
          <cell r="C721">
            <v>50066612</v>
          </cell>
          <cell r="D721" t="str">
            <v>ROBI ERWIN, ST</v>
          </cell>
          <cell r="E721" t="str">
            <v>Mgr of Employee Facility</v>
          </cell>
          <cell r="F721" t="str">
            <v>Manager</v>
          </cell>
          <cell r="G721" t="str">
            <v>Finance Risk Mgmt &amp; General Directorate</v>
          </cell>
          <cell r="H721" t="str">
            <v>Department of Human Capital &amp; GRC</v>
          </cell>
          <cell r="I721" t="str">
            <v>Unit of HC Operational</v>
          </cell>
          <cell r="J721" t="str">
            <v>Section of Employee Facility</v>
          </cell>
        </row>
        <row r="722">
          <cell r="A722">
            <v>5870</v>
          </cell>
          <cell r="B722" t="str">
            <v>8612037</v>
          </cell>
          <cell r="C722">
            <v>50069503</v>
          </cell>
          <cell r="D722" t="str">
            <v>RAIS</v>
          </cell>
          <cell r="E722" t="str">
            <v>Spv of Line 4 Kiln&amp;CM Mach PdM&amp;PM Schd</v>
          </cell>
          <cell r="F722" t="str">
            <v>Supervisor</v>
          </cell>
          <cell r="G722" t="str">
            <v>Operation Directorate</v>
          </cell>
          <cell r="H722" t="str">
            <v>Dept. of Maintenance</v>
          </cell>
          <cell r="I722" t="str">
            <v>Unit of Machine Maintenance 2</v>
          </cell>
          <cell r="J722" t="str">
            <v>Section of Line 4/5 Kiln &amp; CM Mach Maint</v>
          </cell>
        </row>
        <row r="723">
          <cell r="A723">
            <v>5871</v>
          </cell>
          <cell r="B723" t="str">
            <v>8612038</v>
          </cell>
          <cell r="C723">
            <v>50069672</v>
          </cell>
          <cell r="D723" t="str">
            <v>HARDI</v>
          </cell>
          <cell r="E723" t="str">
            <v>Spv of PvM CUS Machine</v>
          </cell>
          <cell r="F723" t="str">
            <v>Supervisor</v>
          </cell>
          <cell r="G723" t="str">
            <v>Operation Directorate</v>
          </cell>
          <cell r="H723" t="str">
            <v>Dept. of Mining &amp; Power Plant</v>
          </cell>
          <cell r="I723" t="str">
            <v>Unit of Power Plant Machine Maint</v>
          </cell>
          <cell r="J723" t="str">
            <v>Section of CUS Maintenance</v>
          </cell>
        </row>
        <row r="724">
          <cell r="A724">
            <v>5872</v>
          </cell>
          <cell r="B724" t="str">
            <v>8612039</v>
          </cell>
          <cell r="C724">
            <v>50008082</v>
          </cell>
          <cell r="D724" t="str">
            <v>HERMAN NUR</v>
          </cell>
          <cell r="E724" t="str">
            <v>Spv of Line 5 RM Mach PdM&amp;PM Schd</v>
          </cell>
          <cell r="F724" t="str">
            <v>Supervisor</v>
          </cell>
          <cell r="G724" t="str">
            <v>Operation Directorate</v>
          </cell>
          <cell r="H724" t="str">
            <v>Dept. of Maintenance</v>
          </cell>
          <cell r="I724" t="str">
            <v>Unit of Machine Maintenance 2</v>
          </cell>
          <cell r="J724" t="str">
            <v>Section of Line 4/5 RM Machine Maint</v>
          </cell>
        </row>
        <row r="725">
          <cell r="A725">
            <v>5873</v>
          </cell>
          <cell r="B725" t="str">
            <v>8612040</v>
          </cell>
          <cell r="C725">
            <v>50071427</v>
          </cell>
          <cell r="D725" t="str">
            <v>MUH.SALEH, SE.</v>
          </cell>
          <cell r="E725" t="str">
            <v>Taxation Jr Officer</v>
          </cell>
          <cell r="F725" t="str">
            <v>Supervisor</v>
          </cell>
          <cell r="G725" t="str">
            <v>Finance Risk Mgmt &amp; General Directorate</v>
          </cell>
          <cell r="H725" t="str">
            <v>Department of Finance &amp; Accounting</v>
          </cell>
          <cell r="I725" t="str">
            <v>Unit of Finance</v>
          </cell>
          <cell r="J725" t="str">
            <v>Section of Taxation</v>
          </cell>
        </row>
        <row r="726">
          <cell r="A726">
            <v>5874</v>
          </cell>
          <cell r="B726" t="str">
            <v>8612041</v>
          </cell>
          <cell r="C726">
            <v>50024236</v>
          </cell>
          <cell r="D726" t="str">
            <v>DANIAL</v>
          </cell>
          <cell r="E726" t="str">
            <v>PdM &amp; PM Sch PP Machine Maint Jr officer</v>
          </cell>
          <cell r="F726" t="str">
            <v>Supervisor</v>
          </cell>
          <cell r="G726" t="str">
            <v>Operation Directorate</v>
          </cell>
          <cell r="H726" t="str">
            <v>Dept. of Mining &amp; Power Plant</v>
          </cell>
          <cell r="I726" t="str">
            <v>Unit of Power Plant Machine Maint</v>
          </cell>
          <cell r="J726" t="str">
            <v>Section of Power Plant Machine Maint</v>
          </cell>
        </row>
        <row r="727">
          <cell r="A727">
            <v>5875</v>
          </cell>
          <cell r="B727" t="str">
            <v>8612042</v>
          </cell>
          <cell r="C727">
            <v>50065985</v>
          </cell>
          <cell r="D727" t="str">
            <v>ABDUL RAHIM AKIB</v>
          </cell>
          <cell r="E727" t="str">
            <v>Spv of PvM AFR</v>
          </cell>
          <cell r="F727" t="str">
            <v>Supervisor</v>
          </cell>
          <cell r="G727" t="str">
            <v>Operation Directorate</v>
          </cell>
          <cell r="H727" t="str">
            <v>Dept. of Maintenance</v>
          </cell>
          <cell r="I727" t="str">
            <v>Unit of Elins Maintenance 2</v>
          </cell>
          <cell r="J727" t="str">
            <v>Section of Line 4/5 RKC Elctr. Maint.</v>
          </cell>
        </row>
        <row r="728">
          <cell r="A728">
            <v>5876</v>
          </cell>
          <cell r="B728" t="str">
            <v>8612043</v>
          </cell>
          <cell r="C728">
            <v>50043798</v>
          </cell>
          <cell r="D728" t="str">
            <v>AHMAD MADEHAR</v>
          </cell>
          <cell r="E728" t="str">
            <v>Spv of Line 5 FM Elins PvM</v>
          </cell>
          <cell r="F728" t="str">
            <v>Supervisor</v>
          </cell>
          <cell r="G728" t="str">
            <v>Operation Directorate</v>
          </cell>
          <cell r="H728" t="str">
            <v>Dept. of Maintenance</v>
          </cell>
          <cell r="I728" t="str">
            <v>Unit of Elins Maintenance 2</v>
          </cell>
          <cell r="J728" t="str">
            <v>Section of Line 4/5 FM Elins Maint</v>
          </cell>
        </row>
        <row r="729">
          <cell r="A729">
            <v>5877</v>
          </cell>
          <cell r="B729" t="str">
            <v>8612044</v>
          </cell>
          <cell r="C729">
            <v>50053935</v>
          </cell>
          <cell r="D729" t="str">
            <v>AHMAD</v>
          </cell>
          <cell r="E729" t="str">
            <v>Line 4 CCR FM Jr Officer</v>
          </cell>
          <cell r="F729" t="str">
            <v>Supervisor</v>
          </cell>
          <cell r="G729" t="str">
            <v>Operation Directorate</v>
          </cell>
          <cell r="H729" t="str">
            <v>Dept. of Clinker &amp; Cement Production</v>
          </cell>
          <cell r="I729" t="str">
            <v>Unit of Cement Production</v>
          </cell>
          <cell r="J729" t="str">
            <v>Section of Line 4 Finish Mill Operation</v>
          </cell>
        </row>
        <row r="730">
          <cell r="A730">
            <v>5878</v>
          </cell>
          <cell r="B730" t="str">
            <v>8612045</v>
          </cell>
          <cell r="C730">
            <v>50071538</v>
          </cell>
          <cell r="D730" t="str">
            <v>ABDUL RAHMAN</v>
          </cell>
          <cell r="E730" t="str">
            <v>D Key Account Jr Officer</v>
          </cell>
          <cell r="F730" t="str">
            <v>Supervisor</v>
          </cell>
          <cell r="G730" t="str">
            <v>President Directorate</v>
          </cell>
          <cell r="H730" t="str">
            <v>Dept. of Sales</v>
          </cell>
          <cell r="I730" t="str">
            <v>Unit of Corporate Sales</v>
          </cell>
          <cell r="J730" t="str">
            <v>Staff of Key Account Officer</v>
          </cell>
        </row>
        <row r="731">
          <cell r="A731">
            <v>5879</v>
          </cell>
          <cell r="B731" t="str">
            <v>8612046</v>
          </cell>
          <cell r="C731">
            <v>50061723</v>
          </cell>
          <cell r="D731" t="str">
            <v>ERWIN IDRIS, S.KM.</v>
          </cell>
          <cell r="E731" t="str">
            <v>Spv of Plant OHS</v>
          </cell>
          <cell r="F731" t="str">
            <v>Supervisor</v>
          </cell>
          <cell r="G731" t="str">
            <v>Operation Directorate</v>
          </cell>
          <cell r="H731" t="str">
            <v>Dept. of Production Planning &amp; Control</v>
          </cell>
          <cell r="I731" t="str">
            <v>Unit of OHS</v>
          </cell>
          <cell r="J731" t="str">
            <v>Section of Plant Occupational Hea &amp; Saf.</v>
          </cell>
        </row>
        <row r="732">
          <cell r="A732">
            <v>5880</v>
          </cell>
          <cell r="B732" t="str">
            <v>8612047</v>
          </cell>
          <cell r="C732">
            <v>50070745</v>
          </cell>
          <cell r="D732" t="str">
            <v>YADWAL IRFAN</v>
          </cell>
          <cell r="E732" t="str">
            <v>Maluku &amp; Maluku Utara TSO</v>
          </cell>
          <cell r="F732" t="str">
            <v>Supervisor</v>
          </cell>
          <cell r="G732" t="str">
            <v>President Directorate</v>
          </cell>
          <cell r="H732" t="str">
            <v>Dept. of Sales</v>
          </cell>
          <cell r="I732" t="str">
            <v>Unit of Sales 2</v>
          </cell>
          <cell r="J732" t="str">
            <v>Section of Maluku &amp; Maluku Utara</v>
          </cell>
        </row>
        <row r="733">
          <cell r="A733">
            <v>5881</v>
          </cell>
          <cell r="B733" t="str">
            <v>8612048</v>
          </cell>
          <cell r="C733">
            <v>50071563</v>
          </cell>
          <cell r="D733" t="str">
            <v>SADRI M.NUR, ST.</v>
          </cell>
          <cell r="E733" t="str">
            <v>Mgr of Material Fuel &amp; Packaging Mgmt</v>
          </cell>
          <cell r="F733" t="str">
            <v>Manager</v>
          </cell>
          <cell r="G733" t="str">
            <v>Finance Risk Mgmt &amp; General Directorate</v>
          </cell>
          <cell r="I733" t="str">
            <v>Unit of Warehouse</v>
          </cell>
          <cell r="J733" t="str">
            <v>Section of Mat. Fuel &amp; Packaging Mgmt</v>
          </cell>
        </row>
        <row r="734">
          <cell r="A734">
            <v>5882</v>
          </cell>
          <cell r="B734" t="str">
            <v>8612049</v>
          </cell>
          <cell r="C734">
            <v>50069359</v>
          </cell>
          <cell r="D734" t="str">
            <v>AKBAR</v>
          </cell>
          <cell r="E734" t="str">
            <v>Autonomous Kiln &amp; CM 4/5</v>
          </cell>
          <cell r="F734" t="str">
            <v>Supervisor</v>
          </cell>
          <cell r="G734" t="str">
            <v>Operation Directorate</v>
          </cell>
          <cell r="H734" t="str">
            <v>Dept. of Clinker &amp; Cement Production</v>
          </cell>
          <cell r="I734" t="str">
            <v>Unit of Clinker Production</v>
          </cell>
          <cell r="J734" t="str">
            <v>Section of Kiln Production Coach</v>
          </cell>
        </row>
        <row r="735">
          <cell r="A735">
            <v>5883</v>
          </cell>
          <cell r="B735" t="str">
            <v>8612050</v>
          </cell>
          <cell r="C735">
            <v>50069479</v>
          </cell>
          <cell r="D735" t="str">
            <v>MUHAMMAD ARDIANSYAH NUR</v>
          </cell>
          <cell r="E735" t="str">
            <v>Spv of Mutation Clinker Control</v>
          </cell>
          <cell r="F735" t="str">
            <v>Supervisor</v>
          </cell>
          <cell r="G735" t="str">
            <v>Operation Directorate</v>
          </cell>
          <cell r="H735" t="str">
            <v>Dept. of Production Planning &amp; Control</v>
          </cell>
          <cell r="I735" t="str">
            <v>Unit of Production Support</v>
          </cell>
          <cell r="J735" t="str">
            <v>Section of Heavy Equipment &amp; Coal Transp</v>
          </cell>
        </row>
        <row r="736">
          <cell r="A736">
            <v>5884</v>
          </cell>
          <cell r="B736" t="str">
            <v>8612051</v>
          </cell>
          <cell r="C736">
            <v>50069681</v>
          </cell>
          <cell r="D736" t="str">
            <v>ARFADLY A.</v>
          </cell>
          <cell r="E736" t="str">
            <v>PdM &amp; PM Schedule Electrical Jr Officer</v>
          </cell>
          <cell r="F736" t="str">
            <v>Supervisor</v>
          </cell>
          <cell r="G736" t="str">
            <v>Operation Directorate</v>
          </cell>
          <cell r="H736" t="str">
            <v>Dept. of Mining &amp; Power Plant</v>
          </cell>
          <cell r="I736" t="str">
            <v>Unit of Power Plant Elins Maintenance</v>
          </cell>
          <cell r="J736" t="str">
            <v>Section of Power Plant Elctrical Maint.</v>
          </cell>
        </row>
        <row r="737">
          <cell r="A737">
            <v>5885</v>
          </cell>
          <cell r="B737" t="str">
            <v>8612052</v>
          </cell>
          <cell r="C737">
            <v>50023743</v>
          </cell>
          <cell r="D737" t="str">
            <v>MURZID</v>
          </cell>
          <cell r="E737" t="str">
            <v>Spv of Line 5 FM Mach PvM</v>
          </cell>
          <cell r="F737" t="str">
            <v>Supervisor</v>
          </cell>
          <cell r="G737" t="str">
            <v>Operation Directorate</v>
          </cell>
          <cell r="H737" t="str">
            <v>Dept. of Maintenance</v>
          </cell>
          <cell r="I737" t="str">
            <v>Unit of Machine Maintenance 2</v>
          </cell>
          <cell r="J737" t="str">
            <v>Section of Line 4/5 FM Machine Maint</v>
          </cell>
        </row>
        <row r="738">
          <cell r="A738">
            <v>5886</v>
          </cell>
          <cell r="B738" t="str">
            <v>8612053</v>
          </cell>
          <cell r="C738">
            <v>50066785</v>
          </cell>
          <cell r="D738" t="str">
            <v>RACHMAT AR.</v>
          </cell>
          <cell r="E738" t="str">
            <v>Spv of Water Lab Eqp</v>
          </cell>
          <cell r="F738" t="str">
            <v>Supervisor</v>
          </cell>
          <cell r="G738" t="str">
            <v>Operation Directorate</v>
          </cell>
          <cell r="H738" t="str">
            <v>Dept. of Production Planning &amp; Control</v>
          </cell>
          <cell r="I738" t="str">
            <v>Unit of Quality Control</v>
          </cell>
          <cell r="J738" t="str">
            <v>Section of Quality Control (2/3)</v>
          </cell>
        </row>
        <row r="739">
          <cell r="A739">
            <v>5887</v>
          </cell>
          <cell r="B739" t="str">
            <v>8612054</v>
          </cell>
          <cell r="C739">
            <v>50069601</v>
          </cell>
          <cell r="D739" t="str">
            <v>MUHAMMAD SYAHRUL SALEH, ST.</v>
          </cell>
          <cell r="E739" t="str">
            <v>Mine Plan Jr Officer</v>
          </cell>
          <cell r="F739" t="str">
            <v>Supervisor</v>
          </cell>
          <cell r="G739" t="str">
            <v>Operation Directorate</v>
          </cell>
          <cell r="H739" t="str">
            <v>Dept. of Mining &amp; Power Plant</v>
          </cell>
          <cell r="I739" t="str">
            <v>Unit of Mine Plan</v>
          </cell>
          <cell r="J739" t="str">
            <v>Section of Mine Planning &amp; Monitoring</v>
          </cell>
        </row>
        <row r="740">
          <cell r="A740">
            <v>5888</v>
          </cell>
          <cell r="B740" t="str">
            <v>8612055</v>
          </cell>
          <cell r="C740">
            <v>50018600</v>
          </cell>
          <cell r="D740" t="str">
            <v>ASRIL GAZALI</v>
          </cell>
          <cell r="E740" t="str">
            <v>Mgr of PA &amp; Comp. Benefit</v>
          </cell>
          <cell r="F740" t="str">
            <v>Manager</v>
          </cell>
          <cell r="G740" t="str">
            <v>Finance Risk Mgmt &amp; General Directorate</v>
          </cell>
          <cell r="H740" t="str">
            <v>Department of Human Capital &amp; GRC</v>
          </cell>
          <cell r="I740" t="str">
            <v>Unit of HC Operational</v>
          </cell>
          <cell r="J740" t="str">
            <v>Section of PA &amp; Comp. Benefit</v>
          </cell>
        </row>
        <row r="741">
          <cell r="A741">
            <v>5889</v>
          </cell>
          <cell r="B741" t="str">
            <v>8612056</v>
          </cell>
          <cell r="C741">
            <v>50054004</v>
          </cell>
          <cell r="D741" t="str">
            <v>ABDUL RAHMAN</v>
          </cell>
          <cell r="E741" t="str">
            <v>Spv of Line 5 FM Field</v>
          </cell>
          <cell r="F741" t="str">
            <v>Supervisor</v>
          </cell>
          <cell r="G741" t="str">
            <v>Operation Directorate</v>
          </cell>
          <cell r="H741" t="str">
            <v>Dept. of Clinker &amp; Cement Production</v>
          </cell>
          <cell r="I741" t="str">
            <v>Unit of Cement Production</v>
          </cell>
          <cell r="J741" t="str">
            <v>Section of Line 5 Finish Mill Operation</v>
          </cell>
        </row>
        <row r="742">
          <cell r="A742">
            <v>5890</v>
          </cell>
          <cell r="B742" t="str">
            <v>8612057</v>
          </cell>
          <cell r="C742">
            <v>50068753</v>
          </cell>
          <cell r="D742" t="str">
            <v>FAISAL</v>
          </cell>
          <cell r="E742" t="str">
            <v>Acc. Policy Quality Assurance Officer</v>
          </cell>
          <cell r="F742" t="str">
            <v>Manager</v>
          </cell>
          <cell r="G742" t="str">
            <v>Direktorat Keuangan dan Risk Management</v>
          </cell>
          <cell r="H742" t="str">
            <v>Department of Fin Policy &amp; Internal Ctrl</v>
          </cell>
        </row>
        <row r="743">
          <cell r="A743">
            <v>5891</v>
          </cell>
          <cell r="B743" t="str">
            <v>8612058</v>
          </cell>
          <cell r="C743">
            <v>50066610</v>
          </cell>
          <cell r="D743" t="str">
            <v>YUSRIADI, S.M.</v>
          </cell>
          <cell r="E743" t="str">
            <v>Spare Part Planning Jr Officer</v>
          </cell>
          <cell r="F743" t="str">
            <v>Supervisor</v>
          </cell>
          <cell r="G743" t="str">
            <v>Operation Directorate</v>
          </cell>
          <cell r="H743" t="str">
            <v>Dep. of Project Mngmnt &amp; Maint. Support</v>
          </cell>
          <cell r="I743" t="str">
            <v>Unit of Maintenance Planning &amp; Eval.</v>
          </cell>
          <cell r="J743" t="str">
            <v>Staff of Spare Part Planning</v>
          </cell>
        </row>
        <row r="744">
          <cell r="A744">
            <v>5892</v>
          </cell>
          <cell r="B744" t="str">
            <v>8612059</v>
          </cell>
          <cell r="C744">
            <v>50065472</v>
          </cell>
          <cell r="D744" t="str">
            <v>SUARDI</v>
          </cell>
          <cell r="E744" t="str">
            <v>Spv of Troubleshooting LS CL SC 5</v>
          </cell>
          <cell r="F744" t="str">
            <v>Supervisor</v>
          </cell>
          <cell r="G744" t="str">
            <v>Operation Directorate</v>
          </cell>
          <cell r="H744" t="str">
            <v>Dept. of Maintenance</v>
          </cell>
          <cell r="I744" t="str">
            <v>Unit of Machine Maintenance 1</v>
          </cell>
          <cell r="J744" t="str">
            <v>Section of Crusher Machine &amp; Conv Maint.</v>
          </cell>
        </row>
        <row r="745">
          <cell r="A745">
            <v>5893</v>
          </cell>
          <cell r="B745" t="str">
            <v>8612060</v>
          </cell>
          <cell r="C745">
            <v>50007536</v>
          </cell>
          <cell r="D745" t="str">
            <v>WAHYUDDIN TAHIR, ST.</v>
          </cell>
          <cell r="E745" t="str">
            <v>Spv of HE Support Controlling</v>
          </cell>
          <cell r="F745" t="str">
            <v>Supervisor</v>
          </cell>
          <cell r="G745" t="str">
            <v>Operation Directorate</v>
          </cell>
          <cell r="H745" t="str">
            <v>Dept. of Production Planning &amp; Control</v>
          </cell>
          <cell r="I745" t="str">
            <v>Unit of Production Support</v>
          </cell>
          <cell r="J745" t="str">
            <v>Section of Heavy Equipment &amp; Coal Transp</v>
          </cell>
        </row>
        <row r="746">
          <cell r="A746">
            <v>5894</v>
          </cell>
          <cell r="B746" t="str">
            <v>8612061</v>
          </cell>
          <cell r="C746">
            <v>50069777</v>
          </cell>
          <cell r="D746" t="str">
            <v>BAHTIAR B.</v>
          </cell>
          <cell r="E746" t="str">
            <v>Spv of Port Control System Prev. Maint</v>
          </cell>
          <cell r="F746" t="str">
            <v>Supervisor</v>
          </cell>
          <cell r="G746" t="str">
            <v>Operation Directorate</v>
          </cell>
          <cell r="H746" t="str">
            <v>Dept. of Maintenance</v>
          </cell>
          <cell r="I746" t="str">
            <v>Unit of Port Product Discharge Maint.</v>
          </cell>
          <cell r="J746" t="str">
            <v>Section of Port Facility Elins Maint.</v>
          </cell>
        </row>
        <row r="747">
          <cell r="A747">
            <v>5895</v>
          </cell>
          <cell r="B747" t="str">
            <v>8612062</v>
          </cell>
          <cell r="C747">
            <v>50069506</v>
          </cell>
          <cell r="D747" t="str">
            <v>MUHAMMAD AKIL</v>
          </cell>
          <cell r="E747" t="str">
            <v>Spv of Line 5 Kiln&amp;CM Mech PdM&amp;PM Schd</v>
          </cell>
          <cell r="F747" t="str">
            <v>Supervisor</v>
          </cell>
          <cell r="G747" t="str">
            <v>Operation Directorate</v>
          </cell>
          <cell r="H747" t="str">
            <v>Dept. of Maintenance</v>
          </cell>
          <cell r="I747" t="str">
            <v>Unit of Machine Maintenance 2</v>
          </cell>
          <cell r="J747" t="str">
            <v>Section of Line 4/5 Kiln &amp; CM Mach Maint</v>
          </cell>
        </row>
        <row r="748">
          <cell r="A748">
            <v>5896</v>
          </cell>
          <cell r="B748" t="str">
            <v>8612063</v>
          </cell>
          <cell r="C748">
            <v>50069517</v>
          </cell>
          <cell r="D748" t="str">
            <v>MUHAMMAD NUR</v>
          </cell>
          <cell r="E748" t="str">
            <v>Spv of Line 4 RKC Elctr PvM</v>
          </cell>
          <cell r="F748" t="str">
            <v>Supervisor</v>
          </cell>
          <cell r="G748" t="str">
            <v>Operation Directorate</v>
          </cell>
          <cell r="H748" t="str">
            <v>Dept. of Maintenance</v>
          </cell>
          <cell r="I748" t="str">
            <v>Unit of Elins Maintenance 2</v>
          </cell>
          <cell r="J748" t="str">
            <v>Section of Line 4/5 RKC Elctr. Maint.</v>
          </cell>
        </row>
        <row r="749">
          <cell r="A749">
            <v>5897</v>
          </cell>
          <cell r="B749" t="str">
            <v>8612064</v>
          </cell>
          <cell r="C749">
            <v>50054019</v>
          </cell>
          <cell r="D749" t="str">
            <v>RICHARDSON</v>
          </cell>
          <cell r="E749" t="str">
            <v>Spv of Line 5 FM Field</v>
          </cell>
          <cell r="F749" t="str">
            <v>Supervisor</v>
          </cell>
          <cell r="G749" t="str">
            <v>Operation Directorate</v>
          </cell>
          <cell r="H749" t="str">
            <v>Dept. of Clinker &amp; Cement Production</v>
          </cell>
          <cell r="I749" t="str">
            <v>Unit of Cement Production</v>
          </cell>
          <cell r="J749" t="str">
            <v>Section of Line 5 Finish Mill Operation</v>
          </cell>
        </row>
        <row r="750">
          <cell r="A750">
            <v>5899</v>
          </cell>
          <cell r="B750" t="str">
            <v>8612066</v>
          </cell>
          <cell r="C750">
            <v>50023518</v>
          </cell>
          <cell r="D750" t="str">
            <v>SUFRI ARGANTI SAMRA, ST.</v>
          </cell>
          <cell r="E750" t="str">
            <v>D Raw Mat&amp; Cement Mill Eval Jr Offic</v>
          </cell>
          <cell r="F750" t="str">
            <v>Supervisor</v>
          </cell>
          <cell r="G750" t="str">
            <v>Operation Directorate</v>
          </cell>
          <cell r="H750" t="str">
            <v>Dept. of Production Planning &amp; Control</v>
          </cell>
          <cell r="I750" t="str">
            <v>Unit of Prod. Plan Eval. &amp; Environmental</v>
          </cell>
          <cell r="J750" t="str">
            <v>Section of Raw Material &amp; Cement Mill Ev</v>
          </cell>
        </row>
        <row r="751">
          <cell r="A751">
            <v>5900</v>
          </cell>
          <cell r="B751" t="str">
            <v>8712067</v>
          </cell>
          <cell r="C751">
            <v>50061405</v>
          </cell>
          <cell r="D751" t="str">
            <v>FAIZAL TANJUNG</v>
          </cell>
          <cell r="E751" t="str">
            <v>Assc of Line 2/3 RKC Autonomous</v>
          </cell>
          <cell r="F751" t="str">
            <v>Associate</v>
          </cell>
          <cell r="G751" t="str">
            <v>Operation Directorate</v>
          </cell>
          <cell r="H751" t="str">
            <v>Dept. of Clinker &amp; Cement Production</v>
          </cell>
          <cell r="I751" t="str">
            <v>Unit of Derivative Product  &amp; Supporting</v>
          </cell>
          <cell r="J751" t="str">
            <v>Section of Derivative Prod. &amp; Opr. 2/3</v>
          </cell>
        </row>
        <row r="752">
          <cell r="A752">
            <v>5901</v>
          </cell>
          <cell r="B752" t="str">
            <v>8712068</v>
          </cell>
          <cell r="C752">
            <v>50070131</v>
          </cell>
          <cell r="D752" t="str">
            <v>MUHLIS SUNUSI</v>
          </cell>
          <cell r="E752" t="str">
            <v>Procurement Officer</v>
          </cell>
          <cell r="F752" t="str">
            <v>Manager</v>
          </cell>
          <cell r="G752" t="str">
            <v>Direktorat Human Capital</v>
          </cell>
          <cell r="H752" t="str">
            <v>Department of Energy &amp; Materials Proc.</v>
          </cell>
          <cell r="I752" t="str">
            <v>Unit of Grind &amp; Pkng Plant &amp; Term Proc.</v>
          </cell>
        </row>
        <row r="753">
          <cell r="A753">
            <v>5902</v>
          </cell>
          <cell r="B753" t="str">
            <v>8712069</v>
          </cell>
          <cell r="C753">
            <v>50070752</v>
          </cell>
          <cell r="D753" t="str">
            <v>HENDRA</v>
          </cell>
          <cell r="E753" t="str">
            <v>NTT TSO</v>
          </cell>
          <cell r="F753" t="str">
            <v>Supervisor</v>
          </cell>
          <cell r="G753" t="str">
            <v>President Directorate</v>
          </cell>
          <cell r="H753" t="str">
            <v>Dept. of Sales</v>
          </cell>
          <cell r="I753" t="str">
            <v>Unit of Sales 2</v>
          </cell>
          <cell r="J753" t="str">
            <v>Section of NTT</v>
          </cell>
        </row>
        <row r="754">
          <cell r="A754">
            <v>5903</v>
          </cell>
          <cell r="B754" t="str">
            <v>8712071</v>
          </cell>
          <cell r="C754">
            <v>50066421</v>
          </cell>
          <cell r="D754" t="str">
            <v>ARMAN TAHIR</v>
          </cell>
          <cell r="E754" t="str">
            <v>Spv of Elins Construction</v>
          </cell>
          <cell r="F754" t="str">
            <v>Supervisor</v>
          </cell>
          <cell r="G754" t="str">
            <v>Operation Directorate</v>
          </cell>
          <cell r="H754" t="str">
            <v>Dep. of Project Mngmnt &amp; Maint. Support</v>
          </cell>
          <cell r="I754" t="str">
            <v>Unit of Project Management</v>
          </cell>
          <cell r="J754" t="str">
            <v>Section of Project Execution (Constr.)</v>
          </cell>
        </row>
        <row r="755">
          <cell r="A755">
            <v>5904</v>
          </cell>
          <cell r="B755" t="str">
            <v>8712070</v>
          </cell>
          <cell r="C755">
            <v>50070783</v>
          </cell>
          <cell r="D755" t="str">
            <v>MIFTAHUL KHAER</v>
          </cell>
          <cell r="E755" t="str">
            <v>Sales Process Management Jr Officer</v>
          </cell>
          <cell r="F755" t="str">
            <v>Supervisor</v>
          </cell>
          <cell r="G755" t="str">
            <v>President Directorate</v>
          </cell>
          <cell r="H755" t="str">
            <v>Dept. of Market Planning &amp; Development</v>
          </cell>
          <cell r="I755" t="str">
            <v>Staff of Sales Process Management</v>
          </cell>
        </row>
        <row r="756">
          <cell r="A756">
            <v>5905</v>
          </cell>
          <cell r="B756" t="str">
            <v>8712072</v>
          </cell>
          <cell r="C756">
            <v>50047843</v>
          </cell>
          <cell r="D756" t="str">
            <v>RESKI</v>
          </cell>
          <cell r="E756" t="str">
            <v>PGO Jr Officer</v>
          </cell>
          <cell r="F756" t="str">
            <v>Supervisor</v>
          </cell>
          <cell r="G756" t="str">
            <v>Operation Directorate</v>
          </cell>
          <cell r="H756" t="str">
            <v>Dept. of Maintenance</v>
          </cell>
          <cell r="I756" t="str">
            <v>Unit of Reliability Maintenance</v>
          </cell>
          <cell r="J756" t="str">
            <v>Staff of PGO</v>
          </cell>
        </row>
        <row r="757">
          <cell r="A757">
            <v>5906</v>
          </cell>
          <cell r="B757" t="str">
            <v>8712073</v>
          </cell>
          <cell r="C757">
            <v>50070782</v>
          </cell>
          <cell r="D757" t="str">
            <v>ILHAM RAHMAN, ST.</v>
          </cell>
          <cell r="E757" t="str">
            <v>Sales Process Management Jr Officer</v>
          </cell>
          <cell r="F757" t="str">
            <v>Supervisor</v>
          </cell>
          <cell r="G757" t="str">
            <v>President Directorate</v>
          </cell>
          <cell r="H757" t="str">
            <v>Dept. of Market Planning &amp; Development</v>
          </cell>
          <cell r="I757" t="str">
            <v>Staff of Sales Process Management</v>
          </cell>
        </row>
        <row r="758">
          <cell r="A758">
            <v>5907</v>
          </cell>
          <cell r="B758" t="str">
            <v>8712074</v>
          </cell>
          <cell r="C758">
            <v>50008290</v>
          </cell>
          <cell r="D758" t="str">
            <v>ZULKARNAEN</v>
          </cell>
          <cell r="E758" t="str">
            <v>Spv of Water Treatment Maintenance</v>
          </cell>
          <cell r="F758" t="str">
            <v>Supervisor</v>
          </cell>
          <cell r="G758" t="str">
            <v>Operation Directorate</v>
          </cell>
          <cell r="H758" t="str">
            <v>Dept. of Production Planning &amp; Control</v>
          </cell>
          <cell r="I758" t="str">
            <v>Unit of Production Support</v>
          </cell>
          <cell r="J758" t="str">
            <v>Section of Utility</v>
          </cell>
        </row>
        <row r="759">
          <cell r="A759">
            <v>5908</v>
          </cell>
          <cell r="B759" t="str">
            <v>8712075</v>
          </cell>
          <cell r="C759">
            <v>50069107</v>
          </cell>
          <cell r="D759" t="str">
            <v>RUSTAN</v>
          </cell>
          <cell r="E759" t="str">
            <v>Spv of Line 4 Packer &amp; Bulk Field</v>
          </cell>
          <cell r="F759" t="str">
            <v>Supervisor</v>
          </cell>
          <cell r="G759" t="str">
            <v>Operation Directorate</v>
          </cell>
          <cell r="H759" t="str">
            <v>Dept. of Infrastructure</v>
          </cell>
          <cell r="I759" t="str">
            <v>Unit of Plant &amp; Port Prod Discharge Opr</v>
          </cell>
          <cell r="J759" t="str">
            <v>Section of Plant Site Packer &amp; Bulk Opr</v>
          </cell>
        </row>
        <row r="760">
          <cell r="A760">
            <v>5909</v>
          </cell>
          <cell r="B760" t="str">
            <v>8712076</v>
          </cell>
          <cell r="C760">
            <v>50069451</v>
          </cell>
          <cell r="D760" t="str">
            <v>ST.ZAENAB, S.KM.</v>
          </cell>
          <cell r="E760" t="str">
            <v>Service Planning Jr Officer</v>
          </cell>
          <cell r="F760" t="str">
            <v>Supervisor</v>
          </cell>
          <cell r="G760" t="str">
            <v>Operation Directorate</v>
          </cell>
          <cell r="H760" t="str">
            <v>Dep. of Project Mngmnt &amp; Maint. Support</v>
          </cell>
          <cell r="I760" t="str">
            <v>Unit of Maintenance Planning &amp; Eval.</v>
          </cell>
          <cell r="J760" t="str">
            <v>Staff of Service Planning</v>
          </cell>
        </row>
        <row r="761">
          <cell r="A761">
            <v>5910</v>
          </cell>
          <cell r="B761" t="str">
            <v>8712077</v>
          </cell>
          <cell r="C761">
            <v>50071446</v>
          </cell>
          <cell r="D761" t="str">
            <v>TASMIR</v>
          </cell>
          <cell r="E761" t="str">
            <v>E Treasury Adm Officer</v>
          </cell>
          <cell r="F761" t="str">
            <v>Associate</v>
          </cell>
          <cell r="G761" t="str">
            <v>Finance Risk Mgmt &amp; General Directorate</v>
          </cell>
          <cell r="H761" t="str">
            <v>Department of Finance &amp; Accounting</v>
          </cell>
          <cell r="I761" t="str">
            <v>Unit of Finance</v>
          </cell>
          <cell r="J761" t="str">
            <v>Section of Treasury</v>
          </cell>
        </row>
        <row r="762">
          <cell r="A762">
            <v>5911</v>
          </cell>
          <cell r="B762" t="str">
            <v>8712078</v>
          </cell>
          <cell r="C762">
            <v>50070670</v>
          </cell>
          <cell r="D762" t="str">
            <v>SUPARDI D., ST.</v>
          </cell>
          <cell r="E762" t="str">
            <v>ASM of Sulbar &amp; Sulteng</v>
          </cell>
          <cell r="F762" t="str">
            <v>Manager</v>
          </cell>
          <cell r="G762" t="str">
            <v>President Directorate</v>
          </cell>
          <cell r="H762" t="str">
            <v>Dept. of Sales</v>
          </cell>
          <cell r="I762" t="str">
            <v>Unit of Sales 1</v>
          </cell>
          <cell r="J762" t="str">
            <v>Section of Sulbar &amp; Sulteng</v>
          </cell>
        </row>
        <row r="763">
          <cell r="A763">
            <v>5912</v>
          </cell>
          <cell r="B763" t="str">
            <v>8712079</v>
          </cell>
          <cell r="C763">
            <v>50070747</v>
          </cell>
          <cell r="D763" t="str">
            <v>NURYADIN SUDARMAN, AMD.</v>
          </cell>
          <cell r="E763" t="str">
            <v>Maluku &amp; Maluku Utara TSO</v>
          </cell>
          <cell r="F763" t="str">
            <v>Supervisor</v>
          </cell>
          <cell r="G763" t="str">
            <v>President Directorate</v>
          </cell>
          <cell r="H763" t="str">
            <v>Dept. of Sales</v>
          </cell>
          <cell r="I763" t="str">
            <v>Unit of Sales 2</v>
          </cell>
          <cell r="J763" t="str">
            <v>Section of Maluku &amp; Maluku Utara</v>
          </cell>
        </row>
        <row r="764">
          <cell r="A764">
            <v>5913</v>
          </cell>
          <cell r="B764" t="str">
            <v>8712080</v>
          </cell>
          <cell r="C764">
            <v>50066379</v>
          </cell>
          <cell r="D764" t="str">
            <v>AFRIYANTO DAHLAN</v>
          </cell>
          <cell r="E764" t="str">
            <v>Spare Part Planning Jr Officer</v>
          </cell>
          <cell r="F764" t="str">
            <v>Supervisor</v>
          </cell>
          <cell r="G764" t="str">
            <v>Operation Directorate</v>
          </cell>
          <cell r="H764" t="str">
            <v>Dep. of Project Mngmnt &amp; Maint. Support</v>
          </cell>
          <cell r="I764" t="str">
            <v>Unit of Maintenance Planning &amp; Eval.</v>
          </cell>
          <cell r="J764" t="str">
            <v>Staff of Spare Part Planning</v>
          </cell>
        </row>
        <row r="765">
          <cell r="A765">
            <v>5914</v>
          </cell>
          <cell r="B765" t="str">
            <v>8712081</v>
          </cell>
          <cell r="C765">
            <v>50024213</v>
          </cell>
          <cell r="D765" t="str">
            <v>AKMAL</v>
          </cell>
          <cell r="E765" t="str">
            <v>PdM &amp; PM Sch PP Machine Maint Jr officer</v>
          </cell>
          <cell r="F765" t="str">
            <v>Supervisor</v>
          </cell>
          <cell r="G765" t="str">
            <v>Operation Directorate</v>
          </cell>
          <cell r="H765" t="str">
            <v>Dept. of Mining &amp; Power Plant</v>
          </cell>
          <cell r="I765" t="str">
            <v>Unit of Power Plant Machine Maint</v>
          </cell>
          <cell r="J765" t="str">
            <v>Section of Power Plant Machine Maint</v>
          </cell>
        </row>
        <row r="766">
          <cell r="A766">
            <v>5915</v>
          </cell>
          <cell r="B766" t="str">
            <v>8712082</v>
          </cell>
          <cell r="C766">
            <v>50069398</v>
          </cell>
          <cell r="D766" t="str">
            <v>DARWIS R.</v>
          </cell>
          <cell r="E766" t="str">
            <v>Spv of Line 5 KIln Field</v>
          </cell>
          <cell r="F766" t="str">
            <v>Supervisor</v>
          </cell>
          <cell r="G766" t="str">
            <v>Operation Directorate</v>
          </cell>
          <cell r="H766" t="str">
            <v>Dept. of Clinker &amp; Cement Production</v>
          </cell>
          <cell r="I766" t="str">
            <v>Unit of Clinker Production</v>
          </cell>
          <cell r="J766" t="str">
            <v>Section of Line 5 RKC Operation</v>
          </cell>
        </row>
        <row r="767">
          <cell r="A767">
            <v>5916</v>
          </cell>
          <cell r="B767" t="str">
            <v>8712083</v>
          </cell>
          <cell r="C767">
            <v>50069540</v>
          </cell>
          <cell r="D767" t="str">
            <v>JUNAEDY S., ST.</v>
          </cell>
          <cell r="E767" t="str">
            <v>Spv of Line 5 RKCM Instr PdM &amp; PM Schd</v>
          </cell>
          <cell r="F767" t="str">
            <v>Supervisor</v>
          </cell>
          <cell r="G767" t="str">
            <v>Operation Directorate</v>
          </cell>
          <cell r="H767" t="str">
            <v>Dept. of Maintenance</v>
          </cell>
          <cell r="I767" t="str">
            <v>Unit of Elins Maintenance 2</v>
          </cell>
          <cell r="J767" t="str">
            <v>Section of Line 4/5 RKC Instr. Maint.</v>
          </cell>
        </row>
        <row r="768">
          <cell r="A768">
            <v>5917</v>
          </cell>
          <cell r="B768" t="str">
            <v>8712084</v>
          </cell>
          <cell r="C768">
            <v>50069171</v>
          </cell>
          <cell r="D768" t="str">
            <v>RACHMAH AMALIA YUSUF</v>
          </cell>
          <cell r="E768" t="str">
            <v>Spv of Technical Service</v>
          </cell>
          <cell r="F768" t="str">
            <v>Supervisor</v>
          </cell>
          <cell r="G768" t="str">
            <v>Operation Directorate</v>
          </cell>
          <cell r="I768" t="str">
            <v>Unit of Quality Assurance</v>
          </cell>
          <cell r="J768" t="str">
            <v>Section of Cement App &amp; Tech Service</v>
          </cell>
        </row>
        <row r="769">
          <cell r="A769">
            <v>5918</v>
          </cell>
          <cell r="B769" t="str">
            <v>8712085</v>
          </cell>
          <cell r="C769">
            <v>50071434</v>
          </cell>
          <cell r="D769" t="str">
            <v>NUR AMALINI</v>
          </cell>
          <cell r="E769" t="str">
            <v>Performance &amp; Talent Mgmt Jr Officer</v>
          </cell>
          <cell r="F769" t="str">
            <v>Supervisor</v>
          </cell>
          <cell r="G769" t="str">
            <v>Finance Risk Mgmt &amp; General Directorate</v>
          </cell>
          <cell r="H769" t="str">
            <v>Department of Human Capital &amp; GRC</v>
          </cell>
          <cell r="I769" t="str">
            <v>Unit of HC Planning &amp; Development</v>
          </cell>
          <cell r="J769" t="str">
            <v>Section of Performance &amp; Talent Mgmt</v>
          </cell>
        </row>
        <row r="770">
          <cell r="A770">
            <v>5919</v>
          </cell>
          <cell r="B770" t="str">
            <v>8712086</v>
          </cell>
          <cell r="C770">
            <v>50069177</v>
          </cell>
          <cell r="D770" t="str">
            <v>FITRAH ROSLAN, S.KM.</v>
          </cell>
          <cell r="E770" t="str">
            <v>Cement App Lab Analyst Jr Officer</v>
          </cell>
          <cell r="F770" t="str">
            <v>Supervisor</v>
          </cell>
          <cell r="G770" t="str">
            <v>Operation Directorate</v>
          </cell>
          <cell r="I770" t="str">
            <v>Unit of Quality Assurance</v>
          </cell>
          <cell r="J770" t="str">
            <v>Section of Cement App &amp; Tech Service</v>
          </cell>
        </row>
        <row r="771">
          <cell r="A771">
            <v>5920</v>
          </cell>
          <cell r="B771" t="str">
            <v>8712087</v>
          </cell>
          <cell r="C771">
            <v>50069585</v>
          </cell>
          <cell r="D771" t="str">
            <v>RIDWAN RASYID</v>
          </cell>
          <cell r="E771" t="str">
            <v>Troubleshooting Jr Officer</v>
          </cell>
          <cell r="F771" t="str">
            <v>Supervisor</v>
          </cell>
          <cell r="G771" t="str">
            <v>Operation Directorate</v>
          </cell>
          <cell r="H771" t="str">
            <v>Dept. of Maintenance</v>
          </cell>
          <cell r="I771" t="str">
            <v>Unit of Reliability Maintenance</v>
          </cell>
          <cell r="J771" t="str">
            <v>Staff of Troubleshooting</v>
          </cell>
        </row>
        <row r="772">
          <cell r="A772">
            <v>5921</v>
          </cell>
          <cell r="B772" t="str">
            <v>8712088</v>
          </cell>
          <cell r="C772">
            <v>50055830</v>
          </cell>
          <cell r="D772" t="str">
            <v>ASNUR</v>
          </cell>
          <cell r="E772" t="str">
            <v>Line 2/3 CCR FM Jr Officer</v>
          </cell>
          <cell r="F772" t="str">
            <v>Supervisor</v>
          </cell>
          <cell r="G772" t="str">
            <v>Operation Directorate</v>
          </cell>
          <cell r="H772" t="str">
            <v>Dept. of Clinker &amp; Cement Production</v>
          </cell>
          <cell r="I772" t="str">
            <v>Unit of Cement Production</v>
          </cell>
          <cell r="J772" t="str">
            <v>Section of Line 2/3 FM Operation</v>
          </cell>
        </row>
        <row r="773">
          <cell r="A773">
            <v>5922</v>
          </cell>
          <cell r="B773" t="str">
            <v>8712089</v>
          </cell>
          <cell r="C773">
            <v>50052664</v>
          </cell>
          <cell r="D773" t="str">
            <v>SYAIFUL BACHRI, SE.</v>
          </cell>
          <cell r="E773" t="str">
            <v>Production Planning Jr Officer</v>
          </cell>
          <cell r="F773" t="str">
            <v>Supervisor</v>
          </cell>
          <cell r="G773" t="str">
            <v>Operation Directorate</v>
          </cell>
          <cell r="H773" t="str">
            <v>Dept. of Production Planning &amp; Control</v>
          </cell>
          <cell r="I773" t="str">
            <v>Unit of Prod. Plan Eval. &amp; Environmental</v>
          </cell>
          <cell r="J773" t="str">
            <v>Section of Production Planning</v>
          </cell>
        </row>
        <row r="774">
          <cell r="A774">
            <v>5923</v>
          </cell>
          <cell r="B774" t="str">
            <v>8712131</v>
          </cell>
          <cell r="C774">
            <v>50069507</v>
          </cell>
          <cell r="D774" t="str">
            <v>JASMIN</v>
          </cell>
          <cell r="E774" t="str">
            <v>Spv of Line 5 Kiln&amp;CM Mech PdM&amp;PM Schd</v>
          </cell>
          <cell r="F774" t="str">
            <v>Supervisor</v>
          </cell>
          <cell r="G774" t="str">
            <v>Operation Directorate</v>
          </cell>
          <cell r="H774" t="str">
            <v>Dept. of Maintenance</v>
          </cell>
          <cell r="I774" t="str">
            <v>Unit of Machine Maintenance 2</v>
          </cell>
          <cell r="J774" t="str">
            <v>Section of Line 4/5 Kiln &amp; CM Mach Maint</v>
          </cell>
        </row>
        <row r="775">
          <cell r="A775">
            <v>5924</v>
          </cell>
          <cell r="B775" t="str">
            <v>8712090</v>
          </cell>
          <cell r="C775">
            <v>50071551</v>
          </cell>
          <cell r="D775" t="str">
            <v>MAPPIARE, AMD.</v>
          </cell>
          <cell r="E775" t="str">
            <v>Inbound &amp; Billing Admin. Jr Officer</v>
          </cell>
          <cell r="F775" t="str">
            <v>Supervisor</v>
          </cell>
          <cell r="G775" t="str">
            <v>Finance Risk Mgmt &amp; General Directorate</v>
          </cell>
          <cell r="I775" t="str">
            <v>Unit of Warehouse</v>
          </cell>
          <cell r="J775" t="str">
            <v>Section of Inbound &amp; Billing Admin.</v>
          </cell>
        </row>
        <row r="776">
          <cell r="A776">
            <v>5925</v>
          </cell>
          <cell r="B776" t="str">
            <v>8712091</v>
          </cell>
          <cell r="C776">
            <v>50066251</v>
          </cell>
          <cell r="D776" t="str">
            <v>ARDINI ANSAR, ST.</v>
          </cell>
          <cell r="E776" t="str">
            <v>Civil Design Engineer Jr Officer</v>
          </cell>
          <cell r="F776" t="str">
            <v>Supervisor</v>
          </cell>
          <cell r="G776" t="str">
            <v>Operation Directorate</v>
          </cell>
          <cell r="H776" t="str">
            <v>Dep. of Project Mngmnt &amp; Maint. Support</v>
          </cell>
          <cell r="I776" t="str">
            <v>Unit of Engineering</v>
          </cell>
          <cell r="J776" t="str">
            <v>Staff of Civil Design Engineer</v>
          </cell>
        </row>
        <row r="777">
          <cell r="A777">
            <v>5926</v>
          </cell>
          <cell r="B777" t="str">
            <v>8712092</v>
          </cell>
          <cell r="C777">
            <v>50007895</v>
          </cell>
          <cell r="D777" t="str">
            <v>SANDI</v>
          </cell>
          <cell r="E777" t="str">
            <v>Spv of Line 4 FM Elins PvM</v>
          </cell>
          <cell r="F777" t="str">
            <v>Supervisor</v>
          </cell>
          <cell r="G777" t="str">
            <v>Operation Directorate</v>
          </cell>
          <cell r="H777" t="str">
            <v>Dept. of Maintenance</v>
          </cell>
          <cell r="I777" t="str">
            <v>Unit of Elins Maintenance 2</v>
          </cell>
          <cell r="J777" t="str">
            <v>Section of Line 4/5 FM Elins Maint</v>
          </cell>
        </row>
        <row r="778">
          <cell r="A778">
            <v>5927</v>
          </cell>
          <cell r="B778" t="str">
            <v>8712093</v>
          </cell>
          <cell r="C778">
            <v>50023554</v>
          </cell>
          <cell r="D778" t="str">
            <v>IRFAN</v>
          </cell>
          <cell r="E778" t="str">
            <v>Mgr of Electrical Network Maint</v>
          </cell>
          <cell r="F778" t="str">
            <v>Manager</v>
          </cell>
          <cell r="G778" t="str">
            <v>Operation Directorate</v>
          </cell>
          <cell r="H778" t="str">
            <v>Dept. of Mining &amp; Power Plant</v>
          </cell>
          <cell r="I778" t="str">
            <v>Unit of Power Distribution</v>
          </cell>
          <cell r="J778" t="str">
            <v>Section of Electrical Network Maint</v>
          </cell>
        </row>
        <row r="779">
          <cell r="A779">
            <v>5929</v>
          </cell>
          <cell r="B779" t="str">
            <v>8712095</v>
          </cell>
          <cell r="C779">
            <v>50069698</v>
          </cell>
          <cell r="D779" t="str">
            <v>MUHAMMAD IKBAL</v>
          </cell>
          <cell r="E779" t="str">
            <v>Spv of PP Troubleshooting</v>
          </cell>
          <cell r="F779" t="str">
            <v>Supervisor</v>
          </cell>
          <cell r="G779" t="str">
            <v>Operation Directorate</v>
          </cell>
          <cell r="H779" t="str">
            <v>Dept. of Mining &amp; Power Plant</v>
          </cell>
          <cell r="I779" t="str">
            <v>Unit of Power Distribution</v>
          </cell>
          <cell r="J779" t="str">
            <v>Section of Electricity Load Control</v>
          </cell>
        </row>
        <row r="780">
          <cell r="A780">
            <v>5930</v>
          </cell>
          <cell r="B780" t="str">
            <v>8712096</v>
          </cell>
          <cell r="C780">
            <v>50007880</v>
          </cell>
          <cell r="D780" t="str">
            <v>AWAL WAHID, S.Pd.</v>
          </cell>
          <cell r="E780" t="str">
            <v>Spv of Line 4 Kiln&amp;CM Mach PdM&amp;PM Schd</v>
          </cell>
          <cell r="F780" t="str">
            <v>Supervisor</v>
          </cell>
          <cell r="G780" t="str">
            <v>Operation Directorate</v>
          </cell>
          <cell r="H780" t="str">
            <v>Dept. of Maintenance</v>
          </cell>
          <cell r="I780" t="str">
            <v>Unit of Machine Maintenance 2</v>
          </cell>
          <cell r="J780" t="str">
            <v>Section of Line 4/5 Kiln &amp; CM Mach Maint</v>
          </cell>
        </row>
        <row r="781">
          <cell r="A781">
            <v>5931</v>
          </cell>
          <cell r="B781" t="str">
            <v>8712097</v>
          </cell>
          <cell r="C781">
            <v>50070138</v>
          </cell>
          <cell r="D781" t="str">
            <v>NASRULLAH</v>
          </cell>
          <cell r="E781" t="str">
            <v>Procurement Jr Officer</v>
          </cell>
          <cell r="F781" t="str">
            <v>Supervisor</v>
          </cell>
          <cell r="G781" t="str">
            <v>Direktorat Human Capital</v>
          </cell>
          <cell r="H781" t="str">
            <v>Department of Energy &amp; Materials Proc.</v>
          </cell>
          <cell r="I781" t="str">
            <v>Unit of Import Management</v>
          </cell>
        </row>
        <row r="782">
          <cell r="A782">
            <v>5932</v>
          </cell>
          <cell r="B782" t="str">
            <v>8712098</v>
          </cell>
          <cell r="C782">
            <v>50069521</v>
          </cell>
          <cell r="D782" t="str">
            <v>WAHYU</v>
          </cell>
          <cell r="E782" t="str">
            <v>Spv of Line 5 RKC Elctr PdM &amp; PM Schd</v>
          </cell>
          <cell r="F782" t="str">
            <v>Supervisor</v>
          </cell>
          <cell r="G782" t="str">
            <v>Operation Directorate</v>
          </cell>
          <cell r="H782" t="str">
            <v>Dept. of Maintenance</v>
          </cell>
          <cell r="I782" t="str">
            <v>Unit of Elins Maintenance 2</v>
          </cell>
          <cell r="J782" t="str">
            <v>Section of Line 4/5 RKC Elctr. Maint.</v>
          </cell>
        </row>
        <row r="783">
          <cell r="A783">
            <v>5933</v>
          </cell>
          <cell r="B783" t="str">
            <v>8712099</v>
          </cell>
          <cell r="C783">
            <v>50070770</v>
          </cell>
          <cell r="D783" t="str">
            <v>OKTOVIANUS PAREKEN, SE</v>
          </cell>
          <cell r="E783" t="str">
            <v>MI, Sales Planning &amp; Evaluation Officer</v>
          </cell>
          <cell r="F783" t="str">
            <v>Manager</v>
          </cell>
          <cell r="G783" t="str">
            <v>President Directorate</v>
          </cell>
          <cell r="H783" t="str">
            <v>Dept. of Market Planning &amp; Development</v>
          </cell>
          <cell r="I783" t="str">
            <v>Unit of Market Intel. Channel &amp; SF Mgmt</v>
          </cell>
          <cell r="J783" t="str">
            <v>Staff of MI, Sales Planning &amp; Evaluation</v>
          </cell>
        </row>
        <row r="784">
          <cell r="A784">
            <v>5934</v>
          </cell>
          <cell r="B784" t="str">
            <v>8712100</v>
          </cell>
          <cell r="C784">
            <v>50069146</v>
          </cell>
          <cell r="D784" t="str">
            <v>WIRYANTO SOMALINGGI, AMAK</v>
          </cell>
          <cell r="E784" t="str">
            <v>Spv of Planner &amp; Calibration</v>
          </cell>
          <cell r="F784" t="str">
            <v>Supervisor</v>
          </cell>
          <cell r="G784" t="str">
            <v>Operation Directorate</v>
          </cell>
          <cell r="I784" t="str">
            <v>Unit of Quality Assurance</v>
          </cell>
        </row>
        <row r="785">
          <cell r="A785">
            <v>5935</v>
          </cell>
          <cell r="B785" t="str">
            <v>8712101</v>
          </cell>
          <cell r="C785">
            <v>50071163</v>
          </cell>
          <cell r="D785" t="str">
            <v>ARIZAL BAKRI, ST.</v>
          </cell>
          <cell r="E785" t="str">
            <v>E Tech of AFR &amp; 3rd Material (shift)</v>
          </cell>
          <cell r="F785" t="str">
            <v>Associate</v>
          </cell>
          <cell r="G785" t="str">
            <v>Operation Directorate</v>
          </cell>
          <cell r="H785" t="str">
            <v>Dept. of Production Planning &amp; Control</v>
          </cell>
          <cell r="I785" t="str">
            <v>Unit of AFR &amp; Energy</v>
          </cell>
          <cell r="J785" t="str">
            <v>Section of AFR &amp; 3rd Material</v>
          </cell>
        </row>
        <row r="786">
          <cell r="A786">
            <v>5936</v>
          </cell>
          <cell r="B786" t="str">
            <v>8712102</v>
          </cell>
          <cell r="C786">
            <v>50071475</v>
          </cell>
          <cell r="D786" t="str">
            <v>AHMAD, S.Pd.</v>
          </cell>
          <cell r="E786" t="str">
            <v>Mgr of HC OD &amp; Career Management</v>
          </cell>
          <cell r="F786" t="str">
            <v>Manager</v>
          </cell>
          <cell r="G786" t="str">
            <v>Finance Risk Mgmt &amp; General Directorate</v>
          </cell>
          <cell r="H786" t="str">
            <v>Department of Human Capital &amp; GRC</v>
          </cell>
          <cell r="I786" t="str">
            <v>Unit of HC Planning &amp; Development</v>
          </cell>
          <cell r="J786" t="str">
            <v>Section of HC OD &amp; Career Management</v>
          </cell>
        </row>
        <row r="787">
          <cell r="A787">
            <v>5937</v>
          </cell>
          <cell r="B787" t="str">
            <v>8712103</v>
          </cell>
          <cell r="C787">
            <v>50069709</v>
          </cell>
          <cell r="D787" t="str">
            <v>ASGITO</v>
          </cell>
          <cell r="E787" t="str">
            <v>Spv of PP Turbin &amp; Generator Operation</v>
          </cell>
          <cell r="F787" t="str">
            <v>Supervisor</v>
          </cell>
          <cell r="G787" t="str">
            <v>Operation Directorate</v>
          </cell>
          <cell r="H787" t="str">
            <v>Dept. of Mining &amp; Power Plant</v>
          </cell>
          <cell r="I787" t="str">
            <v>Unit of Power Plant Operation</v>
          </cell>
          <cell r="J787" t="str">
            <v>Section of Power Plant Operation</v>
          </cell>
        </row>
        <row r="788">
          <cell r="A788">
            <v>5938</v>
          </cell>
          <cell r="B788" t="str">
            <v>8712104</v>
          </cell>
          <cell r="C788">
            <v>50055789</v>
          </cell>
          <cell r="D788" t="str">
            <v>SULAEMAN</v>
          </cell>
          <cell r="E788" t="str">
            <v>Line 2/3 CCR FM Jr Officer</v>
          </cell>
          <cell r="F788" t="str">
            <v>Supervisor</v>
          </cell>
          <cell r="G788" t="str">
            <v>Operation Directorate</v>
          </cell>
          <cell r="H788" t="str">
            <v>Dept. of Clinker &amp; Cement Production</v>
          </cell>
          <cell r="I788" t="str">
            <v>Unit of Cement Production</v>
          </cell>
          <cell r="J788" t="str">
            <v>Section of Line 2/3 FM Operation</v>
          </cell>
        </row>
        <row r="789">
          <cell r="A789">
            <v>5939</v>
          </cell>
          <cell r="B789" t="str">
            <v>8712105</v>
          </cell>
          <cell r="C789">
            <v>50066381</v>
          </cell>
          <cell r="D789" t="str">
            <v>NURALAM</v>
          </cell>
          <cell r="E789" t="str">
            <v>Field Supporting Jr Officer</v>
          </cell>
          <cell r="F789" t="str">
            <v>Supervisor</v>
          </cell>
          <cell r="G789" t="str">
            <v>Operation Directorate</v>
          </cell>
          <cell r="H789" t="str">
            <v>Dep. of Project Mngmnt &amp; Maint. Support</v>
          </cell>
          <cell r="I789" t="str">
            <v>Unit of Workshop</v>
          </cell>
          <cell r="J789" t="str">
            <v>Staff of Field Supporting</v>
          </cell>
        </row>
        <row r="790">
          <cell r="A790">
            <v>5940</v>
          </cell>
          <cell r="B790" t="str">
            <v>8712106</v>
          </cell>
          <cell r="C790">
            <v>50069689</v>
          </cell>
          <cell r="D790" t="str">
            <v>ABDUL AZIS, ST.</v>
          </cell>
          <cell r="E790" t="str">
            <v>PdM &amp; PM Schedule Instrument Jr Officer</v>
          </cell>
          <cell r="F790" t="str">
            <v>Supervisor</v>
          </cell>
          <cell r="G790" t="str">
            <v>Operation Directorate</v>
          </cell>
          <cell r="H790" t="str">
            <v>Dept. of Mining &amp; Power Plant</v>
          </cell>
          <cell r="I790" t="str">
            <v>Unit of Power Plant Elins Maintenance</v>
          </cell>
          <cell r="J790" t="str">
            <v>Section of Power Plant Instrument Maint.</v>
          </cell>
        </row>
        <row r="791">
          <cell r="A791">
            <v>5941</v>
          </cell>
          <cell r="B791" t="str">
            <v>8712107</v>
          </cell>
          <cell r="C791">
            <v>50069157</v>
          </cell>
          <cell r="D791" t="str">
            <v>TRI KARNO, ST.</v>
          </cell>
          <cell r="E791" t="str">
            <v>Incoming &amp; Sup Material Lab Jr officer</v>
          </cell>
          <cell r="F791" t="str">
            <v>Supervisor</v>
          </cell>
          <cell r="G791" t="str">
            <v>Operation Directorate</v>
          </cell>
          <cell r="I791" t="str">
            <v>Unit of Quality Assurance</v>
          </cell>
          <cell r="J791" t="str">
            <v>Section of Material Quality Assurance</v>
          </cell>
        </row>
        <row r="792">
          <cell r="A792">
            <v>5942</v>
          </cell>
          <cell r="B792" t="str">
            <v>8712108</v>
          </cell>
          <cell r="C792">
            <v>50066475</v>
          </cell>
          <cell r="D792" t="str">
            <v>MUSRIADI, S.Pd.</v>
          </cell>
          <cell r="E792" t="str">
            <v>Planning &amp; Scheduling Jr Officer</v>
          </cell>
          <cell r="F792" t="str">
            <v>Supervisor</v>
          </cell>
          <cell r="G792" t="str">
            <v>Operation Directorate</v>
          </cell>
          <cell r="H792" t="str">
            <v>Dept. of Maintenance</v>
          </cell>
          <cell r="I792" t="str">
            <v>Unit of Reliability Maintenance</v>
          </cell>
          <cell r="J792" t="str">
            <v>Staff of Planning &amp; Scheduling</v>
          </cell>
        </row>
        <row r="793">
          <cell r="A793">
            <v>5943</v>
          </cell>
          <cell r="B793" t="str">
            <v>8712109</v>
          </cell>
          <cell r="C793">
            <v>50069168</v>
          </cell>
          <cell r="D793" t="str">
            <v>ANDINI UMIATI, S.Si.</v>
          </cell>
          <cell r="E793" t="str">
            <v>Physical &amp; Chemical Lab Anal Jr Officer</v>
          </cell>
          <cell r="F793" t="str">
            <v>Supervisor</v>
          </cell>
          <cell r="G793" t="str">
            <v>Operation Directorate</v>
          </cell>
          <cell r="I793" t="str">
            <v>Unit of Quality Assurance</v>
          </cell>
          <cell r="J793" t="str">
            <v>Section of Product Quality Assurance</v>
          </cell>
        </row>
        <row r="794">
          <cell r="A794">
            <v>5944</v>
          </cell>
          <cell r="B794" t="str">
            <v>8712110</v>
          </cell>
          <cell r="C794">
            <v>50070782</v>
          </cell>
          <cell r="D794" t="str">
            <v>ILYAS</v>
          </cell>
          <cell r="E794" t="str">
            <v>Sales Process Management Jr Officer</v>
          </cell>
          <cell r="F794" t="str">
            <v>Supervisor</v>
          </cell>
          <cell r="G794" t="str">
            <v>President Directorate</v>
          </cell>
          <cell r="H794" t="str">
            <v>Dept. of Market Planning &amp; Development</v>
          </cell>
          <cell r="I794" t="str">
            <v>Staff of Sales Process Management</v>
          </cell>
        </row>
        <row r="795">
          <cell r="A795">
            <v>5945</v>
          </cell>
          <cell r="B795" t="str">
            <v>8712111</v>
          </cell>
          <cell r="C795">
            <v>50070730</v>
          </cell>
          <cell r="D795" t="str">
            <v>JUMKHAIRIL, S.Pd.</v>
          </cell>
          <cell r="E795" t="str">
            <v>Kalsel &amp; NTB TSO</v>
          </cell>
          <cell r="F795" t="str">
            <v>Supervisor</v>
          </cell>
          <cell r="G795" t="str">
            <v>President Directorate</v>
          </cell>
          <cell r="H795" t="str">
            <v>Dept. of Sales</v>
          </cell>
          <cell r="I795" t="str">
            <v>Unit of Sales 2</v>
          </cell>
          <cell r="J795" t="str">
            <v>Section of Kalsel &amp; NTB</v>
          </cell>
        </row>
        <row r="796">
          <cell r="A796">
            <v>5946</v>
          </cell>
          <cell r="B796" t="str">
            <v>8712112</v>
          </cell>
          <cell r="C796">
            <v>50069470</v>
          </cell>
          <cell r="D796" t="str">
            <v>ZULKIPLI, ST.</v>
          </cell>
          <cell r="E796" t="str">
            <v>Spv of Line 4/5 QC</v>
          </cell>
          <cell r="F796" t="str">
            <v>Supervisor</v>
          </cell>
          <cell r="G796" t="str">
            <v>Operation Directorate</v>
          </cell>
          <cell r="H796" t="str">
            <v>Dept. of Production Planning &amp; Control</v>
          </cell>
          <cell r="I796" t="str">
            <v>Unit of Quality Control</v>
          </cell>
          <cell r="J796" t="str">
            <v>Section of Quality Control (4/5)</v>
          </cell>
        </row>
        <row r="797">
          <cell r="A797">
            <v>5947</v>
          </cell>
          <cell r="B797" t="str">
            <v>8712113</v>
          </cell>
          <cell r="C797">
            <v>50065477</v>
          </cell>
          <cell r="D797" t="str">
            <v>ZAENAL</v>
          </cell>
          <cell r="E797" t="str">
            <v>Spv of AFR Mach Maint</v>
          </cell>
          <cell r="F797" t="str">
            <v>Supervisor</v>
          </cell>
          <cell r="G797" t="str">
            <v>Operation Directorate</v>
          </cell>
          <cell r="H797" t="str">
            <v>Dept. of Maintenance</v>
          </cell>
          <cell r="I797" t="str">
            <v>Unit of Machine Maintenance 2</v>
          </cell>
          <cell r="J797" t="str">
            <v>Section of Line 4/5 Kiln &amp; CM Mach Maint</v>
          </cell>
        </row>
        <row r="798">
          <cell r="A798">
            <v>5948</v>
          </cell>
          <cell r="B798" t="str">
            <v>8712114</v>
          </cell>
          <cell r="C798">
            <v>50069533</v>
          </cell>
          <cell r="D798" t="str">
            <v>WAHYUDIN</v>
          </cell>
          <cell r="E798" t="str">
            <v>Spv of Line 4 RKCM Instr PdM &amp; PM Schd</v>
          </cell>
          <cell r="F798" t="str">
            <v>Supervisor</v>
          </cell>
          <cell r="G798" t="str">
            <v>Operation Directorate</v>
          </cell>
          <cell r="H798" t="str">
            <v>Dept. of Maintenance</v>
          </cell>
          <cell r="I798" t="str">
            <v>Unit of Elins Maintenance 2</v>
          </cell>
          <cell r="J798" t="str">
            <v>Section of Line 4/5 RKC Instr. Maint.</v>
          </cell>
        </row>
        <row r="799">
          <cell r="A799">
            <v>5949</v>
          </cell>
          <cell r="B799" t="str">
            <v>8712115</v>
          </cell>
          <cell r="C799">
            <v>50069794</v>
          </cell>
          <cell r="D799" t="str">
            <v>ABBAS</v>
          </cell>
          <cell r="E799" t="str">
            <v>Spv of PvM Mach Trass Mill 4</v>
          </cell>
          <cell r="F799" t="str">
            <v>Supervisor</v>
          </cell>
          <cell r="G799" t="str">
            <v>Operation Directorate</v>
          </cell>
          <cell r="H799" t="str">
            <v>Dept. of Maintenance</v>
          </cell>
          <cell r="I799" t="str">
            <v>Unit of Machine Maintenance 2</v>
          </cell>
          <cell r="J799" t="str">
            <v>Section of Line 4/5 FM Machine Maint</v>
          </cell>
        </row>
        <row r="800">
          <cell r="A800">
            <v>5950</v>
          </cell>
          <cell r="B800" t="str">
            <v>8712116</v>
          </cell>
          <cell r="C800">
            <v>50069560</v>
          </cell>
          <cell r="D800" t="str">
            <v>SULHAM</v>
          </cell>
          <cell r="E800" t="str">
            <v>Spv of 5 EP/DC PvM</v>
          </cell>
          <cell r="F800" t="str">
            <v>Supervisor</v>
          </cell>
          <cell r="G800" t="str">
            <v>Operation Directorate</v>
          </cell>
          <cell r="H800" t="str">
            <v>Dept. of Maintenance</v>
          </cell>
          <cell r="I800" t="str">
            <v>Unit of Elins Maintenance 2</v>
          </cell>
          <cell r="J800" t="str">
            <v>Section of EP/DC Maintenance</v>
          </cell>
        </row>
        <row r="801">
          <cell r="A801">
            <v>5951</v>
          </cell>
          <cell r="B801" t="str">
            <v>8812117</v>
          </cell>
          <cell r="C801">
            <v>50068307</v>
          </cell>
          <cell r="D801" t="str">
            <v>A.WALDY IRAWAN, S.M.</v>
          </cell>
          <cell r="E801" t="str">
            <v>MI, Sales Planning &amp; Evaluation Officer</v>
          </cell>
          <cell r="F801" t="str">
            <v>Manager</v>
          </cell>
          <cell r="G801" t="str">
            <v>President Directorate</v>
          </cell>
          <cell r="H801" t="str">
            <v>Dept. of Market Planning &amp; Development</v>
          </cell>
          <cell r="I801" t="str">
            <v>Unit of Market Intel. Channel &amp; SF Mgmt</v>
          </cell>
          <cell r="J801" t="str">
            <v>Staff of MI, Sales Planning &amp; Evaluation</v>
          </cell>
        </row>
        <row r="802">
          <cell r="A802">
            <v>5952</v>
          </cell>
          <cell r="B802" t="str">
            <v>8812124</v>
          </cell>
          <cell r="C802">
            <v>50070706</v>
          </cell>
          <cell r="D802" t="str">
            <v>ILHAM YUSUF</v>
          </cell>
          <cell r="E802" t="str">
            <v>ASM of Sultra, Sulut &amp; Gorontalo</v>
          </cell>
          <cell r="F802" t="str">
            <v>Manager</v>
          </cell>
          <cell r="G802" t="str">
            <v>President Directorate</v>
          </cell>
          <cell r="H802" t="str">
            <v>Dept. of Sales</v>
          </cell>
          <cell r="I802" t="str">
            <v>Unit of Sales 1</v>
          </cell>
          <cell r="J802" t="str">
            <v>Section of Sultra, Sulut &amp; Gorontalo</v>
          </cell>
        </row>
        <row r="803">
          <cell r="A803">
            <v>5953</v>
          </cell>
          <cell r="B803" t="str">
            <v>8812239</v>
          </cell>
          <cell r="C803">
            <v>50069708</v>
          </cell>
          <cell r="D803" t="str">
            <v>ILHAM YUSUF, ST.</v>
          </cell>
          <cell r="E803" t="str">
            <v>Spv of PP Turbin &amp; Generator Operation</v>
          </cell>
          <cell r="F803" t="str">
            <v>Supervisor</v>
          </cell>
          <cell r="G803" t="str">
            <v>Operation Directorate</v>
          </cell>
          <cell r="H803" t="str">
            <v>Dept. of Mining &amp; Power Plant</v>
          </cell>
          <cell r="I803" t="str">
            <v>Unit of Power Plant Operation</v>
          </cell>
          <cell r="J803" t="str">
            <v>Section of Power Plant Operation</v>
          </cell>
        </row>
        <row r="804">
          <cell r="A804">
            <v>5954</v>
          </cell>
          <cell r="B804" t="str">
            <v>8812119</v>
          </cell>
          <cell r="C804">
            <v>50062082</v>
          </cell>
          <cell r="D804" t="str">
            <v>INDRA ARIFIN</v>
          </cell>
          <cell r="E804" t="str">
            <v>Credit Control &amp; Comm. Supp Officer</v>
          </cell>
          <cell r="F804" t="str">
            <v>Manager</v>
          </cell>
          <cell r="G804" t="str">
            <v>Direktorat Keuangan dan Risk Management</v>
          </cell>
          <cell r="H804" t="str">
            <v>Department of Treasury</v>
          </cell>
          <cell r="I804" t="str">
            <v>Unit of Commercial Finance 1</v>
          </cell>
        </row>
        <row r="805">
          <cell r="A805">
            <v>5955</v>
          </cell>
          <cell r="B805" t="str">
            <v>8812120</v>
          </cell>
          <cell r="C805">
            <v>50066613</v>
          </cell>
          <cell r="D805" t="str">
            <v>MUCHLIS L., ST.</v>
          </cell>
          <cell r="E805" t="str">
            <v>Employee Facility Jr Officer</v>
          </cell>
          <cell r="F805" t="str">
            <v>Supervisor</v>
          </cell>
          <cell r="G805" t="str">
            <v>Finance Risk Mgmt &amp; General Directorate</v>
          </cell>
          <cell r="H805" t="str">
            <v>Department of Human Capital &amp; GRC</v>
          </cell>
          <cell r="I805" t="str">
            <v>Unit of HC Operational</v>
          </cell>
          <cell r="J805" t="str">
            <v>Section of Employee Facility</v>
          </cell>
        </row>
        <row r="806">
          <cell r="A806">
            <v>5956</v>
          </cell>
          <cell r="B806" t="str">
            <v>8812121</v>
          </cell>
          <cell r="C806">
            <v>50069789</v>
          </cell>
          <cell r="D806" t="str">
            <v>DANDI AFRIANDI</v>
          </cell>
          <cell r="E806" t="str">
            <v>Spv of Line 5 FM Mach PdM&amp; PM Schedule</v>
          </cell>
          <cell r="F806" t="str">
            <v>Supervisor</v>
          </cell>
          <cell r="G806" t="str">
            <v>Operation Directorate</v>
          </cell>
          <cell r="H806" t="str">
            <v>Dept. of Maintenance</v>
          </cell>
          <cell r="I806" t="str">
            <v>Unit of Machine Maintenance 2</v>
          </cell>
          <cell r="J806" t="str">
            <v>Section of Line 4/5 FM Machine Maint</v>
          </cell>
        </row>
        <row r="807">
          <cell r="A807">
            <v>5957</v>
          </cell>
          <cell r="B807" t="str">
            <v>8812122</v>
          </cell>
          <cell r="C807">
            <v>50055785</v>
          </cell>
          <cell r="D807" t="str">
            <v>MURSALIM</v>
          </cell>
          <cell r="E807" t="str">
            <v>Spv of CCR RKC 5</v>
          </cell>
          <cell r="F807" t="str">
            <v>Supervisor</v>
          </cell>
          <cell r="G807" t="str">
            <v>Operation Directorate</v>
          </cell>
          <cell r="H807" t="str">
            <v>Dept. of Clinker &amp; Cement Production</v>
          </cell>
          <cell r="I807" t="str">
            <v>Unit of Clinker Production</v>
          </cell>
          <cell r="J807" t="str">
            <v>Section of Line 5 RKC Operation</v>
          </cell>
        </row>
        <row r="808">
          <cell r="A808">
            <v>5958</v>
          </cell>
          <cell r="B808" t="str">
            <v>8812123</v>
          </cell>
          <cell r="C808">
            <v>50069543</v>
          </cell>
          <cell r="D808" t="str">
            <v>ASWANDI SYAMSUL</v>
          </cell>
          <cell r="E808" t="str">
            <v>Spv of Line 5 RKCM Instr PvM</v>
          </cell>
          <cell r="F808" t="str">
            <v>Supervisor</v>
          </cell>
          <cell r="G808" t="str">
            <v>Operation Directorate</v>
          </cell>
          <cell r="H808" t="str">
            <v>Dept. of Maintenance</v>
          </cell>
          <cell r="I808" t="str">
            <v>Unit of Elins Maintenance 2</v>
          </cell>
          <cell r="J808" t="str">
            <v>Section of Line 4/5 RKC Instr. Maint.</v>
          </cell>
        </row>
        <row r="809">
          <cell r="A809">
            <v>5959</v>
          </cell>
          <cell r="B809" t="str">
            <v>8812125</v>
          </cell>
          <cell r="C809">
            <v>50055829</v>
          </cell>
          <cell r="D809" t="str">
            <v>ABD.AZIS, ST.</v>
          </cell>
          <cell r="E809" t="str">
            <v>Line 4 CCR FM Jr Officer</v>
          </cell>
          <cell r="F809" t="str">
            <v>Supervisor</v>
          </cell>
          <cell r="G809" t="str">
            <v>Operation Directorate</v>
          </cell>
          <cell r="H809" t="str">
            <v>Dept. of Clinker &amp; Cement Production</v>
          </cell>
          <cell r="I809" t="str">
            <v>Unit of Cement Production</v>
          </cell>
          <cell r="J809" t="str">
            <v>Section of Line 4 Finish Mill Operation</v>
          </cell>
        </row>
        <row r="810">
          <cell r="A810">
            <v>5960</v>
          </cell>
          <cell r="B810" t="str">
            <v>8812126</v>
          </cell>
          <cell r="C810">
            <v>50069515</v>
          </cell>
          <cell r="D810" t="str">
            <v>SYAHRIR</v>
          </cell>
          <cell r="E810" t="str">
            <v>Spv of Line 4 RKC Elctr PdM &amp; PM Schdl</v>
          </cell>
          <cell r="F810" t="str">
            <v>Supervisor</v>
          </cell>
          <cell r="G810" t="str">
            <v>Operation Directorate</v>
          </cell>
          <cell r="H810" t="str">
            <v>Dept. of Maintenance</v>
          </cell>
          <cell r="I810" t="str">
            <v>Unit of Elins Maintenance 2</v>
          </cell>
          <cell r="J810" t="str">
            <v>Section of Line 4/5 RKC Elctr. Maint.</v>
          </cell>
        </row>
        <row r="811">
          <cell r="A811">
            <v>5961</v>
          </cell>
          <cell r="B811" t="str">
            <v>8812127</v>
          </cell>
          <cell r="C811">
            <v>50066814</v>
          </cell>
          <cell r="D811" t="str">
            <v>SUARDI</v>
          </cell>
          <cell r="E811" t="str">
            <v>Spv of Line 2/3/4/5 Crusher Elins PvM</v>
          </cell>
          <cell r="F811" t="str">
            <v>Supervisor</v>
          </cell>
          <cell r="G811" t="str">
            <v>Operation Directorate</v>
          </cell>
          <cell r="H811" t="str">
            <v>Dept. of Maintenance</v>
          </cell>
          <cell r="I811" t="str">
            <v>Unit of Elins Maintenance 1</v>
          </cell>
          <cell r="J811" t="str">
            <v>Section of Crusher Elins Maintenance</v>
          </cell>
        </row>
        <row r="812">
          <cell r="A812">
            <v>5962</v>
          </cell>
          <cell r="B812" t="str">
            <v>8812129</v>
          </cell>
          <cell r="C812">
            <v>50066449</v>
          </cell>
          <cell r="D812" t="str">
            <v>ANSAR ACO, ST.</v>
          </cell>
          <cell r="E812" t="str">
            <v>Planning &amp; Scheduling Jr Officer</v>
          </cell>
          <cell r="F812" t="str">
            <v>Supervisor</v>
          </cell>
          <cell r="G812" t="str">
            <v>Operation Directorate</v>
          </cell>
          <cell r="H812" t="str">
            <v>Dept. of Maintenance</v>
          </cell>
          <cell r="I812" t="str">
            <v>Unit of Reliability Maintenance</v>
          </cell>
          <cell r="J812" t="str">
            <v>Staff of Planning &amp; Scheduling</v>
          </cell>
        </row>
        <row r="813">
          <cell r="A813">
            <v>5963</v>
          </cell>
          <cell r="B813" t="str">
            <v>8812130</v>
          </cell>
          <cell r="C813">
            <v>50069522</v>
          </cell>
          <cell r="D813" t="str">
            <v>SULAIMAN</v>
          </cell>
          <cell r="E813" t="str">
            <v>Spv of Line 5 RKC Elctr PdM &amp; PM Schd</v>
          </cell>
          <cell r="F813" t="str">
            <v>Supervisor</v>
          </cell>
          <cell r="G813" t="str">
            <v>Operation Directorate</v>
          </cell>
          <cell r="H813" t="str">
            <v>Dept. of Maintenance</v>
          </cell>
          <cell r="I813" t="str">
            <v>Unit of Elins Maintenance 2</v>
          </cell>
          <cell r="J813" t="str">
            <v>Section of Line 4/5 RKC Elctr. Maint.</v>
          </cell>
        </row>
        <row r="814">
          <cell r="A814">
            <v>5964</v>
          </cell>
          <cell r="B814" t="str">
            <v>8812132</v>
          </cell>
          <cell r="C814">
            <v>50047842</v>
          </cell>
          <cell r="D814" t="str">
            <v>ZULKIFLI JAMALUDDIN</v>
          </cell>
          <cell r="E814" t="str">
            <v>PGO Jr Officer</v>
          </cell>
          <cell r="F814" t="str">
            <v>Supervisor</v>
          </cell>
          <cell r="G814" t="str">
            <v>Operation Directorate</v>
          </cell>
          <cell r="H814" t="str">
            <v>Dept. of Maintenance</v>
          </cell>
          <cell r="I814" t="str">
            <v>Unit of Reliability Maintenance</v>
          </cell>
          <cell r="J814" t="str">
            <v>Staff of PGO</v>
          </cell>
        </row>
        <row r="815">
          <cell r="A815">
            <v>5965</v>
          </cell>
          <cell r="B815" t="str">
            <v>8812133</v>
          </cell>
          <cell r="C815">
            <v>50069441</v>
          </cell>
          <cell r="D815" t="str">
            <v>RUSLI, AMD.</v>
          </cell>
          <cell r="E815" t="str">
            <v>Autonomous Finish Mill Jr officer</v>
          </cell>
          <cell r="F815" t="str">
            <v>Supervisor</v>
          </cell>
          <cell r="G815" t="str">
            <v>Operation Directorate</v>
          </cell>
          <cell r="H815" t="str">
            <v>Dept. of Clinker &amp; Cement Production</v>
          </cell>
          <cell r="I815" t="str">
            <v>Unit of Cement Production</v>
          </cell>
          <cell r="J815" t="str">
            <v>Section of Cement Production Coach</v>
          </cell>
        </row>
        <row r="816">
          <cell r="A816">
            <v>5966</v>
          </cell>
          <cell r="B816" t="str">
            <v>8812134</v>
          </cell>
          <cell r="C816">
            <v>50069061</v>
          </cell>
          <cell r="D816" t="str">
            <v>MUHAMMAD LUTHFI</v>
          </cell>
          <cell r="E816" t="str">
            <v>Spv of Mamuju PP Operation</v>
          </cell>
          <cell r="F816" t="str">
            <v>Supervisor</v>
          </cell>
          <cell r="G816" t="str">
            <v>Operation Directorate</v>
          </cell>
          <cell r="H816" t="str">
            <v>Dept. of Infrastructure</v>
          </cell>
          <cell r="I816" t="str">
            <v>Unit of Packing Plant 2</v>
          </cell>
          <cell r="J816" t="str">
            <v>Section of Mamuju Packing Plant</v>
          </cell>
        </row>
        <row r="817">
          <cell r="A817">
            <v>5967</v>
          </cell>
          <cell r="B817" t="str">
            <v>8812135</v>
          </cell>
          <cell r="C817">
            <v>50069498</v>
          </cell>
          <cell r="D817" t="str">
            <v>MUHAMMAD RAHMAN</v>
          </cell>
          <cell r="E817" t="str">
            <v>Spv of 2/3 FM Mach PdM &amp; PM Schedule</v>
          </cell>
          <cell r="F817" t="str">
            <v>Supervisor</v>
          </cell>
          <cell r="G817" t="str">
            <v>Operation Directorate</v>
          </cell>
          <cell r="H817" t="str">
            <v>Dept. of Maintenance</v>
          </cell>
          <cell r="I817" t="str">
            <v>Unit of Machine Maintenance 1</v>
          </cell>
          <cell r="J817" t="str">
            <v>Section of Line 2/3 FM Machine Maint.</v>
          </cell>
        </row>
        <row r="818">
          <cell r="A818">
            <v>5968</v>
          </cell>
          <cell r="B818" t="str">
            <v>8812136</v>
          </cell>
          <cell r="C818">
            <v>50066378</v>
          </cell>
          <cell r="D818" t="str">
            <v>AGUS SALIM, ST.</v>
          </cell>
          <cell r="E818" t="str">
            <v>Spare Part Planning Jr Officer</v>
          </cell>
          <cell r="F818" t="str">
            <v>Supervisor</v>
          </cell>
          <cell r="G818" t="str">
            <v>Operation Directorate</v>
          </cell>
          <cell r="H818" t="str">
            <v>Dep. of Project Mngmnt &amp; Maint. Support</v>
          </cell>
          <cell r="I818" t="str">
            <v>Unit of Maintenance Planning &amp; Eval.</v>
          </cell>
          <cell r="J818" t="str">
            <v>Staff of Spare Part Planning</v>
          </cell>
        </row>
        <row r="819">
          <cell r="A819">
            <v>5969</v>
          </cell>
          <cell r="B819" t="str">
            <v>8812137</v>
          </cell>
          <cell r="C819">
            <v>50069704</v>
          </cell>
          <cell r="D819" t="str">
            <v>ASDARLAN, ST.</v>
          </cell>
          <cell r="E819" t="str">
            <v>Spv of PP Boiler Operation</v>
          </cell>
          <cell r="F819" t="str">
            <v>Supervisor</v>
          </cell>
          <cell r="G819" t="str">
            <v>Operation Directorate</v>
          </cell>
          <cell r="H819" t="str">
            <v>Dept. of Mining &amp; Power Plant</v>
          </cell>
          <cell r="I819" t="str">
            <v>Unit of Power Plant Operation</v>
          </cell>
          <cell r="J819" t="str">
            <v>Section of Power Plant Operation</v>
          </cell>
        </row>
        <row r="820">
          <cell r="A820">
            <v>5970</v>
          </cell>
          <cell r="B820" t="str">
            <v>8812138</v>
          </cell>
          <cell r="C820">
            <v>50071564</v>
          </cell>
          <cell r="D820" t="str">
            <v>RUSTAM EFENDI, SE.</v>
          </cell>
          <cell r="E820" t="str">
            <v>Mat. Fuel &amp; Packaging Mgmt Jr Officer</v>
          </cell>
          <cell r="F820" t="str">
            <v>Supervisor</v>
          </cell>
          <cell r="G820" t="str">
            <v>Finance Risk Mgmt &amp; General Directorate</v>
          </cell>
          <cell r="I820" t="str">
            <v>Unit of Warehouse</v>
          </cell>
          <cell r="J820" t="str">
            <v>Section of Mat. Fuel &amp; Packaging Mgmt</v>
          </cell>
        </row>
        <row r="821">
          <cell r="A821">
            <v>5971</v>
          </cell>
          <cell r="B821" t="str">
            <v>8812139</v>
          </cell>
          <cell r="C821">
            <v>50052192</v>
          </cell>
          <cell r="D821" t="str">
            <v>ISKANDAR</v>
          </cell>
          <cell r="E821" t="str">
            <v>Spv of Line 5 Elins Packer Maint.</v>
          </cell>
          <cell r="F821" t="str">
            <v>Supervisor</v>
          </cell>
          <cell r="G821" t="str">
            <v>Operation Directorate</v>
          </cell>
          <cell r="H821" t="str">
            <v>Dept. of Maintenance</v>
          </cell>
          <cell r="I821" t="str">
            <v>Unit of Elins Maintenance 1</v>
          </cell>
          <cell r="J821" t="str">
            <v>Section of Packer Elins Maint</v>
          </cell>
        </row>
        <row r="822">
          <cell r="A822">
            <v>5972</v>
          </cell>
          <cell r="B822" t="str">
            <v>8812140</v>
          </cell>
          <cell r="C822">
            <v>50008336</v>
          </cell>
          <cell r="D822" t="str">
            <v>MUHAMMAD KAMAL SIDIK, ST.</v>
          </cell>
          <cell r="E822" t="str">
            <v>Spv of Power Plant CCR</v>
          </cell>
          <cell r="F822" t="str">
            <v>Supervisor</v>
          </cell>
          <cell r="G822" t="str">
            <v>Operation Directorate</v>
          </cell>
          <cell r="H822" t="str">
            <v>Dept. of Mining &amp; Power Plant</v>
          </cell>
          <cell r="I822" t="str">
            <v>Unit of Power Plant Operation</v>
          </cell>
          <cell r="J822" t="str">
            <v>Section of Power Plant Operation</v>
          </cell>
        </row>
        <row r="823">
          <cell r="A823">
            <v>5973</v>
          </cell>
          <cell r="B823" t="str">
            <v>8812141</v>
          </cell>
          <cell r="C823">
            <v>50066491</v>
          </cell>
          <cell r="D823" t="str">
            <v>M.AGUS</v>
          </cell>
          <cell r="E823" t="str">
            <v>Spv of PP Machine Maintenance</v>
          </cell>
          <cell r="F823" t="str">
            <v>Supervisor</v>
          </cell>
          <cell r="G823" t="str">
            <v>Operation Directorate</v>
          </cell>
          <cell r="H823" t="str">
            <v>Dept. of Mining &amp; Power Plant</v>
          </cell>
          <cell r="I823" t="str">
            <v>Unit of Power Plant Machine Maint</v>
          </cell>
          <cell r="J823" t="str">
            <v>Section of Power Plant Machine Maint</v>
          </cell>
        </row>
        <row r="824">
          <cell r="A824">
            <v>5974</v>
          </cell>
          <cell r="B824" t="str">
            <v>8812142</v>
          </cell>
          <cell r="C824">
            <v>50069318</v>
          </cell>
          <cell r="D824" t="str">
            <v>MUHAMMAD ANHAR R., S.Pd.</v>
          </cell>
          <cell r="E824" t="str">
            <v>Spv of Autonomous</v>
          </cell>
          <cell r="F824" t="str">
            <v>Supervisor</v>
          </cell>
          <cell r="G824" t="str">
            <v>Operation Directorate</v>
          </cell>
          <cell r="H824" t="str">
            <v>Dept. of Clinker &amp; Cement Production</v>
          </cell>
          <cell r="I824" t="str">
            <v>Unit of Derivative Product  &amp; Supporting</v>
          </cell>
          <cell r="J824" t="str">
            <v>Section of Derivative Prod. &amp; Opr. 2/3</v>
          </cell>
        </row>
        <row r="825">
          <cell r="A825">
            <v>5975</v>
          </cell>
          <cell r="B825" t="str">
            <v>8812143</v>
          </cell>
          <cell r="C825">
            <v>50069524</v>
          </cell>
          <cell r="D825" t="str">
            <v>SUKIRMAN AE., AMD.</v>
          </cell>
          <cell r="E825" t="str">
            <v>Spv of Line 5 RKC PvM</v>
          </cell>
          <cell r="F825" t="str">
            <v>Supervisor</v>
          </cell>
          <cell r="G825" t="str">
            <v>Operation Directorate</v>
          </cell>
          <cell r="H825" t="str">
            <v>Dept. of Maintenance</v>
          </cell>
          <cell r="I825" t="str">
            <v>Unit of Elins Maintenance 2</v>
          </cell>
          <cell r="J825" t="str">
            <v>Section of Line 4/5 RKC Elctr. Maint.</v>
          </cell>
        </row>
        <row r="826">
          <cell r="A826">
            <v>5976</v>
          </cell>
          <cell r="B826" t="str">
            <v>8812144</v>
          </cell>
          <cell r="C826">
            <v>50066601</v>
          </cell>
          <cell r="D826" t="str">
            <v>DEDI MISWAR MUSTAFA, SE., M.Ak.</v>
          </cell>
          <cell r="E826" t="str">
            <v>Internal Audit Jr Officer</v>
          </cell>
          <cell r="F826" t="str">
            <v>Supervisor</v>
          </cell>
          <cell r="G826" t="str">
            <v>President Directorate</v>
          </cell>
          <cell r="H826" t="str">
            <v>Department of Internal Audit</v>
          </cell>
          <cell r="I826" t="str">
            <v>Staff of Internal Audit</v>
          </cell>
        </row>
        <row r="827">
          <cell r="A827">
            <v>5977</v>
          </cell>
          <cell r="B827" t="str">
            <v>8812145</v>
          </cell>
          <cell r="C827">
            <v>50069091</v>
          </cell>
          <cell r="D827" t="str">
            <v>MASKUR RAUF, ST.</v>
          </cell>
          <cell r="E827" t="str">
            <v>Spv of Big Bag &amp; Tbngan BKS Operation</v>
          </cell>
          <cell r="F827" t="str">
            <v>Supervisor</v>
          </cell>
          <cell r="G827" t="str">
            <v>Operation Directorate</v>
          </cell>
          <cell r="H827" t="str">
            <v>Dept. of Infrastructure</v>
          </cell>
          <cell r="I827" t="str">
            <v>Unit of Plant &amp; Port Prod Discharge Opr</v>
          </cell>
          <cell r="J827" t="str">
            <v>Section of Port Opr (Silo, Aux. T &amp; SM)</v>
          </cell>
        </row>
        <row r="828">
          <cell r="A828">
            <v>5978</v>
          </cell>
          <cell r="B828" t="str">
            <v>8812146</v>
          </cell>
          <cell r="C828">
            <v>50069512</v>
          </cell>
          <cell r="D828" t="str">
            <v>ABD.MALIK NUR</v>
          </cell>
          <cell r="E828" t="str">
            <v>Spv of Packer Elins Maint PdM &amp; PM</v>
          </cell>
          <cell r="F828" t="str">
            <v>Supervisor</v>
          </cell>
          <cell r="G828" t="str">
            <v>Operation Directorate</v>
          </cell>
          <cell r="H828" t="str">
            <v>Dept. of Maintenance</v>
          </cell>
          <cell r="I828" t="str">
            <v>Unit of Elins Maintenance 1</v>
          </cell>
          <cell r="J828" t="str">
            <v>Section of Packer Elins Maint</v>
          </cell>
        </row>
        <row r="829">
          <cell r="A829">
            <v>5979</v>
          </cell>
          <cell r="B829" t="str">
            <v>8812147</v>
          </cell>
          <cell r="C829">
            <v>50066489</v>
          </cell>
          <cell r="D829" t="str">
            <v>ZALDI SANJAYA</v>
          </cell>
          <cell r="E829" t="str">
            <v>D Spv of PP Electrical</v>
          </cell>
          <cell r="F829" t="str">
            <v>Supervisor</v>
          </cell>
          <cell r="G829" t="str">
            <v>Operation Directorate</v>
          </cell>
          <cell r="H829" t="str">
            <v>Dept. of Mining &amp; Power Plant</v>
          </cell>
          <cell r="I829" t="str">
            <v>Unit of Power Plant Elins Maintenance</v>
          </cell>
          <cell r="J829" t="str">
            <v>Section of Power Plant Elctrical Maint.</v>
          </cell>
        </row>
        <row r="830">
          <cell r="A830">
            <v>5980</v>
          </cell>
          <cell r="B830" t="str">
            <v>8812148</v>
          </cell>
          <cell r="C830">
            <v>50069394</v>
          </cell>
          <cell r="D830" t="str">
            <v>SAMSUL BAHRI</v>
          </cell>
          <cell r="E830" t="str">
            <v>Spv of Line 5 RM Field</v>
          </cell>
          <cell r="F830" t="str">
            <v>Supervisor</v>
          </cell>
          <cell r="G830" t="str">
            <v>Operation Directorate</v>
          </cell>
          <cell r="H830" t="str">
            <v>Dept. of Clinker &amp; Cement Production</v>
          </cell>
          <cell r="I830" t="str">
            <v>Unit of Clinker Production</v>
          </cell>
          <cell r="J830" t="str">
            <v>Section of Line 5 RKC Operation</v>
          </cell>
        </row>
        <row r="831">
          <cell r="A831">
            <v>5981</v>
          </cell>
          <cell r="B831" t="str">
            <v>8812149</v>
          </cell>
          <cell r="C831">
            <v>50069686</v>
          </cell>
          <cell r="D831" t="str">
            <v>HENDRA RUKMANA</v>
          </cell>
          <cell r="E831" t="str">
            <v>Spv of PvM PP Electrical</v>
          </cell>
          <cell r="F831" t="str">
            <v>Supervisor</v>
          </cell>
          <cell r="G831" t="str">
            <v>Operation Directorate</v>
          </cell>
          <cell r="H831" t="str">
            <v>Dept. of Mining &amp; Power Plant</v>
          </cell>
          <cell r="I831" t="str">
            <v>Unit of Power Plant Elins Maintenance</v>
          </cell>
          <cell r="J831" t="str">
            <v>Section of Power Plant Elctrical Maint.</v>
          </cell>
        </row>
        <row r="832">
          <cell r="A832">
            <v>5982</v>
          </cell>
          <cell r="B832" t="str">
            <v>8812150</v>
          </cell>
          <cell r="C832">
            <v>50046423</v>
          </cell>
          <cell r="D832" t="str">
            <v>FIRDAUS, SE.</v>
          </cell>
          <cell r="E832" t="str">
            <v>Performance Evaluation Officer</v>
          </cell>
          <cell r="F832" t="str">
            <v>Manager</v>
          </cell>
          <cell r="G832" t="str">
            <v>Finance Risk Mgmt &amp; General Directorate</v>
          </cell>
          <cell r="H832" t="str">
            <v>Department of Finance &amp; Accounting</v>
          </cell>
          <cell r="I832" t="str">
            <v>Unit of Budgeting &amp; Performance</v>
          </cell>
          <cell r="J832" t="str">
            <v>Staff of Performance Evaluation</v>
          </cell>
        </row>
        <row r="833">
          <cell r="A833">
            <v>5983</v>
          </cell>
          <cell r="B833" t="str">
            <v>8812151</v>
          </cell>
          <cell r="C833">
            <v>50069788</v>
          </cell>
          <cell r="D833" t="str">
            <v>FADLY H.</v>
          </cell>
          <cell r="E833" t="str">
            <v>Spv of Line 4 FM Mach PdM&amp; PM Schedule</v>
          </cell>
          <cell r="F833" t="str">
            <v>Supervisor</v>
          </cell>
          <cell r="G833" t="str">
            <v>Operation Directorate</v>
          </cell>
          <cell r="H833" t="str">
            <v>Dept. of Maintenance</v>
          </cell>
          <cell r="I833" t="str">
            <v>Unit of Machine Maintenance 2</v>
          </cell>
          <cell r="J833" t="str">
            <v>Section of Line 4/5 FM Machine Maint</v>
          </cell>
        </row>
        <row r="834">
          <cell r="A834">
            <v>5985</v>
          </cell>
          <cell r="B834" t="str">
            <v>8812152</v>
          </cell>
          <cell r="C834">
            <v>50066394</v>
          </cell>
          <cell r="D834" t="str">
            <v>MAULANA HARJO</v>
          </cell>
          <cell r="E834" t="str">
            <v>Spv of Workshop</v>
          </cell>
          <cell r="F834" t="str">
            <v>Supervisor</v>
          </cell>
          <cell r="G834" t="str">
            <v>Operation Directorate</v>
          </cell>
          <cell r="H834" t="str">
            <v>Dep. of Project Mngmnt &amp; Maint. Support</v>
          </cell>
          <cell r="I834" t="str">
            <v>Unit of Workshop</v>
          </cell>
          <cell r="J834" t="str">
            <v>Section of Machine Workshop</v>
          </cell>
        </row>
        <row r="835">
          <cell r="A835">
            <v>5986</v>
          </cell>
          <cell r="B835" t="str">
            <v>8812153</v>
          </cell>
          <cell r="C835">
            <v>50069651</v>
          </cell>
          <cell r="D835" t="str">
            <v>BAHTIAR, AMD.</v>
          </cell>
          <cell r="E835" t="str">
            <v>Spv of Line 2/3/4/5 Clay Crusher</v>
          </cell>
          <cell r="F835" t="str">
            <v>Supervisor</v>
          </cell>
          <cell r="G835" t="str">
            <v>Operation Directorate</v>
          </cell>
          <cell r="H835" t="str">
            <v>Dept. of Mining &amp; Power Plant</v>
          </cell>
          <cell r="I835" t="str">
            <v>Unit of Raw Material Management</v>
          </cell>
          <cell r="J835" t="str">
            <v>Section of Clay Crusher Operation</v>
          </cell>
        </row>
        <row r="836">
          <cell r="A836">
            <v>5987</v>
          </cell>
          <cell r="B836" t="str">
            <v>8812154</v>
          </cell>
          <cell r="C836">
            <v>50069790</v>
          </cell>
          <cell r="D836" t="str">
            <v>MUHAMMAD YUSUF</v>
          </cell>
          <cell r="E836" t="str">
            <v>Spv of Line 5 FM Mach PdM&amp; PM Schedule</v>
          </cell>
          <cell r="F836" t="str">
            <v>Supervisor</v>
          </cell>
          <cell r="G836" t="str">
            <v>Operation Directorate</v>
          </cell>
          <cell r="H836" t="str">
            <v>Dept. of Maintenance</v>
          </cell>
          <cell r="I836" t="str">
            <v>Unit of Machine Maintenance 2</v>
          </cell>
          <cell r="J836" t="str">
            <v>Section of Line 4/5 FM Machine Maint</v>
          </cell>
        </row>
        <row r="837">
          <cell r="A837">
            <v>5988</v>
          </cell>
          <cell r="B837" t="str">
            <v>8812155</v>
          </cell>
          <cell r="C837">
            <v>50069415</v>
          </cell>
          <cell r="D837" t="str">
            <v>WAHYUDI SANTOSO, S.Pd.</v>
          </cell>
          <cell r="E837" t="str">
            <v>Spv of Line 5 KCM Field Specialist</v>
          </cell>
          <cell r="F837" t="str">
            <v>Supervisor</v>
          </cell>
          <cell r="G837" t="str">
            <v>Operation Directorate</v>
          </cell>
          <cell r="H837" t="str">
            <v>Dept. of Clinker &amp; Cement Production</v>
          </cell>
          <cell r="I837" t="str">
            <v>Unit of Clinker Production</v>
          </cell>
          <cell r="J837" t="str">
            <v>Section of Line 5 RKC Operation</v>
          </cell>
        </row>
        <row r="838">
          <cell r="A838">
            <v>5989</v>
          </cell>
          <cell r="B838" t="str">
            <v>8812156</v>
          </cell>
          <cell r="C838">
            <v>50069452</v>
          </cell>
          <cell r="D838" t="str">
            <v>ANZAR R.LANTIK, AMD.</v>
          </cell>
          <cell r="E838" t="str">
            <v>Service Planning Jr Officer</v>
          </cell>
          <cell r="F838" t="str">
            <v>Supervisor</v>
          </cell>
          <cell r="G838" t="str">
            <v>Operation Directorate</v>
          </cell>
          <cell r="H838" t="str">
            <v>Dep. of Project Mngmnt &amp; Maint. Support</v>
          </cell>
          <cell r="I838" t="str">
            <v>Unit of Maintenance Planning &amp; Eval.</v>
          </cell>
          <cell r="J838" t="str">
            <v>Staff of Service Planning</v>
          </cell>
        </row>
        <row r="839">
          <cell r="A839">
            <v>5990</v>
          </cell>
          <cell r="B839" t="str">
            <v>8812157</v>
          </cell>
          <cell r="C839">
            <v>50024318</v>
          </cell>
          <cell r="D839" t="str">
            <v>EKO RIYANTO</v>
          </cell>
          <cell r="E839" t="str">
            <v>Spv of Crusher Elins Repair</v>
          </cell>
          <cell r="F839" t="str">
            <v>Supervisor</v>
          </cell>
          <cell r="G839" t="str">
            <v>Operation Directorate</v>
          </cell>
          <cell r="H839" t="str">
            <v>Dept. of Maintenance</v>
          </cell>
          <cell r="I839" t="str">
            <v>Unit of Elins Maintenance 1</v>
          </cell>
          <cell r="J839" t="str">
            <v>Section of Crusher Elins Maintenance</v>
          </cell>
        </row>
        <row r="840">
          <cell r="A840">
            <v>5991</v>
          </cell>
          <cell r="B840" t="str">
            <v>8812158</v>
          </cell>
          <cell r="C840">
            <v>50069276</v>
          </cell>
          <cell r="D840" t="str">
            <v>ABDUL MALIK, S.Ak.</v>
          </cell>
          <cell r="E840" t="str">
            <v>Comm. &amp; Public Relations Jr Officer</v>
          </cell>
          <cell r="F840" t="str">
            <v>Supervisor</v>
          </cell>
          <cell r="G840" t="str">
            <v>President Directorate</v>
          </cell>
          <cell r="H840" t="str">
            <v>Dept. of Communication, Legal &amp; GA</v>
          </cell>
          <cell r="I840" t="str">
            <v>Unit of Communication &amp; Secretariate</v>
          </cell>
          <cell r="J840" t="str">
            <v>Staff of Communication &amp; Public Relation</v>
          </cell>
        </row>
        <row r="841">
          <cell r="A841">
            <v>5992</v>
          </cell>
          <cell r="B841" t="str">
            <v>8812159</v>
          </cell>
          <cell r="C841">
            <v>50056200</v>
          </cell>
          <cell r="D841" t="str">
            <v>JUPRI</v>
          </cell>
          <cell r="E841" t="str">
            <v>Spv of Line 4 FM Mach PdM&amp; PM Schedule</v>
          </cell>
          <cell r="F841" t="str">
            <v>Supervisor</v>
          </cell>
          <cell r="G841" t="str">
            <v>Operation Directorate</v>
          </cell>
          <cell r="H841" t="str">
            <v>Dept. of Maintenance</v>
          </cell>
          <cell r="I841" t="str">
            <v>Unit of Machine Maintenance 2</v>
          </cell>
          <cell r="J841" t="str">
            <v>Section of Line 4/5 FM Machine Maint</v>
          </cell>
        </row>
        <row r="842">
          <cell r="A842">
            <v>5993</v>
          </cell>
          <cell r="B842" t="str">
            <v>8812160</v>
          </cell>
          <cell r="C842">
            <v>50069551</v>
          </cell>
          <cell r="D842" t="str">
            <v>MUHAMMAD ILHAM</v>
          </cell>
          <cell r="E842" t="str">
            <v>Spv of Line 5 FM Elins PdM &amp; PM Schd</v>
          </cell>
          <cell r="F842" t="str">
            <v>Supervisor</v>
          </cell>
          <cell r="G842" t="str">
            <v>Operation Directorate</v>
          </cell>
          <cell r="H842" t="str">
            <v>Dept. of Maintenance</v>
          </cell>
          <cell r="I842" t="str">
            <v>Unit of Elins Maintenance 2</v>
          </cell>
          <cell r="J842" t="str">
            <v>Section of Line 4/5 FM Elins Maint</v>
          </cell>
        </row>
        <row r="843">
          <cell r="A843">
            <v>5995</v>
          </cell>
          <cell r="B843" t="str">
            <v>8912162</v>
          </cell>
          <cell r="C843">
            <v>50066414</v>
          </cell>
          <cell r="D843" t="str">
            <v>SEMOEL EDOWARD H.</v>
          </cell>
          <cell r="E843" t="str">
            <v>Overhaul Management Jr Officer</v>
          </cell>
          <cell r="F843" t="str">
            <v>Supervisor</v>
          </cell>
          <cell r="G843" t="str">
            <v>Operation Directorate</v>
          </cell>
          <cell r="H843" t="str">
            <v>Dep. of Project Mngmnt &amp; Maint. Support</v>
          </cell>
          <cell r="I843" t="str">
            <v>Unit of Project Management</v>
          </cell>
          <cell r="J843" t="str">
            <v>Staff of OVH Management</v>
          </cell>
        </row>
        <row r="844">
          <cell r="A844">
            <v>5996</v>
          </cell>
          <cell r="B844" t="str">
            <v>8912163</v>
          </cell>
          <cell r="C844">
            <v>50069518</v>
          </cell>
          <cell r="D844" t="str">
            <v>TRI NUR PACHRIADI</v>
          </cell>
          <cell r="E844" t="str">
            <v>Spv of Line 4 RKC Elctr PvM</v>
          </cell>
          <cell r="F844" t="str">
            <v>Supervisor</v>
          </cell>
          <cell r="G844" t="str">
            <v>Operation Directorate</v>
          </cell>
          <cell r="H844" t="str">
            <v>Dept. of Maintenance</v>
          </cell>
          <cell r="I844" t="str">
            <v>Unit of Elins Maintenance 2</v>
          </cell>
          <cell r="J844" t="str">
            <v>Section of Line 4/5 RKC Elctr. Maint.</v>
          </cell>
        </row>
        <row r="845">
          <cell r="A845">
            <v>5997</v>
          </cell>
          <cell r="B845" t="str">
            <v>8912164</v>
          </cell>
          <cell r="C845">
            <v>50065357</v>
          </cell>
          <cell r="D845" t="str">
            <v>MUSRAN</v>
          </cell>
          <cell r="E845" t="str">
            <v>Maintenance Inspection Jr Officer</v>
          </cell>
          <cell r="F845" t="str">
            <v>Supervisor</v>
          </cell>
          <cell r="G845" t="str">
            <v>Operation Directorate</v>
          </cell>
          <cell r="H845" t="str">
            <v>Dept. of Maintenance</v>
          </cell>
          <cell r="I845" t="str">
            <v>Unit of Reliability Maintenance</v>
          </cell>
          <cell r="J845" t="str">
            <v>Staff of Maintenance Inspection</v>
          </cell>
        </row>
        <row r="846">
          <cell r="A846">
            <v>5998</v>
          </cell>
          <cell r="B846" t="str">
            <v>8912165</v>
          </cell>
          <cell r="C846">
            <v>50069714</v>
          </cell>
          <cell r="D846" t="str">
            <v>MUHAMMAD HARIS AKMAL,AMG</v>
          </cell>
          <cell r="E846" t="str">
            <v>Spv of PP Coal Mill Operation</v>
          </cell>
          <cell r="F846" t="str">
            <v>Supervisor</v>
          </cell>
          <cell r="G846" t="str">
            <v>Operation Directorate</v>
          </cell>
          <cell r="H846" t="str">
            <v>Dept. of Mining &amp; Power Plant</v>
          </cell>
          <cell r="I846" t="str">
            <v>Unit of Power Plant Operation</v>
          </cell>
          <cell r="J846" t="str">
            <v>Section of Power Plant Operation</v>
          </cell>
        </row>
        <row r="847">
          <cell r="A847">
            <v>5999</v>
          </cell>
          <cell r="B847" t="str">
            <v>8912166</v>
          </cell>
          <cell r="C847">
            <v>50067052</v>
          </cell>
          <cell r="D847" t="str">
            <v>RAHMAT</v>
          </cell>
          <cell r="E847" t="str">
            <v>Group AR Management Jr Officer</v>
          </cell>
          <cell r="F847" t="str">
            <v>Supervisor</v>
          </cell>
          <cell r="G847" t="str">
            <v>Direktorat Keuangan dan Risk Management</v>
          </cell>
          <cell r="H847" t="str">
            <v>Department of Treasury</v>
          </cell>
          <cell r="I847" t="str">
            <v>Unit of AR/AP Management &amp; Liquidity</v>
          </cell>
        </row>
        <row r="848">
          <cell r="A848">
            <v>6000</v>
          </cell>
          <cell r="B848" t="str">
            <v>8912167</v>
          </cell>
          <cell r="C848">
            <v>50066497</v>
          </cell>
          <cell r="D848" t="str">
            <v>IRWAN MAHARDIKA, AMD.</v>
          </cell>
          <cell r="E848" t="str">
            <v>Permit &amp; OHS Equip Maintenance Jr Office</v>
          </cell>
          <cell r="F848" t="str">
            <v>Supervisor</v>
          </cell>
          <cell r="G848" t="str">
            <v>Operation Directorate</v>
          </cell>
          <cell r="H848" t="str">
            <v>Dept. of Production Planning &amp; Control</v>
          </cell>
          <cell r="I848" t="str">
            <v>Unit of OHS</v>
          </cell>
          <cell r="J848" t="str">
            <v>Staff of Permit &amp; OHS Equip Maintenance</v>
          </cell>
        </row>
        <row r="849">
          <cell r="A849">
            <v>6001</v>
          </cell>
          <cell r="B849" t="str">
            <v>8912168</v>
          </cell>
          <cell r="C849">
            <v>50009113</v>
          </cell>
          <cell r="D849" t="str">
            <v>ZAENAL</v>
          </cell>
          <cell r="E849" t="str">
            <v>Mgr of Verification</v>
          </cell>
          <cell r="F849" t="str">
            <v>Manager</v>
          </cell>
          <cell r="G849" t="str">
            <v>Finance Risk Mgmt &amp; General Directorate</v>
          </cell>
          <cell r="H849" t="str">
            <v>Department of Finance &amp; Accounting</v>
          </cell>
          <cell r="I849" t="str">
            <v>Unit of Accounting</v>
          </cell>
          <cell r="J849" t="str">
            <v>Section of Verification</v>
          </cell>
        </row>
        <row r="850">
          <cell r="A850">
            <v>6002</v>
          </cell>
          <cell r="B850" t="str">
            <v>8912169</v>
          </cell>
          <cell r="C850">
            <v>50070768</v>
          </cell>
          <cell r="D850" t="str">
            <v>FATHURRAHMAN AZIS, S.Sos.</v>
          </cell>
          <cell r="E850" t="str">
            <v>Trade Market. &amp; Promotion Mgmt. Officer</v>
          </cell>
          <cell r="F850" t="str">
            <v>Manager</v>
          </cell>
          <cell r="G850" t="str">
            <v>President Directorate</v>
          </cell>
          <cell r="H850" t="str">
            <v>Dept. of Market Planning &amp; Development</v>
          </cell>
          <cell r="I850" t="str">
            <v>Unit of Product Pricing &amp; Promotion Mgmt</v>
          </cell>
          <cell r="J850" t="str">
            <v>Staff of Trade Market. &amp; Promotion Mgmt.</v>
          </cell>
        </row>
        <row r="851">
          <cell r="A851">
            <v>6003</v>
          </cell>
          <cell r="B851" t="str">
            <v>8912170</v>
          </cell>
          <cell r="C851">
            <v>50069535</v>
          </cell>
          <cell r="D851" t="str">
            <v>RAHMAT</v>
          </cell>
          <cell r="E851" t="str">
            <v>Spv of Line 4 RKCM Instr PvM</v>
          </cell>
          <cell r="F851" t="str">
            <v>Supervisor</v>
          </cell>
          <cell r="G851" t="str">
            <v>Operation Directorate</v>
          </cell>
          <cell r="H851" t="str">
            <v>Dept. of Maintenance</v>
          </cell>
          <cell r="I851" t="str">
            <v>Unit of Elins Maintenance 2</v>
          </cell>
          <cell r="J851" t="str">
            <v>Section of Line 4/5 RKC Instr. Maint.</v>
          </cell>
        </row>
        <row r="852">
          <cell r="A852">
            <v>6004</v>
          </cell>
          <cell r="B852" t="str">
            <v>8912171</v>
          </cell>
          <cell r="C852">
            <v>50069361</v>
          </cell>
          <cell r="D852" t="str">
            <v>NURHAMDI</v>
          </cell>
          <cell r="E852" t="str">
            <v>Spv of CCR RKC &amp; Trass Dryer 4</v>
          </cell>
          <cell r="F852" t="str">
            <v>Supervisor</v>
          </cell>
          <cell r="G852" t="str">
            <v>Operation Directorate</v>
          </cell>
          <cell r="H852" t="str">
            <v>Dept. of Clinker &amp; Cement Production</v>
          </cell>
          <cell r="I852" t="str">
            <v>Unit of Clinker Production</v>
          </cell>
          <cell r="J852" t="str">
            <v>Section of Line 4 RKC Operation</v>
          </cell>
        </row>
        <row r="853">
          <cell r="A853">
            <v>6005</v>
          </cell>
          <cell r="B853" t="str">
            <v>8912173</v>
          </cell>
          <cell r="C853">
            <v>50069256</v>
          </cell>
          <cell r="D853" t="str">
            <v>AMIRULLAH</v>
          </cell>
          <cell r="E853" t="str">
            <v>Land Transportation Adm &amp; Eval Jr Ofc.</v>
          </cell>
          <cell r="F853" t="str">
            <v>Supervisor</v>
          </cell>
          <cell r="G853" t="str">
            <v>President Directorate</v>
          </cell>
          <cell r="H853" t="str">
            <v>Dept. of Sales</v>
          </cell>
          <cell r="I853" t="str">
            <v>Unit of Outbound Logistic</v>
          </cell>
          <cell r="J853" t="str">
            <v>Section of Land Transportation</v>
          </cell>
        </row>
        <row r="854">
          <cell r="A854">
            <v>6006</v>
          </cell>
          <cell r="B854" t="str">
            <v>8912172</v>
          </cell>
          <cell r="C854">
            <v>50069039</v>
          </cell>
          <cell r="D854" t="str">
            <v>RIZAL</v>
          </cell>
          <cell r="E854" t="str">
            <v>Spv of North Maluku PP Operation</v>
          </cell>
          <cell r="F854" t="str">
            <v>Supervisor</v>
          </cell>
          <cell r="G854" t="str">
            <v>Operation Directorate</v>
          </cell>
          <cell r="H854" t="str">
            <v>Dept. of Infrastructure</v>
          </cell>
          <cell r="I854" t="str">
            <v>Unit of Packing Plant 2</v>
          </cell>
          <cell r="J854" t="str">
            <v>Section of North Maluku Packing Plant</v>
          </cell>
        </row>
        <row r="855">
          <cell r="A855">
            <v>6008</v>
          </cell>
          <cell r="B855" t="str">
            <v>8912175</v>
          </cell>
          <cell r="C855">
            <v>50069034</v>
          </cell>
          <cell r="D855" t="str">
            <v>HALWING</v>
          </cell>
          <cell r="E855" t="str">
            <v>Spv of Banjarmasin PP Operation</v>
          </cell>
          <cell r="F855" t="str">
            <v>Supervisor</v>
          </cell>
          <cell r="G855" t="str">
            <v>Operation Directorate</v>
          </cell>
          <cell r="H855" t="str">
            <v>Dept. of Infrastructure</v>
          </cell>
          <cell r="I855" t="str">
            <v>Unit of Packing Plant 1</v>
          </cell>
          <cell r="J855" t="str">
            <v>Section of Banjarmasin Packing Plant</v>
          </cell>
        </row>
        <row r="856">
          <cell r="A856">
            <v>6009</v>
          </cell>
          <cell r="B856" t="str">
            <v>8912176</v>
          </cell>
          <cell r="C856">
            <v>50069482</v>
          </cell>
          <cell r="D856" t="str">
            <v>ASRA AZIS, S.Pd.</v>
          </cell>
          <cell r="E856" t="str">
            <v>Spv of Inspection &amp; Testing</v>
          </cell>
          <cell r="F856" t="str">
            <v>Supervisor</v>
          </cell>
          <cell r="G856" t="str">
            <v>Operation Directorate</v>
          </cell>
          <cell r="H856" t="str">
            <v>Dept. of Production Planning &amp; Control</v>
          </cell>
          <cell r="I856" t="str">
            <v>Unit of OHS</v>
          </cell>
        </row>
        <row r="857">
          <cell r="A857">
            <v>6010</v>
          </cell>
          <cell r="B857" t="str">
            <v>8912178</v>
          </cell>
          <cell r="C857">
            <v>50070662</v>
          </cell>
          <cell r="D857" t="str">
            <v>JURJANI, SE.</v>
          </cell>
          <cell r="E857" t="str">
            <v>ASM of Sulewsi-Selatan</v>
          </cell>
          <cell r="F857" t="str">
            <v>Manager</v>
          </cell>
          <cell r="G857" t="str">
            <v>President Directorate</v>
          </cell>
          <cell r="H857" t="str">
            <v>Dept. of Sales</v>
          </cell>
          <cell r="I857" t="str">
            <v>Unit of Sales 1</v>
          </cell>
          <cell r="J857" t="str">
            <v>Section of Sulsel</v>
          </cell>
        </row>
        <row r="858">
          <cell r="A858">
            <v>6011</v>
          </cell>
          <cell r="B858" t="str">
            <v>8912177</v>
          </cell>
          <cell r="C858">
            <v>50069885</v>
          </cell>
          <cell r="D858" t="str">
            <v>TAUFIK AINUL YAKIN, AMD.</v>
          </cell>
          <cell r="E858" t="str">
            <v>Packaging Management Jr Officer</v>
          </cell>
          <cell r="F858" t="str">
            <v>Supervisor</v>
          </cell>
          <cell r="G858" t="str">
            <v>President Directorate</v>
          </cell>
          <cell r="H858" t="str">
            <v>Dept. of Sales</v>
          </cell>
          <cell r="I858" t="str">
            <v>Unit of Outbound Logistic</v>
          </cell>
          <cell r="J858" t="str">
            <v>Section of Packaging Management</v>
          </cell>
        </row>
        <row r="859">
          <cell r="A859">
            <v>6012</v>
          </cell>
          <cell r="B859" t="str">
            <v>8912179</v>
          </cell>
          <cell r="C859">
            <v>50070771</v>
          </cell>
          <cell r="D859" t="str">
            <v>ARI BUDIMAN, S.Kom.</v>
          </cell>
          <cell r="E859" t="str">
            <v>MI, Sales Planning &amp; Evaluation Officer</v>
          </cell>
          <cell r="F859" t="str">
            <v>Manager</v>
          </cell>
          <cell r="G859" t="str">
            <v>President Directorate</v>
          </cell>
          <cell r="H859" t="str">
            <v>Dept. of Market Planning &amp; Development</v>
          </cell>
          <cell r="I859" t="str">
            <v>Unit of Market Intel. Channel &amp; SF Mgmt</v>
          </cell>
          <cell r="J859" t="str">
            <v>Staff of MI, Sales Planning &amp; Evaluation</v>
          </cell>
        </row>
        <row r="860">
          <cell r="A860">
            <v>6013</v>
          </cell>
          <cell r="B860" t="str">
            <v>8912180</v>
          </cell>
          <cell r="C860">
            <v>50070736</v>
          </cell>
          <cell r="D860" t="str">
            <v>SARDIUN MARYO APRIANUS NABABAN, AMD.</v>
          </cell>
          <cell r="E860" t="str">
            <v>Papua TSO</v>
          </cell>
          <cell r="F860" t="str">
            <v>Supervisor</v>
          </cell>
          <cell r="G860" t="str">
            <v>President Directorate</v>
          </cell>
          <cell r="H860" t="str">
            <v>Dept. of Sales</v>
          </cell>
          <cell r="I860" t="str">
            <v>Unit of Sales 2</v>
          </cell>
          <cell r="J860" t="str">
            <v>Section of Papua</v>
          </cell>
        </row>
        <row r="861">
          <cell r="A861">
            <v>6014</v>
          </cell>
          <cell r="B861" t="str">
            <v>8912181</v>
          </cell>
          <cell r="C861">
            <v>50070269</v>
          </cell>
          <cell r="D861" t="str">
            <v>MIRNA</v>
          </cell>
          <cell r="E861" t="str">
            <v>Procurement Jr Officer</v>
          </cell>
          <cell r="F861" t="str">
            <v>Supervisor</v>
          </cell>
          <cell r="G861" t="str">
            <v>Direktorat Human Capital</v>
          </cell>
          <cell r="H861" t="str">
            <v>Department of Energy &amp; Materials Proc.</v>
          </cell>
          <cell r="I861" t="str">
            <v>Unit of Raw Material Procurement</v>
          </cell>
        </row>
        <row r="862">
          <cell r="A862">
            <v>6015</v>
          </cell>
          <cell r="B862" t="str">
            <v>8912182</v>
          </cell>
          <cell r="C862">
            <v>50066807</v>
          </cell>
          <cell r="D862" t="str">
            <v>SYAHRUN NUGRAHA, SE.</v>
          </cell>
          <cell r="E862" t="str">
            <v>Quality Control Jr Officer</v>
          </cell>
          <cell r="F862" t="str">
            <v>Supervisor</v>
          </cell>
          <cell r="G862" t="str">
            <v>Operation Directorate</v>
          </cell>
          <cell r="H862" t="str">
            <v>Dept. of Production Planning &amp; Control</v>
          </cell>
          <cell r="I862" t="str">
            <v>Unit of Quality Control</v>
          </cell>
          <cell r="J862" t="str">
            <v>Section of Quality Development &amp; Eval.</v>
          </cell>
        </row>
        <row r="863">
          <cell r="A863">
            <v>6016</v>
          </cell>
          <cell r="B863" t="str">
            <v>8912183</v>
          </cell>
          <cell r="C863">
            <v>50069469</v>
          </cell>
          <cell r="D863" t="str">
            <v>SYAHRUL RAMADHAN, S.Pd.</v>
          </cell>
          <cell r="E863" t="str">
            <v>Spv of Line 4/5 QC</v>
          </cell>
          <cell r="F863" t="str">
            <v>Supervisor</v>
          </cell>
          <cell r="G863" t="str">
            <v>Operation Directorate</v>
          </cell>
          <cell r="H863" t="str">
            <v>Dept. of Production Planning &amp; Control</v>
          </cell>
          <cell r="I863" t="str">
            <v>Unit of Quality Control</v>
          </cell>
          <cell r="J863" t="str">
            <v>Section of Quality Control (4/5)</v>
          </cell>
        </row>
        <row r="864">
          <cell r="A864">
            <v>6017</v>
          </cell>
          <cell r="B864" t="str">
            <v>8912184</v>
          </cell>
          <cell r="C864">
            <v>50066492</v>
          </cell>
          <cell r="D864" t="str">
            <v>AHMAD AMIRUDDIN</v>
          </cell>
          <cell r="E864" t="str">
            <v>Spv of PP Instrument</v>
          </cell>
          <cell r="F864" t="str">
            <v>Supervisor</v>
          </cell>
          <cell r="G864" t="str">
            <v>Operation Directorate</v>
          </cell>
          <cell r="H864" t="str">
            <v>Dept. of Mining &amp; Power Plant</v>
          </cell>
          <cell r="I864" t="str">
            <v>Unit of Power Plant Elins Maintenance</v>
          </cell>
          <cell r="J864" t="str">
            <v>Section of Power Plant Instrument Maint.</v>
          </cell>
        </row>
        <row r="865">
          <cell r="A865">
            <v>6018</v>
          </cell>
          <cell r="B865" t="str">
            <v>8912185</v>
          </cell>
          <cell r="C865">
            <v>50069457</v>
          </cell>
          <cell r="D865" t="str">
            <v>LUKMAN</v>
          </cell>
          <cell r="E865" t="str">
            <v>Raw Mat. &amp; Cement Mill Eval Jr Officer</v>
          </cell>
          <cell r="F865" t="str">
            <v>Supervisor</v>
          </cell>
          <cell r="G865" t="str">
            <v>Operation Directorate</v>
          </cell>
          <cell r="H865" t="str">
            <v>Dept. of Production Planning &amp; Control</v>
          </cell>
          <cell r="I865" t="str">
            <v>Unit of Prod. Plan Eval. &amp; Environmental</v>
          </cell>
          <cell r="J865" t="str">
            <v>Section of Raw Material &amp; Cement Mill Ev</v>
          </cell>
        </row>
        <row r="866">
          <cell r="A866">
            <v>6019</v>
          </cell>
          <cell r="B866" t="str">
            <v>8912186</v>
          </cell>
          <cell r="C866">
            <v>50069115</v>
          </cell>
          <cell r="D866" t="str">
            <v>ARMEY RAMA KURNIAWAN</v>
          </cell>
          <cell r="E866" t="str">
            <v>Spv of Bag Packer Plant Inspection</v>
          </cell>
          <cell r="F866" t="str">
            <v>Supervisor</v>
          </cell>
          <cell r="G866" t="str">
            <v>Operation Directorate</v>
          </cell>
          <cell r="H866" t="str">
            <v>Dept. of Infrastructure</v>
          </cell>
          <cell r="I866" t="str">
            <v>Unit of Plant &amp; Port Prod Discharge Opr</v>
          </cell>
          <cell r="J866" t="str">
            <v>Section of Plant Site Packer &amp; Bulk Opr</v>
          </cell>
        </row>
        <row r="867">
          <cell r="A867">
            <v>6020</v>
          </cell>
          <cell r="B867" t="str">
            <v>8912187</v>
          </cell>
          <cell r="C867">
            <v>50069554</v>
          </cell>
          <cell r="D867" t="str">
            <v>MUH.SYAHRIR WODI S.</v>
          </cell>
          <cell r="E867" t="str">
            <v>Spv of Line 4/5 FM System Control Main</v>
          </cell>
          <cell r="F867" t="str">
            <v>Supervisor</v>
          </cell>
          <cell r="G867" t="str">
            <v>Operation Directorate</v>
          </cell>
          <cell r="H867" t="str">
            <v>Dept. of Maintenance</v>
          </cell>
          <cell r="I867" t="str">
            <v>Unit of Elins Maintenance 2</v>
          </cell>
          <cell r="J867" t="str">
            <v>Section of Line 4/5 FM Elins Maint</v>
          </cell>
        </row>
        <row r="868">
          <cell r="A868">
            <v>6021</v>
          </cell>
          <cell r="B868" t="str">
            <v>8912188</v>
          </cell>
          <cell r="C868">
            <v>50071537</v>
          </cell>
          <cell r="D868" t="str">
            <v>DIDI SAIFUL, SH.</v>
          </cell>
          <cell r="E868" t="str">
            <v>D Key Account Jr Officer</v>
          </cell>
          <cell r="F868" t="str">
            <v>Supervisor</v>
          </cell>
          <cell r="G868" t="str">
            <v>President Directorate</v>
          </cell>
          <cell r="H868" t="str">
            <v>Dept. of Sales</v>
          </cell>
          <cell r="I868" t="str">
            <v>Unit of Corporate Sales</v>
          </cell>
          <cell r="J868" t="str">
            <v>Staff of Key Account Officer</v>
          </cell>
        </row>
        <row r="869">
          <cell r="A869">
            <v>6022</v>
          </cell>
          <cell r="B869" t="str">
            <v>8912189</v>
          </cell>
          <cell r="C869">
            <v>50069103</v>
          </cell>
          <cell r="D869" t="str">
            <v>SYAWALUDDIN ARBIAN HERYANTO, S.Sos.</v>
          </cell>
          <cell r="E869" t="str">
            <v>Spv of Line 2/3 Packer &amp; Bulk Field</v>
          </cell>
          <cell r="F869" t="str">
            <v>Supervisor</v>
          </cell>
          <cell r="G869" t="str">
            <v>Operation Directorate</v>
          </cell>
          <cell r="H869" t="str">
            <v>Dept. of Infrastructure</v>
          </cell>
          <cell r="I869" t="str">
            <v>Unit of Plant &amp; Port Prod Discharge Opr</v>
          </cell>
          <cell r="J869" t="str">
            <v>Section of Plant Site Packer &amp; Bulk Opr</v>
          </cell>
        </row>
        <row r="870">
          <cell r="A870">
            <v>6024</v>
          </cell>
          <cell r="B870" t="str">
            <v>8912191</v>
          </cell>
          <cell r="C870">
            <v>50069368</v>
          </cell>
          <cell r="D870" t="str">
            <v>SUDARMIN S.</v>
          </cell>
          <cell r="E870" t="str">
            <v>Spv of Line 4 Kiln Field</v>
          </cell>
          <cell r="F870" t="str">
            <v>Supervisor</v>
          </cell>
          <cell r="G870" t="str">
            <v>Operation Directorate</v>
          </cell>
          <cell r="H870" t="str">
            <v>Dept. of Clinker &amp; Cement Production</v>
          </cell>
          <cell r="I870" t="str">
            <v>Unit of Clinker Production</v>
          </cell>
          <cell r="J870" t="str">
            <v>Section of Line 4 RKC Operation</v>
          </cell>
        </row>
        <row r="871">
          <cell r="A871">
            <v>6025</v>
          </cell>
          <cell r="B871" t="str">
            <v>8912192</v>
          </cell>
          <cell r="C871">
            <v>50066417</v>
          </cell>
          <cell r="D871" t="str">
            <v>ZYAENAL YUSUF M., ST.</v>
          </cell>
          <cell r="E871" t="str">
            <v>Overhaul Management Jr Officer</v>
          </cell>
          <cell r="F871" t="str">
            <v>Supervisor</v>
          </cell>
          <cell r="G871" t="str">
            <v>Operation Directorate</v>
          </cell>
          <cell r="H871" t="str">
            <v>Dep. of Project Mngmnt &amp; Maint. Support</v>
          </cell>
          <cell r="I871" t="str">
            <v>Unit of Project Management</v>
          </cell>
          <cell r="J871" t="str">
            <v>Staff of OVH Management</v>
          </cell>
        </row>
        <row r="872">
          <cell r="A872">
            <v>6026</v>
          </cell>
          <cell r="B872" t="str">
            <v>8912193</v>
          </cell>
          <cell r="C872">
            <v>50069387</v>
          </cell>
          <cell r="D872" t="str">
            <v>HASRUL, ST.</v>
          </cell>
          <cell r="E872" t="str">
            <v>Spv of CCR RKC 5</v>
          </cell>
          <cell r="F872" t="str">
            <v>Supervisor</v>
          </cell>
          <cell r="G872" t="str">
            <v>Operation Directorate</v>
          </cell>
          <cell r="H872" t="str">
            <v>Dept. of Clinker &amp; Cement Production</v>
          </cell>
          <cell r="I872" t="str">
            <v>Unit of Clinker Production</v>
          </cell>
          <cell r="J872" t="str">
            <v>Section of Line 5 RKC Operation</v>
          </cell>
        </row>
        <row r="873">
          <cell r="A873">
            <v>6027</v>
          </cell>
          <cell r="B873" t="str">
            <v>8912194</v>
          </cell>
          <cell r="C873">
            <v>50054054</v>
          </cell>
          <cell r="D873" t="str">
            <v>RUSLI</v>
          </cell>
          <cell r="E873" t="str">
            <v>Trafo 70KV &amp; Switch Gear 6,3KV Jr Office</v>
          </cell>
          <cell r="F873" t="str">
            <v>Supervisor</v>
          </cell>
          <cell r="G873" t="str">
            <v>Operation Directorate</v>
          </cell>
          <cell r="H873" t="str">
            <v>Dept. of Mining &amp; Power Plant</v>
          </cell>
          <cell r="I873" t="str">
            <v>Unit of Power Distribution</v>
          </cell>
          <cell r="J873" t="str">
            <v>Section of Electrical Network Maint</v>
          </cell>
        </row>
        <row r="874">
          <cell r="A874">
            <v>6028</v>
          </cell>
          <cell r="B874" t="str">
            <v>8912195</v>
          </cell>
          <cell r="C874">
            <v>50069500</v>
          </cell>
          <cell r="D874" t="str">
            <v>MUH.ALI</v>
          </cell>
          <cell r="E874" t="str">
            <v>Spv of Line 4 RM Mach PdM&amp;PM Schd</v>
          </cell>
          <cell r="F874" t="str">
            <v>Supervisor</v>
          </cell>
          <cell r="G874" t="str">
            <v>Operation Directorate</v>
          </cell>
          <cell r="H874" t="str">
            <v>Dept. of Maintenance</v>
          </cell>
          <cell r="I874" t="str">
            <v>Unit of Machine Maintenance 2</v>
          </cell>
          <cell r="J874" t="str">
            <v>Section of Line 4/5 RM Machine Maint</v>
          </cell>
        </row>
        <row r="875">
          <cell r="A875">
            <v>6029</v>
          </cell>
          <cell r="B875" t="str">
            <v>8912196</v>
          </cell>
          <cell r="C875">
            <v>50055784</v>
          </cell>
          <cell r="D875" t="str">
            <v>M.YASIN FAJRIN</v>
          </cell>
          <cell r="E875" t="str">
            <v>Spv of CCR RKC 5</v>
          </cell>
          <cell r="F875" t="str">
            <v>Supervisor</v>
          </cell>
          <cell r="G875" t="str">
            <v>Operation Directorate</v>
          </cell>
          <cell r="H875" t="str">
            <v>Dept. of Clinker &amp; Cement Production</v>
          </cell>
          <cell r="I875" t="str">
            <v>Unit of Clinker Production</v>
          </cell>
          <cell r="J875" t="str">
            <v>Section of Line 5 RKC Operation</v>
          </cell>
        </row>
        <row r="876">
          <cell r="A876">
            <v>6030</v>
          </cell>
          <cell r="B876" t="str">
            <v>8912197</v>
          </cell>
          <cell r="C876">
            <v>50009115</v>
          </cell>
          <cell r="D876" t="str">
            <v>MAGFIRATUR RAHMA, SE.</v>
          </cell>
          <cell r="E876" t="str">
            <v>Verification Jr Officer</v>
          </cell>
          <cell r="F876" t="str">
            <v>Supervisor</v>
          </cell>
          <cell r="G876" t="str">
            <v>Finance Risk Mgmt &amp; General Directorate</v>
          </cell>
          <cell r="H876" t="str">
            <v>Department of Finance &amp; Accounting</v>
          </cell>
          <cell r="I876" t="str">
            <v>Unit of Accounting</v>
          </cell>
          <cell r="J876" t="str">
            <v>Section of Verification</v>
          </cell>
        </row>
        <row r="877">
          <cell r="A877">
            <v>6031</v>
          </cell>
          <cell r="B877" t="str">
            <v>8912198</v>
          </cell>
          <cell r="C877">
            <v>50069399</v>
          </cell>
          <cell r="D877" t="str">
            <v>MUHAMMAD TAKBIR HABIBI</v>
          </cell>
          <cell r="E877" t="str">
            <v>Spv of Line 5 KIln Field</v>
          </cell>
          <cell r="F877" t="str">
            <v>Supervisor</v>
          </cell>
          <cell r="G877" t="str">
            <v>Operation Directorate</v>
          </cell>
          <cell r="H877" t="str">
            <v>Dept. of Clinker &amp; Cement Production</v>
          </cell>
          <cell r="I877" t="str">
            <v>Unit of Clinker Production</v>
          </cell>
          <cell r="J877" t="str">
            <v>Section of Line 5 RKC Operation</v>
          </cell>
        </row>
        <row r="878">
          <cell r="A878">
            <v>6032</v>
          </cell>
          <cell r="B878" t="str">
            <v>8912199</v>
          </cell>
          <cell r="C878">
            <v>50070222</v>
          </cell>
          <cell r="D878" t="str">
            <v>HASAN BASRI A., ST.</v>
          </cell>
          <cell r="E878" t="str">
            <v>Procurement Jr Officer</v>
          </cell>
          <cell r="F878" t="str">
            <v>Supervisor</v>
          </cell>
          <cell r="G878" t="str">
            <v>Direktorat Human Capital</v>
          </cell>
          <cell r="H878" t="str">
            <v>Department of Goods &amp; Capex Procurement</v>
          </cell>
          <cell r="I878" t="str">
            <v>Unit of Capex Region 1 Procurement</v>
          </cell>
        </row>
        <row r="879">
          <cell r="A879">
            <v>6033</v>
          </cell>
          <cell r="B879" t="str">
            <v>8912200</v>
          </cell>
          <cell r="C879">
            <v>50069373</v>
          </cell>
          <cell r="D879" t="str">
            <v>HERMAN HIDAYAT</v>
          </cell>
          <cell r="E879" t="str">
            <v>Spv of Line 4 Coal Mill Field</v>
          </cell>
          <cell r="F879" t="str">
            <v>Supervisor</v>
          </cell>
          <cell r="G879" t="str">
            <v>Operation Directorate</v>
          </cell>
          <cell r="H879" t="str">
            <v>Dept. of Clinker &amp; Cement Production</v>
          </cell>
          <cell r="I879" t="str">
            <v>Unit of Clinker Production</v>
          </cell>
          <cell r="J879" t="str">
            <v>Section of Line 4 RKC Operation</v>
          </cell>
        </row>
        <row r="880">
          <cell r="A880">
            <v>6034</v>
          </cell>
          <cell r="B880" t="str">
            <v>8912201</v>
          </cell>
          <cell r="C880">
            <v>50066260</v>
          </cell>
          <cell r="D880" t="str">
            <v>SAFRI</v>
          </cell>
          <cell r="E880" t="str">
            <v>Spv of Packer Mach Maint. PdM &amp; PM Schdl</v>
          </cell>
          <cell r="F880" t="str">
            <v>Supervisor</v>
          </cell>
          <cell r="G880" t="str">
            <v>Operation Directorate</v>
          </cell>
          <cell r="H880" t="str">
            <v>Dept. of Maintenance</v>
          </cell>
          <cell r="I880" t="str">
            <v>Unit of Machine Maintenance 1</v>
          </cell>
          <cell r="J880" t="str">
            <v>Section of Packer Machine Maint.</v>
          </cell>
        </row>
        <row r="881">
          <cell r="A881">
            <v>6035</v>
          </cell>
          <cell r="B881" t="str">
            <v>8912202</v>
          </cell>
          <cell r="C881">
            <v>50043810</v>
          </cell>
          <cell r="D881" t="str">
            <v>A.AKBAR ALI Z.</v>
          </cell>
          <cell r="E881" t="str">
            <v>Spv of Line 5 System Control Maint</v>
          </cell>
          <cell r="F881" t="str">
            <v>Supervisor</v>
          </cell>
          <cell r="G881" t="str">
            <v>Operation Directorate</v>
          </cell>
          <cell r="H881" t="str">
            <v>Dept. of Maintenance</v>
          </cell>
          <cell r="I881" t="str">
            <v>Unit of Elins Maintenance 2</v>
          </cell>
          <cell r="J881" t="str">
            <v>Section of Line 4/5 RKC Instr. Maint.</v>
          </cell>
        </row>
        <row r="882">
          <cell r="A882">
            <v>6036</v>
          </cell>
          <cell r="B882" t="str">
            <v>8912203</v>
          </cell>
          <cell r="C882">
            <v>50069502</v>
          </cell>
          <cell r="D882" t="str">
            <v>RIZAL FAHRIZA S.</v>
          </cell>
          <cell r="E882" t="str">
            <v>Spv of Line 5 RM Mach PdM&amp;PM Schd</v>
          </cell>
          <cell r="F882" t="str">
            <v>Supervisor</v>
          </cell>
          <cell r="G882" t="str">
            <v>Operation Directorate</v>
          </cell>
          <cell r="H882" t="str">
            <v>Dept. of Maintenance</v>
          </cell>
          <cell r="I882" t="str">
            <v>Unit of Machine Maintenance 2</v>
          </cell>
          <cell r="J882" t="str">
            <v>Section of Line 4/5 RM Machine Maint</v>
          </cell>
        </row>
        <row r="883">
          <cell r="A883">
            <v>6037</v>
          </cell>
          <cell r="B883" t="str">
            <v>8912204</v>
          </cell>
          <cell r="C883">
            <v>50071541</v>
          </cell>
          <cell r="D883" t="str">
            <v>SABRUL</v>
          </cell>
          <cell r="E883" t="str">
            <v>D Key Account Jr Officer</v>
          </cell>
          <cell r="F883" t="str">
            <v>Supervisor</v>
          </cell>
          <cell r="G883" t="str">
            <v>President Directorate</v>
          </cell>
          <cell r="H883" t="str">
            <v>Dept. of Sales</v>
          </cell>
          <cell r="I883" t="str">
            <v>Unit of Corporate Sales</v>
          </cell>
          <cell r="J883" t="str">
            <v>Staff of Key Account Officer</v>
          </cell>
        </row>
        <row r="884">
          <cell r="A884">
            <v>6038</v>
          </cell>
          <cell r="B884" t="str">
            <v>8912205</v>
          </cell>
          <cell r="C884">
            <v>50029261</v>
          </cell>
          <cell r="D884" t="str">
            <v>MUH.LISWANDI N.</v>
          </cell>
          <cell r="E884" t="str">
            <v>Spv of Plant Cement Silo E/I Main</v>
          </cell>
          <cell r="F884" t="str">
            <v>Supervisor</v>
          </cell>
          <cell r="G884" t="str">
            <v>Operation Directorate</v>
          </cell>
          <cell r="H884" t="str">
            <v>Dept. of Maintenance</v>
          </cell>
          <cell r="I884" t="str">
            <v>Unit of Elins Maintenance 1</v>
          </cell>
          <cell r="J884" t="str">
            <v>Section of Packer Elins Maint</v>
          </cell>
        </row>
        <row r="885">
          <cell r="A885">
            <v>6039</v>
          </cell>
          <cell r="B885" t="str">
            <v>8912206</v>
          </cell>
          <cell r="C885">
            <v>50053932</v>
          </cell>
          <cell r="D885" t="str">
            <v>HAMKA</v>
          </cell>
          <cell r="E885" t="str">
            <v>Line 2/3 CCR FM Jr Officer</v>
          </cell>
          <cell r="F885" t="str">
            <v>Supervisor</v>
          </cell>
          <cell r="G885" t="str">
            <v>Operation Directorate</v>
          </cell>
          <cell r="H885" t="str">
            <v>Dept. of Clinker &amp; Cement Production</v>
          </cell>
          <cell r="I885" t="str">
            <v>Unit of Cement Production</v>
          </cell>
          <cell r="J885" t="str">
            <v>Section of Line 2/3 FM Operation</v>
          </cell>
        </row>
        <row r="886">
          <cell r="A886">
            <v>6040</v>
          </cell>
          <cell r="B886" t="str">
            <v>8912207</v>
          </cell>
          <cell r="C886">
            <v>50021277</v>
          </cell>
          <cell r="D886" t="str">
            <v>IRIANTI R.</v>
          </cell>
          <cell r="E886" t="str">
            <v>Secretary of BOD</v>
          </cell>
          <cell r="F886" t="str">
            <v>Supervisor</v>
          </cell>
          <cell r="G886" t="str">
            <v>President Directorate</v>
          </cell>
          <cell r="H886" t="str">
            <v>Dept. of Communication, Legal &amp; GA</v>
          </cell>
        </row>
        <row r="887">
          <cell r="A887">
            <v>6041</v>
          </cell>
          <cell r="B887" t="str">
            <v>8912208</v>
          </cell>
          <cell r="C887">
            <v>50069480</v>
          </cell>
          <cell r="D887" t="str">
            <v>AGUSNADI, SE.</v>
          </cell>
          <cell r="E887" t="str">
            <v>Spv of Mutation Clinker Control</v>
          </cell>
          <cell r="F887" t="str">
            <v>Supervisor</v>
          </cell>
          <cell r="G887" t="str">
            <v>Operation Directorate</v>
          </cell>
          <cell r="H887" t="str">
            <v>Dept. of Production Planning &amp; Control</v>
          </cell>
          <cell r="I887" t="str">
            <v>Unit of Production Support</v>
          </cell>
          <cell r="J887" t="str">
            <v>Section of Heavy Equipment &amp; Coal Transp</v>
          </cell>
        </row>
        <row r="888">
          <cell r="A888">
            <v>6042</v>
          </cell>
          <cell r="B888" t="str">
            <v>8912210</v>
          </cell>
          <cell r="C888">
            <v>50069688</v>
          </cell>
          <cell r="D888" t="str">
            <v>JULHAIDIR A.</v>
          </cell>
          <cell r="E888" t="str">
            <v>PdM &amp; PM Schedule Instrument Jr Officer</v>
          </cell>
          <cell r="F888" t="str">
            <v>Supervisor</v>
          </cell>
          <cell r="G888" t="str">
            <v>Operation Directorate</v>
          </cell>
          <cell r="H888" t="str">
            <v>Dept. of Mining &amp; Power Plant</v>
          </cell>
          <cell r="I888" t="str">
            <v>Unit of Power Plant Elins Maintenance</v>
          </cell>
          <cell r="J888" t="str">
            <v>Section of Power Plant Instrument Maint.</v>
          </cell>
        </row>
        <row r="889">
          <cell r="A889">
            <v>6043</v>
          </cell>
          <cell r="B889" t="str">
            <v>8912211</v>
          </cell>
          <cell r="C889">
            <v>50053165</v>
          </cell>
          <cell r="D889" t="str">
            <v>MUHAMMAD NASRUL, S.M.</v>
          </cell>
          <cell r="E889" t="str">
            <v>Spv of CCR RKC &amp; Trass Dryer 4</v>
          </cell>
          <cell r="F889" t="str">
            <v>Supervisor</v>
          </cell>
          <cell r="G889" t="str">
            <v>Operation Directorate</v>
          </cell>
          <cell r="H889" t="str">
            <v>Dept. of Clinker &amp; Cement Production</v>
          </cell>
          <cell r="I889" t="str">
            <v>Unit of Clinker Production</v>
          </cell>
          <cell r="J889" t="str">
            <v>Section of Line 4 RKC Operation</v>
          </cell>
        </row>
        <row r="890">
          <cell r="A890">
            <v>6044</v>
          </cell>
          <cell r="B890" t="str">
            <v>8912212</v>
          </cell>
          <cell r="C890">
            <v>50063881</v>
          </cell>
          <cell r="D890" t="str">
            <v>MUHAMMAD TAUFIK UTINA, SH.</v>
          </cell>
          <cell r="E890" t="str">
            <v>D Legal Jr Officer</v>
          </cell>
          <cell r="F890" t="str">
            <v>Supervisor</v>
          </cell>
          <cell r="G890" t="str">
            <v>President Directorate</v>
          </cell>
          <cell r="H890" t="str">
            <v>Dept. of Communication, Legal &amp; GA</v>
          </cell>
          <cell r="I890" t="str">
            <v>Unit of Legal</v>
          </cell>
          <cell r="J890" t="str">
            <v>Staff of legal</v>
          </cell>
        </row>
        <row r="891">
          <cell r="A891">
            <v>6045</v>
          </cell>
          <cell r="B891" t="str">
            <v>8912213</v>
          </cell>
          <cell r="C891">
            <v>50024315</v>
          </cell>
          <cell r="D891" t="str">
            <v>MUHAMAD ANAS</v>
          </cell>
          <cell r="E891" t="str">
            <v>Spv of Crusher Elins Repair</v>
          </cell>
          <cell r="F891" t="str">
            <v>Supervisor</v>
          </cell>
          <cell r="G891" t="str">
            <v>Operation Directorate</v>
          </cell>
          <cell r="H891" t="str">
            <v>Dept. of Maintenance</v>
          </cell>
          <cell r="I891" t="str">
            <v>Unit of Elins Maintenance 1</v>
          </cell>
          <cell r="J891" t="str">
            <v>Section of Crusher Elins Maintenance</v>
          </cell>
        </row>
        <row r="892">
          <cell r="A892">
            <v>6046</v>
          </cell>
          <cell r="B892" t="str">
            <v>8912214</v>
          </cell>
          <cell r="C892">
            <v>50070244</v>
          </cell>
          <cell r="D892" t="str">
            <v>ARIFUDDIN MUSTAFA</v>
          </cell>
          <cell r="E892" t="str">
            <v>Procurement Jr Officer</v>
          </cell>
          <cell r="F892" t="str">
            <v>Supervisor</v>
          </cell>
          <cell r="G892" t="str">
            <v>Direktorat Human Capital</v>
          </cell>
          <cell r="H892" t="str">
            <v>Department of Goods &amp; Capex Procurement</v>
          </cell>
          <cell r="I892" t="str">
            <v>Unit of Mechanical 2 Procurement</v>
          </cell>
        </row>
        <row r="893">
          <cell r="A893">
            <v>6047</v>
          </cell>
          <cell r="B893" t="str">
            <v>8912215</v>
          </cell>
          <cell r="C893">
            <v>50069505</v>
          </cell>
          <cell r="D893" t="str">
            <v>LUKMAN</v>
          </cell>
          <cell r="E893" t="str">
            <v>Spv of Line 5 Kiln&amp;CM Mech PdM&amp;PM Schd</v>
          </cell>
          <cell r="F893" t="str">
            <v>Supervisor</v>
          </cell>
          <cell r="G893" t="str">
            <v>Operation Directorate</v>
          </cell>
          <cell r="H893" t="str">
            <v>Dept. of Maintenance</v>
          </cell>
          <cell r="I893" t="str">
            <v>Unit of Machine Maintenance 2</v>
          </cell>
          <cell r="J893" t="str">
            <v>Section of Line 4/5 Kiln &amp; CM Mach Maint</v>
          </cell>
        </row>
        <row r="894">
          <cell r="A894">
            <v>6048</v>
          </cell>
          <cell r="B894" t="str">
            <v>8912216</v>
          </cell>
          <cell r="C894">
            <v>50069737</v>
          </cell>
          <cell r="D894" t="str">
            <v>SAFARUDDIN, SE.</v>
          </cell>
          <cell r="E894" t="str">
            <v>PP Performance &amp; Evaluation Jr Officer</v>
          </cell>
          <cell r="F894" t="str">
            <v>Supervisor</v>
          </cell>
          <cell r="G894" t="str">
            <v>Operation Directorate</v>
          </cell>
          <cell r="H894" t="str">
            <v>Dept. of Mining &amp; Power Plant</v>
          </cell>
          <cell r="I894" t="str">
            <v>Unit of Power Plant Operation</v>
          </cell>
          <cell r="J894" t="str">
            <v>Section of PP Performance &amp; Evaluation</v>
          </cell>
        </row>
        <row r="895">
          <cell r="A895">
            <v>6049</v>
          </cell>
          <cell r="B895" t="str">
            <v>8912217</v>
          </cell>
          <cell r="C895">
            <v>50069408</v>
          </cell>
          <cell r="D895" t="str">
            <v>MUHAMMAD IHSAN HATTA</v>
          </cell>
          <cell r="E895" t="str">
            <v>Spv of Line 5 RM Field Specialist</v>
          </cell>
          <cell r="F895" t="str">
            <v>Supervisor</v>
          </cell>
          <cell r="G895" t="str">
            <v>Operation Directorate</v>
          </cell>
          <cell r="H895" t="str">
            <v>Dept. of Clinker &amp; Cement Production</v>
          </cell>
          <cell r="I895" t="str">
            <v>Unit of Clinker Production</v>
          </cell>
          <cell r="J895" t="str">
            <v>Section of Line 5 RKC Operation</v>
          </cell>
        </row>
        <row r="896">
          <cell r="A896">
            <v>6050</v>
          </cell>
          <cell r="B896" t="str">
            <v>8912218</v>
          </cell>
          <cell r="C896">
            <v>50069350</v>
          </cell>
          <cell r="D896" t="str">
            <v>ARDILA BAYU FIRDAUS, SE.</v>
          </cell>
          <cell r="E896" t="str">
            <v>Spv of Clinker &amp; SLA Management</v>
          </cell>
          <cell r="F896" t="str">
            <v>Supervisor</v>
          </cell>
          <cell r="G896" t="str">
            <v>Operation Directorate</v>
          </cell>
          <cell r="H896" t="str">
            <v>Dept. of Clinker &amp; Cement Production</v>
          </cell>
          <cell r="I896" t="str">
            <v>Unit of Derivative Product  &amp; Supporting</v>
          </cell>
          <cell r="J896" t="str">
            <v>Section of Product Ctr. Compliance &amp; SLA</v>
          </cell>
        </row>
        <row r="897">
          <cell r="A897">
            <v>6051</v>
          </cell>
          <cell r="B897" t="str">
            <v>8912219</v>
          </cell>
          <cell r="C897">
            <v>50070710</v>
          </cell>
          <cell r="D897" t="str">
            <v>MUH.ZAINAL SYAM</v>
          </cell>
          <cell r="E897" t="str">
            <v>Sultra, Sulut &amp; Gorontalo TSO</v>
          </cell>
          <cell r="F897" t="str">
            <v>Supervisor</v>
          </cell>
          <cell r="G897" t="str">
            <v>President Directorate</v>
          </cell>
          <cell r="H897" t="str">
            <v>Dept. of Sales</v>
          </cell>
          <cell r="I897" t="str">
            <v>Unit of Sales 1</v>
          </cell>
          <cell r="J897" t="str">
            <v>Section of Sultra, Sulut &amp; Gorontalo</v>
          </cell>
        </row>
        <row r="898">
          <cell r="A898">
            <v>6052</v>
          </cell>
          <cell r="B898" t="str">
            <v>8912220</v>
          </cell>
          <cell r="C898">
            <v>50007334</v>
          </cell>
          <cell r="D898" t="str">
            <v>INDRA NANDA, SH.</v>
          </cell>
          <cell r="E898" t="str">
            <v>Legal Jr Officer</v>
          </cell>
          <cell r="F898" t="str">
            <v>Supervisor</v>
          </cell>
          <cell r="G898" t="str">
            <v>President Directorate</v>
          </cell>
          <cell r="H898" t="str">
            <v>Dept. of Communication, Legal &amp; GA</v>
          </cell>
          <cell r="I898" t="str">
            <v>Unit of Legal</v>
          </cell>
          <cell r="J898" t="str">
            <v>Staff of legal</v>
          </cell>
        </row>
        <row r="899">
          <cell r="A899">
            <v>6053</v>
          </cell>
          <cell r="B899" t="str">
            <v>8912221</v>
          </cell>
          <cell r="C899">
            <v>50024422</v>
          </cell>
          <cell r="D899" t="str">
            <v>MUH.JAMAL SYUKUR, ST.</v>
          </cell>
          <cell r="E899" t="str">
            <v>Maintenance Inspection Jr Officer</v>
          </cell>
          <cell r="F899" t="str">
            <v>Supervisor</v>
          </cell>
          <cell r="G899" t="str">
            <v>Operation Directorate</v>
          </cell>
          <cell r="H899" t="str">
            <v>Dept. of Maintenance</v>
          </cell>
          <cell r="I899" t="str">
            <v>Unit of Reliability Maintenance</v>
          </cell>
          <cell r="J899" t="str">
            <v>Staff of Maintenance Inspection</v>
          </cell>
        </row>
        <row r="900">
          <cell r="A900">
            <v>6055</v>
          </cell>
          <cell r="B900" t="str">
            <v>8912223</v>
          </cell>
          <cell r="C900">
            <v>50065645</v>
          </cell>
          <cell r="D900" t="str">
            <v>DUDUNG SUDDIN</v>
          </cell>
          <cell r="E900" t="str">
            <v>Line 2/3 RKC Elins PdM&amp;PM Jr Officer</v>
          </cell>
          <cell r="F900" t="str">
            <v>Supervisor</v>
          </cell>
          <cell r="G900" t="str">
            <v>Operation Directorate</v>
          </cell>
          <cell r="H900" t="str">
            <v>Dept. of Maintenance</v>
          </cell>
          <cell r="I900" t="str">
            <v>Unit of Elins Maintenance 1</v>
          </cell>
          <cell r="J900" t="str">
            <v>Section of Line 2/3 RKC Elins Maint.</v>
          </cell>
        </row>
        <row r="901">
          <cell r="A901">
            <v>6056</v>
          </cell>
          <cell r="B901" t="str">
            <v>8912224</v>
          </cell>
          <cell r="C901">
            <v>50069548</v>
          </cell>
          <cell r="D901" t="str">
            <v>AMRAN, ST.</v>
          </cell>
          <cell r="E901" t="str">
            <v>Spv of Line 4 FM Elins PvM</v>
          </cell>
          <cell r="F901" t="str">
            <v>Supervisor</v>
          </cell>
          <cell r="G901" t="str">
            <v>Operation Directorate</v>
          </cell>
          <cell r="H901" t="str">
            <v>Dept. of Maintenance</v>
          </cell>
          <cell r="I901" t="str">
            <v>Unit of Elins Maintenance 2</v>
          </cell>
          <cell r="J901" t="str">
            <v>Section of Line 4/5 FM Elins Maint</v>
          </cell>
        </row>
        <row r="902">
          <cell r="A902">
            <v>6057</v>
          </cell>
          <cell r="B902" t="str">
            <v>8912225</v>
          </cell>
          <cell r="C902">
            <v>50068554</v>
          </cell>
          <cell r="D902" t="str">
            <v>DWI SATRIA NUGRAHA, SE.</v>
          </cell>
          <cell r="E902" t="str">
            <v>Packaging Management Jr Officer</v>
          </cell>
          <cell r="F902" t="str">
            <v>Supervisor</v>
          </cell>
          <cell r="G902" t="str">
            <v>President Directorate</v>
          </cell>
          <cell r="H902" t="str">
            <v>Dept. of Sales</v>
          </cell>
          <cell r="I902" t="str">
            <v>Unit of Outbound Logistic</v>
          </cell>
          <cell r="J902" t="str">
            <v>Section of Packaging Management</v>
          </cell>
        </row>
        <row r="903">
          <cell r="A903">
            <v>6058</v>
          </cell>
          <cell r="B903" t="str">
            <v>8912226</v>
          </cell>
          <cell r="C903">
            <v>50055833</v>
          </cell>
          <cell r="D903" t="str">
            <v>BAGUS IMAM PRATOMO</v>
          </cell>
          <cell r="E903" t="str">
            <v>Line 5 CCR FM Jr Officer</v>
          </cell>
          <cell r="F903" t="str">
            <v>Supervisor</v>
          </cell>
          <cell r="G903" t="str">
            <v>Operation Directorate</v>
          </cell>
          <cell r="H903" t="str">
            <v>Dept. of Clinker &amp; Cement Production</v>
          </cell>
          <cell r="I903" t="str">
            <v>Unit of Cement Production</v>
          </cell>
          <cell r="J903" t="str">
            <v>Section of Line 5 Finish Mill Operation</v>
          </cell>
        </row>
        <row r="904">
          <cell r="A904">
            <v>6059</v>
          </cell>
          <cell r="B904" t="str">
            <v>8912315</v>
          </cell>
          <cell r="C904">
            <v>50069158</v>
          </cell>
          <cell r="D904" t="str">
            <v>ZAIMUL JAFRI, SE.</v>
          </cell>
          <cell r="E904" t="str">
            <v>Incoming &amp; Sup Mat Lab Anal Jr Officer</v>
          </cell>
          <cell r="F904" t="str">
            <v>Supervisor</v>
          </cell>
          <cell r="G904" t="str">
            <v>Operation Directorate</v>
          </cell>
          <cell r="I904" t="str">
            <v>Unit of Quality Assurance</v>
          </cell>
          <cell r="J904" t="str">
            <v>Section of Material Quality Assurance</v>
          </cell>
        </row>
        <row r="905">
          <cell r="A905">
            <v>6060</v>
          </cell>
          <cell r="B905" t="str">
            <v>8912227</v>
          </cell>
          <cell r="C905">
            <v>50070845</v>
          </cell>
          <cell r="D905" t="str">
            <v>A.BASO MAPPINCARA, ST.</v>
          </cell>
          <cell r="E905" t="str">
            <v>D Human Capital Jr Officer</v>
          </cell>
          <cell r="F905" t="str">
            <v>Supervisor</v>
          </cell>
          <cell r="G905" t="str">
            <v>Finance Risk Mgmt &amp; General Directorate</v>
          </cell>
          <cell r="H905" t="str">
            <v>Department of Human Capital &amp; GRC</v>
          </cell>
        </row>
        <row r="906">
          <cell r="A906">
            <v>6061</v>
          </cell>
          <cell r="B906" t="str">
            <v>8912228</v>
          </cell>
          <cell r="C906">
            <v>50069159</v>
          </cell>
          <cell r="D906" t="str">
            <v>M.ARWIN SAPUTRA, ST.</v>
          </cell>
          <cell r="E906" t="str">
            <v>Incoming &amp; Sup Mat Lab Anal Jr Officer</v>
          </cell>
          <cell r="F906" t="str">
            <v>Supervisor</v>
          </cell>
          <cell r="G906" t="str">
            <v>Operation Directorate</v>
          </cell>
          <cell r="I906" t="str">
            <v>Unit of Quality Assurance</v>
          </cell>
          <cell r="J906" t="str">
            <v>Section of Material Quality Assurance</v>
          </cell>
        </row>
        <row r="907">
          <cell r="A907">
            <v>6062</v>
          </cell>
          <cell r="B907" t="str">
            <v>8912229</v>
          </cell>
          <cell r="C907">
            <v>50069536</v>
          </cell>
          <cell r="D907" t="str">
            <v>TOPAN MUHAMMAD RIDWAN</v>
          </cell>
          <cell r="E907" t="str">
            <v>Spv of Line 4 RKCM Instr PvM</v>
          </cell>
          <cell r="F907" t="str">
            <v>Supervisor</v>
          </cell>
          <cell r="G907" t="str">
            <v>Operation Directorate</v>
          </cell>
          <cell r="H907" t="str">
            <v>Dept. of Maintenance</v>
          </cell>
          <cell r="I907" t="str">
            <v>Unit of Elins Maintenance 2</v>
          </cell>
          <cell r="J907" t="str">
            <v>Section of Line 4/5 RKC Instr. Maint.</v>
          </cell>
        </row>
        <row r="908">
          <cell r="A908">
            <v>6063</v>
          </cell>
          <cell r="B908" t="str">
            <v>8912230</v>
          </cell>
          <cell r="C908">
            <v>50069396</v>
          </cell>
          <cell r="D908" t="str">
            <v>WAHYU, ST.</v>
          </cell>
          <cell r="E908" t="str">
            <v>Spv of Line 5 RM Field</v>
          </cell>
          <cell r="F908" t="str">
            <v>Supervisor</v>
          </cell>
          <cell r="G908" t="str">
            <v>Operation Directorate</v>
          </cell>
          <cell r="H908" t="str">
            <v>Dept. of Clinker &amp; Cement Production</v>
          </cell>
          <cell r="I908" t="str">
            <v>Unit of Clinker Production</v>
          </cell>
          <cell r="J908" t="str">
            <v>Section of Line 5 RKC Operation</v>
          </cell>
        </row>
        <row r="909">
          <cell r="A909">
            <v>6064</v>
          </cell>
          <cell r="B909" t="str">
            <v>8912231</v>
          </cell>
          <cell r="C909">
            <v>50069250</v>
          </cell>
          <cell r="D909" t="str">
            <v>ROSMINI RAMLI</v>
          </cell>
          <cell r="E909" t="str">
            <v>Transportation Billing Jr Officer</v>
          </cell>
          <cell r="F909" t="str">
            <v>Supervisor</v>
          </cell>
          <cell r="G909" t="str">
            <v>President Directorate</v>
          </cell>
          <cell r="H909" t="str">
            <v>Dept. of Sales</v>
          </cell>
          <cell r="I909" t="str">
            <v>Unit of Outbound Logistic</v>
          </cell>
        </row>
        <row r="910">
          <cell r="A910">
            <v>6065</v>
          </cell>
          <cell r="B910" t="str">
            <v>8912232</v>
          </cell>
          <cell r="C910">
            <v>50066428</v>
          </cell>
          <cell r="D910" t="str">
            <v>MUHAMMAD MASDAR HASANUDDIN</v>
          </cell>
          <cell r="E910" t="str">
            <v>Spv of Civil Infrastructure</v>
          </cell>
          <cell r="F910" t="str">
            <v>Supervisor</v>
          </cell>
          <cell r="G910" t="str">
            <v>Operation Directorate</v>
          </cell>
          <cell r="H910" t="str">
            <v>Dep. of Project Mngmnt &amp; Maint. Support</v>
          </cell>
          <cell r="I910" t="str">
            <v>Unit of Project Management</v>
          </cell>
          <cell r="J910" t="str">
            <v>Section of Project Execution (Constr.)</v>
          </cell>
        </row>
        <row r="911">
          <cell r="A911">
            <v>6066</v>
          </cell>
          <cell r="B911" t="str">
            <v>9012233</v>
          </cell>
          <cell r="C911">
            <v>50069045</v>
          </cell>
          <cell r="D911" t="str">
            <v>ANSAR MUHAJI</v>
          </cell>
          <cell r="E911" t="str">
            <v>Spv of Ambon PP Maintenance</v>
          </cell>
          <cell r="F911" t="str">
            <v>Supervisor</v>
          </cell>
          <cell r="G911" t="str">
            <v>Operation Directorate</v>
          </cell>
          <cell r="H911" t="str">
            <v>Dept. of Infrastructure</v>
          </cell>
          <cell r="I911" t="str">
            <v>Unit of Packing Plant 2</v>
          </cell>
          <cell r="J911" t="str">
            <v>Section of Ambon Packing Plant</v>
          </cell>
        </row>
        <row r="912">
          <cell r="A912">
            <v>6067</v>
          </cell>
          <cell r="B912" t="str">
            <v>9012234</v>
          </cell>
          <cell r="C912">
            <v>50069501</v>
          </cell>
          <cell r="D912" t="str">
            <v>FIRMAN TEGUH, S.Pd.</v>
          </cell>
          <cell r="E912" t="str">
            <v>Spv of Line 4 RM Machine PvM</v>
          </cell>
          <cell r="F912" t="str">
            <v>Supervisor</v>
          </cell>
          <cell r="G912" t="str">
            <v>Operation Directorate</v>
          </cell>
          <cell r="H912" t="str">
            <v>Dept. of Maintenance</v>
          </cell>
          <cell r="I912" t="str">
            <v>Unit of Machine Maintenance 2</v>
          </cell>
          <cell r="J912" t="str">
            <v>Section of Line 4/5 RM Machine Maint</v>
          </cell>
        </row>
        <row r="913">
          <cell r="A913">
            <v>6068</v>
          </cell>
          <cell r="B913" t="str">
            <v>9012235</v>
          </cell>
          <cell r="C913">
            <v>50008428</v>
          </cell>
          <cell r="D913" t="str">
            <v>MUH.SABRI MB.</v>
          </cell>
          <cell r="E913" t="str">
            <v>Spv of Electrical Control</v>
          </cell>
          <cell r="F913" t="str">
            <v>Supervisor</v>
          </cell>
          <cell r="G913" t="str">
            <v>Operation Directorate</v>
          </cell>
          <cell r="H913" t="str">
            <v>Dept. of Mining &amp; Power Plant</v>
          </cell>
          <cell r="I913" t="str">
            <v>Unit of Power Plant Elins Maintenance</v>
          </cell>
          <cell r="J913" t="str">
            <v>Section of Power Plant Elctrical Maint.</v>
          </cell>
        </row>
        <row r="914">
          <cell r="A914">
            <v>6069</v>
          </cell>
          <cell r="B914" t="str">
            <v>9012236</v>
          </cell>
          <cell r="C914">
            <v>50055832</v>
          </cell>
          <cell r="D914" t="str">
            <v>FIRMAN USMAN, S.Pd.</v>
          </cell>
          <cell r="E914" t="str">
            <v>Line 5 CCR FM Jr Officer</v>
          </cell>
          <cell r="F914" t="str">
            <v>Supervisor</v>
          </cell>
          <cell r="G914" t="str">
            <v>Operation Directorate</v>
          </cell>
          <cell r="H914" t="str">
            <v>Dept. of Clinker &amp; Cement Production</v>
          </cell>
          <cell r="I914" t="str">
            <v>Unit of Cement Production</v>
          </cell>
          <cell r="J914" t="str">
            <v>Section of Line 5 Finish Mill Operation</v>
          </cell>
        </row>
        <row r="915">
          <cell r="A915">
            <v>6070</v>
          </cell>
          <cell r="B915" t="str">
            <v>9012237</v>
          </cell>
          <cell r="C915">
            <v>50066256</v>
          </cell>
          <cell r="D915" t="str">
            <v>DIAN HIMAWAN, ST.</v>
          </cell>
          <cell r="E915" t="str">
            <v>Planning &amp; Scheduling Jr Officer</v>
          </cell>
          <cell r="F915" t="str">
            <v>Supervisor</v>
          </cell>
          <cell r="G915" t="str">
            <v>Operation Directorate</v>
          </cell>
          <cell r="H915" t="str">
            <v>Dept. of Maintenance</v>
          </cell>
          <cell r="I915" t="str">
            <v>Unit of Reliability Maintenance</v>
          </cell>
          <cell r="J915" t="str">
            <v>Staff of Planning &amp; Scheduling</v>
          </cell>
        </row>
        <row r="916">
          <cell r="A916">
            <v>6071</v>
          </cell>
          <cell r="B916" t="str">
            <v>9012238</v>
          </cell>
          <cell r="C916">
            <v>50069362</v>
          </cell>
          <cell r="D916" t="str">
            <v>AAN RAMJANI DAHLAN</v>
          </cell>
          <cell r="E916" t="str">
            <v>Spv of CCR RKC &amp; Trass Dryer 4</v>
          </cell>
          <cell r="F916" t="str">
            <v>Supervisor</v>
          </cell>
          <cell r="G916" t="str">
            <v>Operation Directorate</v>
          </cell>
          <cell r="H916" t="str">
            <v>Dept. of Clinker &amp; Cement Production</v>
          </cell>
          <cell r="I916" t="str">
            <v>Unit of Clinker Production</v>
          </cell>
          <cell r="J916" t="str">
            <v>Section of Line 4 RKC Operation</v>
          </cell>
        </row>
        <row r="917">
          <cell r="A917">
            <v>6073</v>
          </cell>
          <cell r="B917" t="str">
            <v>9012240</v>
          </cell>
          <cell r="C917">
            <v>50053164</v>
          </cell>
          <cell r="D917" t="str">
            <v>AKBAR, ST.</v>
          </cell>
          <cell r="E917" t="str">
            <v>Spv of CCR RKC &amp; Trass Dryer 4</v>
          </cell>
          <cell r="F917" t="str">
            <v>Supervisor</v>
          </cell>
          <cell r="G917" t="str">
            <v>Operation Directorate</v>
          </cell>
          <cell r="H917" t="str">
            <v>Dept. of Clinker &amp; Cement Production</v>
          </cell>
          <cell r="I917" t="str">
            <v>Unit of Clinker Production</v>
          </cell>
          <cell r="J917" t="str">
            <v>Section of Line 4 RKC Operation</v>
          </cell>
        </row>
        <row r="918">
          <cell r="A918">
            <v>6074</v>
          </cell>
          <cell r="B918" t="str">
            <v>9012241</v>
          </cell>
          <cell r="C918">
            <v>50071426</v>
          </cell>
          <cell r="D918" t="str">
            <v>FARDIANSYAH</v>
          </cell>
          <cell r="E918" t="str">
            <v>Taxation Jr Officer</v>
          </cell>
          <cell r="F918" t="str">
            <v>Supervisor</v>
          </cell>
          <cell r="G918" t="str">
            <v>Finance Risk Mgmt &amp; General Directorate</v>
          </cell>
          <cell r="H918" t="str">
            <v>Department of Finance &amp; Accounting</v>
          </cell>
          <cell r="I918" t="str">
            <v>Unit of Finance</v>
          </cell>
          <cell r="J918" t="str">
            <v>Section of Taxation</v>
          </cell>
        </row>
        <row r="919">
          <cell r="A919">
            <v>6075</v>
          </cell>
          <cell r="B919" t="str">
            <v>9012242</v>
          </cell>
          <cell r="C919">
            <v>50069656</v>
          </cell>
          <cell r="D919" t="str">
            <v>MUHAMAD RIZAL</v>
          </cell>
          <cell r="E919" t="str">
            <v>Spv of CR Clay Crusher (2/3/4/5)</v>
          </cell>
          <cell r="F919" t="str">
            <v>Supervisor</v>
          </cell>
          <cell r="G919" t="str">
            <v>Operation Directorate</v>
          </cell>
          <cell r="H919" t="str">
            <v>Dept. of Mining &amp; Power Plant</v>
          </cell>
          <cell r="I919" t="str">
            <v>Unit of Raw Material Management</v>
          </cell>
          <cell r="J919" t="str">
            <v>Section of Clay Crusher Operation</v>
          </cell>
        </row>
        <row r="920">
          <cell r="A920">
            <v>6076</v>
          </cell>
          <cell r="B920" t="str">
            <v>9012243</v>
          </cell>
          <cell r="C920">
            <v>50069316</v>
          </cell>
          <cell r="D920" t="str">
            <v>MUHAMMAD DANIAL</v>
          </cell>
          <cell r="E920" t="str">
            <v>Spv of Operation BIP</v>
          </cell>
          <cell r="F920" t="str">
            <v>Supervisor</v>
          </cell>
          <cell r="G920" t="str">
            <v>Operation Directorate</v>
          </cell>
          <cell r="H920" t="str">
            <v>Dept. of Clinker &amp; Cement Production</v>
          </cell>
          <cell r="I920" t="str">
            <v>Unit of Derivative Product  &amp; Supporting</v>
          </cell>
          <cell r="J920" t="str">
            <v>Section of Derivative Prod. &amp; Opr. 2/3</v>
          </cell>
        </row>
        <row r="921">
          <cell r="A921">
            <v>6077</v>
          </cell>
          <cell r="B921" t="str">
            <v>9012244</v>
          </cell>
          <cell r="C921">
            <v>50068531</v>
          </cell>
          <cell r="D921" t="str">
            <v>SUDARMANSYAH, SE.</v>
          </cell>
          <cell r="E921" t="str">
            <v>Shipment Management Jr Officer</v>
          </cell>
          <cell r="F921" t="str">
            <v>Supervisor</v>
          </cell>
          <cell r="G921" t="str">
            <v>President Directorate</v>
          </cell>
          <cell r="H921" t="str">
            <v>Dept. of Sales</v>
          </cell>
          <cell r="I921" t="str">
            <v>Unit of Outbound Logistic</v>
          </cell>
          <cell r="J921" t="str">
            <v>Section of Shipment Management</v>
          </cell>
        </row>
        <row r="922">
          <cell r="A922">
            <v>6078</v>
          </cell>
          <cell r="B922" t="str">
            <v>9012245</v>
          </cell>
          <cell r="C922">
            <v>50007316</v>
          </cell>
          <cell r="D922" t="str">
            <v>MUHAMMAD HANAFI</v>
          </cell>
          <cell r="E922" t="str">
            <v>Comm. &amp; Public Relations Jr Officer</v>
          </cell>
          <cell r="F922" t="str">
            <v>Supervisor</v>
          </cell>
          <cell r="G922" t="str">
            <v>President Directorate</v>
          </cell>
          <cell r="H922" t="str">
            <v>Dept. of Communication, Legal &amp; GA</v>
          </cell>
          <cell r="I922" t="str">
            <v>Unit of Communication &amp; Secretariate</v>
          </cell>
          <cell r="J922" t="str">
            <v>Staff of Communication &amp; Public Relation</v>
          </cell>
        </row>
        <row r="923">
          <cell r="A923">
            <v>6079</v>
          </cell>
          <cell r="B923" t="str">
            <v>9012246</v>
          </cell>
          <cell r="C923">
            <v>50066805</v>
          </cell>
          <cell r="D923" t="str">
            <v>FERDIANSYAH ANUGRAH, ST.</v>
          </cell>
          <cell r="E923" t="str">
            <v>Quality Control Jr Officer</v>
          </cell>
          <cell r="F923" t="str">
            <v>Supervisor</v>
          </cell>
          <cell r="G923" t="str">
            <v>Operation Directorate</v>
          </cell>
          <cell r="H923" t="str">
            <v>Dept. of Production Planning &amp; Control</v>
          </cell>
          <cell r="I923" t="str">
            <v>Unit of Quality Control</v>
          </cell>
          <cell r="J923" t="str">
            <v>Section of Quality Development &amp; Eval.</v>
          </cell>
        </row>
        <row r="924">
          <cell r="A924">
            <v>6080</v>
          </cell>
          <cell r="B924" t="str">
            <v>9012248</v>
          </cell>
          <cell r="C924">
            <v>50069404</v>
          </cell>
          <cell r="D924" t="str">
            <v>HERWIN HARUNA</v>
          </cell>
          <cell r="E924" t="str">
            <v>Spv of Line 5 Coal Mill Field</v>
          </cell>
          <cell r="F924" t="str">
            <v>Supervisor</v>
          </cell>
          <cell r="G924" t="str">
            <v>Operation Directorate</v>
          </cell>
          <cell r="H924" t="str">
            <v>Dept. of Clinker &amp; Cement Production</v>
          </cell>
          <cell r="I924" t="str">
            <v>Unit of Clinker Production</v>
          </cell>
          <cell r="J924" t="str">
            <v>Section of Line 5 RKC Operation</v>
          </cell>
        </row>
        <row r="925">
          <cell r="A925">
            <v>6081</v>
          </cell>
          <cell r="B925" t="str">
            <v>9012249</v>
          </cell>
          <cell r="C925">
            <v>50070714</v>
          </cell>
          <cell r="D925" t="str">
            <v>SYAHRIL, ST., MM.</v>
          </cell>
          <cell r="E925" t="str">
            <v>ASM of Kaltim &amp; Kaltara</v>
          </cell>
          <cell r="F925" t="str">
            <v>Manager</v>
          </cell>
          <cell r="G925" t="str">
            <v>President Directorate</v>
          </cell>
          <cell r="H925" t="str">
            <v>Dept. of Sales</v>
          </cell>
          <cell r="I925" t="str">
            <v>Unit of Sales 1</v>
          </cell>
          <cell r="J925" t="str">
            <v>Section of Kaltim &amp; Kaltara</v>
          </cell>
        </row>
        <row r="926">
          <cell r="A926">
            <v>6082</v>
          </cell>
          <cell r="B926" t="str">
            <v>9012250</v>
          </cell>
          <cell r="C926">
            <v>50065456</v>
          </cell>
          <cell r="D926" t="str">
            <v>AKMAL HATAMAN</v>
          </cell>
          <cell r="E926" t="str">
            <v>Spv of LS, CL, SL 2/3/4 PdM &amp; PM</v>
          </cell>
          <cell r="F926" t="str">
            <v>Supervisor</v>
          </cell>
          <cell r="G926" t="str">
            <v>Operation Directorate</v>
          </cell>
          <cell r="H926" t="str">
            <v>Dept. of Maintenance</v>
          </cell>
          <cell r="I926" t="str">
            <v>Unit of Machine Maintenance 1</v>
          </cell>
          <cell r="J926" t="str">
            <v>Section of Crusher Machine &amp; Conv Maint.</v>
          </cell>
        </row>
        <row r="927">
          <cell r="A927">
            <v>6083</v>
          </cell>
          <cell r="B927" t="str">
            <v>9012251</v>
          </cell>
          <cell r="C927">
            <v>50066803</v>
          </cell>
          <cell r="D927" t="str">
            <v>SUDIRMAN</v>
          </cell>
          <cell r="E927" t="str">
            <v>Quality Control Jr Officer</v>
          </cell>
          <cell r="F927" t="str">
            <v>Supervisor</v>
          </cell>
          <cell r="G927" t="str">
            <v>Operation Directorate</v>
          </cell>
          <cell r="H927" t="str">
            <v>Dept. of Production Planning &amp; Control</v>
          </cell>
          <cell r="I927" t="str">
            <v>Unit of Quality Control</v>
          </cell>
          <cell r="J927" t="str">
            <v>Section of Quality Development &amp; Eval.</v>
          </cell>
        </row>
        <row r="928">
          <cell r="A928">
            <v>6084</v>
          </cell>
          <cell r="B928" t="str">
            <v>9012252</v>
          </cell>
          <cell r="C928">
            <v>50069691</v>
          </cell>
          <cell r="D928" t="str">
            <v>A.AMIRUDDIN ALIAH, ST.</v>
          </cell>
          <cell r="E928" t="str">
            <v>Spv of PvM PP Instrument</v>
          </cell>
          <cell r="F928" t="str">
            <v>Supervisor</v>
          </cell>
          <cell r="G928" t="str">
            <v>Operation Directorate</v>
          </cell>
          <cell r="H928" t="str">
            <v>Dept. of Mining &amp; Power Plant</v>
          </cell>
          <cell r="I928" t="str">
            <v>Unit of Power Plant Elins Maintenance</v>
          </cell>
          <cell r="J928" t="str">
            <v>Section of Power Plant Instrument Maint.</v>
          </cell>
        </row>
        <row r="929">
          <cell r="A929">
            <v>6085</v>
          </cell>
          <cell r="B929" t="str">
            <v>9012253</v>
          </cell>
          <cell r="C929">
            <v>50069640</v>
          </cell>
          <cell r="D929" t="str">
            <v>ABDUL MAARIF</v>
          </cell>
          <cell r="E929" t="str">
            <v>Spv of Control Room LS Crusher (5)</v>
          </cell>
          <cell r="F929" t="str">
            <v>Supervisor</v>
          </cell>
          <cell r="G929" t="str">
            <v>Operation Directorate</v>
          </cell>
          <cell r="H929" t="str">
            <v>Dept. of Mining &amp; Power Plant</v>
          </cell>
          <cell r="I929" t="str">
            <v>Unit of Raw Material Management</v>
          </cell>
          <cell r="J929" t="str">
            <v>Section of Limestone Crusher Operation</v>
          </cell>
        </row>
        <row r="930">
          <cell r="A930">
            <v>6086</v>
          </cell>
          <cell r="B930" t="str">
            <v>9012254</v>
          </cell>
          <cell r="C930">
            <v>50055787</v>
          </cell>
          <cell r="D930" t="str">
            <v>NASRI</v>
          </cell>
          <cell r="E930" t="str">
            <v>Spv of CCR RKC 5</v>
          </cell>
          <cell r="F930" t="str">
            <v>Supervisor</v>
          </cell>
          <cell r="G930" t="str">
            <v>Operation Directorate</v>
          </cell>
          <cell r="H930" t="str">
            <v>Dept. of Clinker &amp; Cement Production</v>
          </cell>
          <cell r="I930" t="str">
            <v>Unit of Clinker Production</v>
          </cell>
          <cell r="J930" t="str">
            <v>Section of Line 5 RKC Operation</v>
          </cell>
        </row>
        <row r="931">
          <cell r="A931">
            <v>6087</v>
          </cell>
          <cell r="B931" t="str">
            <v>9012255</v>
          </cell>
          <cell r="C931">
            <v>50069035</v>
          </cell>
          <cell r="D931" t="str">
            <v>SUPRIADI JAPIS</v>
          </cell>
          <cell r="E931" t="str">
            <v>Spv of Banjarmasin PP Maintenance</v>
          </cell>
          <cell r="F931" t="str">
            <v>Supervisor</v>
          </cell>
          <cell r="G931" t="str">
            <v>Operation Directorate</v>
          </cell>
          <cell r="H931" t="str">
            <v>Dept. of Infrastructure</v>
          </cell>
          <cell r="I931" t="str">
            <v>Unit of Packing Plant 1</v>
          </cell>
          <cell r="J931" t="str">
            <v>Section of Banjarmasin Packing Plant</v>
          </cell>
        </row>
        <row r="932">
          <cell r="A932">
            <v>6088</v>
          </cell>
          <cell r="B932" t="str">
            <v>9012256</v>
          </cell>
          <cell r="C932">
            <v>50069138</v>
          </cell>
          <cell r="D932" t="str">
            <v>SULFITRA SULAIMAN</v>
          </cell>
          <cell r="E932" t="str">
            <v>Autonomous Packer 2345 &amp; BC Jr Officer</v>
          </cell>
          <cell r="F932" t="str">
            <v>Supervisor</v>
          </cell>
          <cell r="G932" t="str">
            <v>Operation Directorate</v>
          </cell>
          <cell r="H932" t="str">
            <v>Dept. of Infrastructure</v>
          </cell>
          <cell r="I932" t="str">
            <v>Unit of Plant &amp; Port Prod Discharge Opr</v>
          </cell>
          <cell r="J932" t="str">
            <v>Section of Plant Site Packer &amp; Bulk Opr</v>
          </cell>
        </row>
        <row r="933">
          <cell r="A933">
            <v>6089</v>
          </cell>
          <cell r="B933" t="str">
            <v>9012257</v>
          </cell>
          <cell r="C933">
            <v>50071449</v>
          </cell>
          <cell r="D933" t="str">
            <v>SOFYANA, SE.</v>
          </cell>
          <cell r="E933" t="str">
            <v>D Risk Management &amp; BCM Jr Officer</v>
          </cell>
          <cell r="F933" t="str">
            <v>Supervisor</v>
          </cell>
          <cell r="G933" t="str">
            <v>Finance Risk Mgmt &amp; General Directorate</v>
          </cell>
          <cell r="H933" t="str">
            <v>Department of Human Capital &amp; GRC</v>
          </cell>
          <cell r="I933" t="str">
            <v>Unit of GRC Management</v>
          </cell>
          <cell r="J933" t="str">
            <v>Staff of Risk Management &amp; BCM</v>
          </cell>
        </row>
        <row r="934">
          <cell r="A934">
            <v>6090</v>
          </cell>
          <cell r="B934" t="str">
            <v>9012258</v>
          </cell>
          <cell r="C934">
            <v>50069582</v>
          </cell>
          <cell r="D934" t="str">
            <v>FAISAL</v>
          </cell>
          <cell r="E934" t="str">
            <v>Troubleshooting Jr Officer</v>
          </cell>
          <cell r="F934" t="str">
            <v>Supervisor</v>
          </cell>
          <cell r="G934" t="str">
            <v>Operation Directorate</v>
          </cell>
          <cell r="H934" t="str">
            <v>Dept. of Maintenance</v>
          </cell>
          <cell r="I934" t="str">
            <v>Unit of Reliability Maintenance</v>
          </cell>
          <cell r="J934" t="str">
            <v>Staff of Troubleshooting</v>
          </cell>
        </row>
        <row r="935">
          <cell r="A935">
            <v>6091</v>
          </cell>
          <cell r="B935" t="str">
            <v>9012259</v>
          </cell>
          <cell r="C935">
            <v>50071540</v>
          </cell>
          <cell r="D935" t="str">
            <v>HARDIANSYAH HAFID</v>
          </cell>
          <cell r="E935" t="str">
            <v>D Key Account Jr Officer</v>
          </cell>
          <cell r="F935" t="str">
            <v>Supervisor</v>
          </cell>
          <cell r="G935" t="str">
            <v>President Directorate</v>
          </cell>
          <cell r="H935" t="str">
            <v>Dept. of Sales</v>
          </cell>
          <cell r="I935" t="str">
            <v>Unit of Corporate Sales</v>
          </cell>
          <cell r="J935" t="str">
            <v>Staff of Key Account Officer</v>
          </cell>
        </row>
        <row r="936">
          <cell r="A936">
            <v>6092</v>
          </cell>
          <cell r="B936" t="str">
            <v>9012260</v>
          </cell>
          <cell r="C936">
            <v>50064128</v>
          </cell>
          <cell r="D936" t="str">
            <v>ANDI MAYUNDARI, S.Kom.</v>
          </cell>
          <cell r="E936" t="str">
            <v>Mgr of PROPER &amp; CDM</v>
          </cell>
          <cell r="F936" t="str">
            <v>Manager</v>
          </cell>
          <cell r="G936" t="str">
            <v>Operation Directorate</v>
          </cell>
          <cell r="H936" t="str">
            <v>Dept. of Production Planning &amp; Control</v>
          </cell>
          <cell r="I936" t="str">
            <v>Unit of Prod. Plan Eval. &amp; Environmental</v>
          </cell>
          <cell r="J936" t="str">
            <v>Section of PROPER &amp; CDM</v>
          </cell>
        </row>
        <row r="937">
          <cell r="A937">
            <v>6093</v>
          </cell>
          <cell r="B937" t="str">
            <v>9012261</v>
          </cell>
          <cell r="C937">
            <v>50069707</v>
          </cell>
          <cell r="D937" t="str">
            <v>ILMAN</v>
          </cell>
          <cell r="E937" t="str">
            <v>Spv of PP Turbin &amp; Generator Operation</v>
          </cell>
          <cell r="F937" t="str">
            <v>Supervisor</v>
          </cell>
          <cell r="G937" t="str">
            <v>Operation Directorate</v>
          </cell>
          <cell r="H937" t="str">
            <v>Dept. of Mining &amp; Power Plant</v>
          </cell>
          <cell r="I937" t="str">
            <v>Unit of Power Plant Operation</v>
          </cell>
          <cell r="J937" t="str">
            <v>Section of Power Plant Operation</v>
          </cell>
        </row>
        <row r="938">
          <cell r="A938">
            <v>6094</v>
          </cell>
          <cell r="B938" t="str">
            <v>9012262</v>
          </cell>
          <cell r="C938">
            <v>50069943</v>
          </cell>
          <cell r="D938" t="str">
            <v>MOH.YUSUF DAHNIAR, AMD.</v>
          </cell>
          <cell r="E938" t="str">
            <v>Deriv. &amp; Non Cement Sales Jr Specialist</v>
          </cell>
          <cell r="F938" t="str">
            <v>Supervisor</v>
          </cell>
          <cell r="G938" t="str">
            <v>Direktorat Pengembangan Bisnis&amp;Strategy</v>
          </cell>
          <cell r="H938" t="str">
            <v>Department of Commercial Strategy &amp; Dev</v>
          </cell>
          <cell r="I938" t="str">
            <v>Unit of Deriv. &amp; Non Cement Sales Proj.</v>
          </cell>
        </row>
        <row r="939">
          <cell r="A939">
            <v>6095</v>
          </cell>
          <cell r="B939" t="str">
            <v>9012263</v>
          </cell>
          <cell r="C939">
            <v>50069723</v>
          </cell>
          <cell r="D939" t="str">
            <v>FIRMAN TAMRIN</v>
          </cell>
          <cell r="E939" t="str">
            <v>Spv of Balance of Plant &amp; Laboratory</v>
          </cell>
          <cell r="F939" t="str">
            <v>Supervisor</v>
          </cell>
          <cell r="G939" t="str">
            <v>Operation Directorate</v>
          </cell>
          <cell r="H939" t="str">
            <v>Dept. of Mining &amp; Power Plant</v>
          </cell>
          <cell r="I939" t="str">
            <v>Unit of Power Plant Operation</v>
          </cell>
          <cell r="J939" t="str">
            <v>Section of Water Treatment &amp; CUS Opr</v>
          </cell>
        </row>
        <row r="940">
          <cell r="A940">
            <v>6096</v>
          </cell>
          <cell r="B940" t="str">
            <v>9012264</v>
          </cell>
          <cell r="C940">
            <v>50069715</v>
          </cell>
          <cell r="D940" t="str">
            <v>MUH.ANSAR J.</v>
          </cell>
          <cell r="E940" t="str">
            <v>Spv of PP Coal Mill Operation</v>
          </cell>
          <cell r="F940" t="str">
            <v>Supervisor</v>
          </cell>
          <cell r="G940" t="str">
            <v>Operation Directorate</v>
          </cell>
          <cell r="H940" t="str">
            <v>Dept. of Mining &amp; Power Plant</v>
          </cell>
          <cell r="I940" t="str">
            <v>Unit of Power Plant Operation</v>
          </cell>
          <cell r="J940" t="str">
            <v>Section of Power Plant Operation</v>
          </cell>
        </row>
        <row r="941">
          <cell r="A941">
            <v>6097</v>
          </cell>
          <cell r="B941" t="str">
            <v>9012265</v>
          </cell>
          <cell r="C941">
            <v>50070744</v>
          </cell>
          <cell r="D941" t="str">
            <v>JAMALUDDIN</v>
          </cell>
          <cell r="E941" t="str">
            <v>Maluku &amp; Maluku Utara TSO</v>
          </cell>
          <cell r="F941" t="str">
            <v>Supervisor</v>
          </cell>
          <cell r="G941" t="str">
            <v>President Directorate</v>
          </cell>
          <cell r="H941" t="str">
            <v>Dept. of Sales</v>
          </cell>
          <cell r="I941" t="str">
            <v>Unit of Sales 2</v>
          </cell>
          <cell r="J941" t="str">
            <v>Section of Maluku &amp; Maluku Utara</v>
          </cell>
        </row>
        <row r="942">
          <cell r="A942">
            <v>6098</v>
          </cell>
          <cell r="B942" t="str">
            <v>9012266</v>
          </cell>
          <cell r="C942">
            <v>50068760</v>
          </cell>
          <cell r="D942" t="str">
            <v>MUHAMMAD FIRWANSYAH</v>
          </cell>
          <cell r="E942" t="str">
            <v>Master Data Officer</v>
          </cell>
          <cell r="F942" t="str">
            <v>Manager</v>
          </cell>
          <cell r="G942" t="str">
            <v>Direktorat Keuangan dan Risk Management</v>
          </cell>
          <cell r="H942" t="str">
            <v>Department of Fin Policy &amp; Internal Ctrl</v>
          </cell>
        </row>
        <row r="943">
          <cell r="A943">
            <v>6099</v>
          </cell>
          <cell r="B943" t="str">
            <v>9012267</v>
          </cell>
          <cell r="C943">
            <v>50069281</v>
          </cell>
          <cell r="D943" t="str">
            <v>MUHAMMAD YUHLIS</v>
          </cell>
          <cell r="E943" t="str">
            <v>Pricing Policy &amp; Revenue Mgmt Officer</v>
          </cell>
          <cell r="F943" t="str">
            <v>Manager</v>
          </cell>
          <cell r="G943" t="str">
            <v>President Directorate</v>
          </cell>
          <cell r="H943" t="str">
            <v>Dept. of Market Planning &amp; Development</v>
          </cell>
          <cell r="I943" t="str">
            <v>Unit of Product Pricing &amp; Promotion Mgmt</v>
          </cell>
          <cell r="J943" t="str">
            <v>Staff of Pricing Policy &amp; Revenue Mgmt</v>
          </cell>
        </row>
        <row r="944">
          <cell r="A944">
            <v>6100</v>
          </cell>
          <cell r="B944" t="str">
            <v>9012268</v>
          </cell>
          <cell r="C944">
            <v>50053166</v>
          </cell>
          <cell r="D944" t="str">
            <v>ISKANDAR</v>
          </cell>
          <cell r="E944" t="str">
            <v>Spv of CCR RKC &amp; Trass Dryer 4</v>
          </cell>
          <cell r="F944" t="str">
            <v>Supervisor</v>
          </cell>
          <cell r="G944" t="str">
            <v>Operation Directorate</v>
          </cell>
          <cell r="H944" t="str">
            <v>Dept. of Clinker &amp; Cement Production</v>
          </cell>
          <cell r="I944" t="str">
            <v>Unit of Clinker Production</v>
          </cell>
          <cell r="J944" t="str">
            <v>Section of Line 4 RKC Operation</v>
          </cell>
        </row>
        <row r="945">
          <cell r="A945">
            <v>6101</v>
          </cell>
          <cell r="B945" t="str">
            <v>9012269</v>
          </cell>
          <cell r="C945">
            <v>50069581</v>
          </cell>
          <cell r="D945" t="str">
            <v>RUSLAN</v>
          </cell>
          <cell r="E945" t="str">
            <v>Troubleshooting Jr Officer</v>
          </cell>
          <cell r="F945" t="str">
            <v>Supervisor</v>
          </cell>
          <cell r="G945" t="str">
            <v>Operation Directorate</v>
          </cell>
          <cell r="H945" t="str">
            <v>Dept. of Maintenance</v>
          </cell>
          <cell r="I945" t="str">
            <v>Unit of Reliability Maintenance</v>
          </cell>
          <cell r="J945" t="str">
            <v>Staff of Troubleshooting</v>
          </cell>
        </row>
        <row r="946">
          <cell r="A946">
            <v>6102</v>
          </cell>
          <cell r="B946" t="str">
            <v>9012271</v>
          </cell>
          <cell r="C946">
            <v>50043776</v>
          </cell>
          <cell r="D946" t="str">
            <v>SUHERDI</v>
          </cell>
          <cell r="E946" t="str">
            <v>Spv of Line 5 Kiln&amp;CM Mech PdM&amp;PM Schd</v>
          </cell>
          <cell r="F946" t="str">
            <v>Supervisor</v>
          </cell>
          <cell r="G946" t="str">
            <v>Operation Directorate</v>
          </cell>
          <cell r="H946" t="str">
            <v>Dept. of Maintenance</v>
          </cell>
          <cell r="I946" t="str">
            <v>Unit of Machine Maintenance 2</v>
          </cell>
          <cell r="J946" t="str">
            <v>Section of Line 4/5 Kiln &amp; CM Mach Maint</v>
          </cell>
        </row>
        <row r="947">
          <cell r="A947">
            <v>6103</v>
          </cell>
          <cell r="B947" t="str">
            <v>9012272</v>
          </cell>
          <cell r="C947">
            <v>50007878</v>
          </cell>
          <cell r="D947" t="str">
            <v>YULIUS SANDA BIN S T.</v>
          </cell>
          <cell r="E947" t="str">
            <v>Spv of Line 4 Kiln &amp; CM Machine PvM</v>
          </cell>
          <cell r="F947" t="str">
            <v>Supervisor</v>
          </cell>
          <cell r="G947" t="str">
            <v>Operation Directorate</v>
          </cell>
          <cell r="H947" t="str">
            <v>Dept. of Maintenance</v>
          </cell>
          <cell r="I947" t="str">
            <v>Unit of Machine Maintenance 2</v>
          </cell>
          <cell r="J947" t="str">
            <v>Section of Line 4/5 Kiln &amp; CM Mach Maint</v>
          </cell>
        </row>
        <row r="948">
          <cell r="A948">
            <v>6104</v>
          </cell>
          <cell r="B948" t="str">
            <v>9012273</v>
          </cell>
          <cell r="C948">
            <v>50069712</v>
          </cell>
          <cell r="D948" t="str">
            <v>DAHRI</v>
          </cell>
          <cell r="E948" t="str">
            <v>Spv of PP Coal Mill Operation</v>
          </cell>
          <cell r="F948" t="str">
            <v>Supervisor</v>
          </cell>
          <cell r="G948" t="str">
            <v>Operation Directorate</v>
          </cell>
          <cell r="H948" t="str">
            <v>Dept. of Mining &amp; Power Plant</v>
          </cell>
          <cell r="I948" t="str">
            <v>Unit of Power Plant Operation</v>
          </cell>
          <cell r="J948" t="str">
            <v>Section of Power Plant Operation</v>
          </cell>
        </row>
        <row r="949">
          <cell r="A949">
            <v>6105</v>
          </cell>
          <cell r="B949" t="str">
            <v>9012274</v>
          </cell>
          <cell r="C949">
            <v>50071078</v>
          </cell>
          <cell r="D949" t="str">
            <v>AGUS SALIM</v>
          </cell>
          <cell r="E949" t="str">
            <v>E Papua TSO</v>
          </cell>
          <cell r="F949" t="str">
            <v>Associate</v>
          </cell>
          <cell r="G949" t="str">
            <v>President Directorate</v>
          </cell>
          <cell r="H949" t="str">
            <v>Dept. of Sales</v>
          </cell>
          <cell r="I949" t="str">
            <v>Unit of Sales 2</v>
          </cell>
          <cell r="J949" t="str">
            <v>Section of Papua</v>
          </cell>
        </row>
        <row r="950">
          <cell r="A950">
            <v>6106</v>
          </cell>
          <cell r="B950" t="str">
            <v>9012275</v>
          </cell>
          <cell r="C950">
            <v>50069696</v>
          </cell>
          <cell r="D950" t="str">
            <v>MUH.ABU KHAIR A.</v>
          </cell>
          <cell r="E950" t="str">
            <v>Spv of PP Troubleshooting</v>
          </cell>
          <cell r="F950" t="str">
            <v>Supervisor</v>
          </cell>
          <cell r="G950" t="str">
            <v>Operation Directorate</v>
          </cell>
          <cell r="H950" t="str">
            <v>Dept. of Mining &amp; Power Plant</v>
          </cell>
          <cell r="I950" t="str">
            <v>Unit of Power Distribution</v>
          </cell>
          <cell r="J950" t="str">
            <v>Section of Electricity Load Control</v>
          </cell>
        </row>
        <row r="951">
          <cell r="A951">
            <v>6107</v>
          </cell>
          <cell r="B951" t="str">
            <v>9012276</v>
          </cell>
          <cell r="C951">
            <v>50053061</v>
          </cell>
          <cell r="D951" t="str">
            <v>IRVAN AFANDI</v>
          </cell>
          <cell r="E951" t="str">
            <v>Tender of Clinker Transport (Shift)</v>
          </cell>
          <cell r="F951" t="str">
            <v>Associate</v>
          </cell>
          <cell r="G951" t="str">
            <v>Operation Directorate</v>
          </cell>
          <cell r="H951" t="str">
            <v>Dept. of Clinker &amp; Cement Production</v>
          </cell>
          <cell r="I951" t="str">
            <v>Unit of Derivative Product  &amp; Supporting</v>
          </cell>
          <cell r="J951" t="str">
            <v>Section of Derivative Prod. &amp; Opr. 2/3</v>
          </cell>
        </row>
        <row r="952">
          <cell r="A952">
            <v>6108</v>
          </cell>
          <cell r="B952" t="str">
            <v>9012277</v>
          </cell>
          <cell r="C952">
            <v>50047841</v>
          </cell>
          <cell r="D952" t="str">
            <v>AHMAD NUR, AMD.</v>
          </cell>
          <cell r="E952" t="str">
            <v>PGO Jr Officer</v>
          </cell>
          <cell r="F952" t="str">
            <v>Supervisor</v>
          </cell>
          <cell r="G952" t="str">
            <v>Operation Directorate</v>
          </cell>
          <cell r="H952" t="str">
            <v>Dept. of Maintenance</v>
          </cell>
          <cell r="I952" t="str">
            <v>Unit of Reliability Maintenance</v>
          </cell>
          <cell r="J952" t="str">
            <v>Staff of PGO</v>
          </cell>
        </row>
        <row r="953">
          <cell r="A953">
            <v>6110</v>
          </cell>
          <cell r="B953" t="str">
            <v>9012279</v>
          </cell>
          <cell r="C953">
            <v>50057428</v>
          </cell>
          <cell r="D953" t="str">
            <v>FAISAL MUNARFAH, S.ST</v>
          </cell>
          <cell r="E953" t="str">
            <v>Financial Planning Officer</v>
          </cell>
          <cell r="F953" t="str">
            <v>Manager</v>
          </cell>
          <cell r="G953" t="str">
            <v>Direktorat Keuangan dan Risk Management</v>
          </cell>
          <cell r="H953" t="str">
            <v>Department of Financial Plan &amp; Analysis</v>
          </cell>
        </row>
        <row r="954">
          <cell r="A954">
            <v>6111</v>
          </cell>
          <cell r="B954" t="str">
            <v>9012280</v>
          </cell>
          <cell r="C954">
            <v>50065445</v>
          </cell>
          <cell r="D954" t="str">
            <v>JAMAL</v>
          </cell>
          <cell r="E954" t="str">
            <v>Line 2/3 RKC Mach.PvM, PdM&amp;PM Sch Jr ofc</v>
          </cell>
          <cell r="F954" t="str">
            <v>Supervisor</v>
          </cell>
          <cell r="G954" t="str">
            <v>Operation Directorate</v>
          </cell>
          <cell r="H954" t="str">
            <v>Dept. of Maintenance</v>
          </cell>
          <cell r="I954" t="str">
            <v>Unit of Machine Maintenance 1</v>
          </cell>
          <cell r="J954" t="str">
            <v>Section of Line 2/3 RKC Machine Maint.</v>
          </cell>
        </row>
        <row r="955">
          <cell r="A955">
            <v>6112</v>
          </cell>
          <cell r="B955" t="str">
            <v>9012281</v>
          </cell>
          <cell r="C955">
            <v>50069562</v>
          </cell>
          <cell r="D955" t="str">
            <v>SYAHRUL ADHAN</v>
          </cell>
          <cell r="E955" t="str">
            <v>Port Maint PdM &amp; PM Schedule Jr Officer</v>
          </cell>
          <cell r="F955" t="str">
            <v>Supervisor</v>
          </cell>
          <cell r="G955" t="str">
            <v>Operation Directorate</v>
          </cell>
          <cell r="H955" t="str">
            <v>Dept. of Maintenance</v>
          </cell>
          <cell r="I955" t="str">
            <v>Unit of Port Product Discharge Maint.</v>
          </cell>
        </row>
        <row r="956">
          <cell r="A956">
            <v>6113</v>
          </cell>
          <cell r="B956" t="str">
            <v>9012282</v>
          </cell>
          <cell r="C956">
            <v>50069434</v>
          </cell>
          <cell r="D956" t="str">
            <v>ASHAR AGUS RIZANDY</v>
          </cell>
          <cell r="E956" t="str">
            <v>Spv of Drier Trass Mill 4</v>
          </cell>
          <cell r="F956" t="str">
            <v>Supervisor</v>
          </cell>
          <cell r="G956" t="str">
            <v>Operation Directorate</v>
          </cell>
          <cell r="H956" t="str">
            <v>Dept. of Clinker &amp; Cement Production</v>
          </cell>
          <cell r="I956" t="str">
            <v>Unit of Cement Production</v>
          </cell>
          <cell r="J956" t="str">
            <v>Section of Line 4 Finish Mill Operation</v>
          </cell>
        </row>
        <row r="957">
          <cell r="A957">
            <v>6114</v>
          </cell>
          <cell r="B957" t="str">
            <v>9012283</v>
          </cell>
          <cell r="C957">
            <v>50066493</v>
          </cell>
          <cell r="D957" t="str">
            <v>NASRULLAH</v>
          </cell>
          <cell r="E957" t="str">
            <v>Spv of PP Instrument</v>
          </cell>
          <cell r="F957" t="str">
            <v>Supervisor</v>
          </cell>
          <cell r="G957" t="str">
            <v>Operation Directorate</v>
          </cell>
          <cell r="H957" t="str">
            <v>Dept. of Mining &amp; Power Plant</v>
          </cell>
          <cell r="I957" t="str">
            <v>Unit of Power Plant Elins Maintenance</v>
          </cell>
          <cell r="J957" t="str">
            <v>Section of Power Plant Instrument Maint.</v>
          </cell>
        </row>
        <row r="958">
          <cell r="A958">
            <v>6115</v>
          </cell>
          <cell r="B958" t="str">
            <v>9012284</v>
          </cell>
          <cell r="C958">
            <v>50055790</v>
          </cell>
          <cell r="D958" t="str">
            <v>ASRIADI</v>
          </cell>
          <cell r="E958" t="str">
            <v>Line 5 CCR FM Jr Officer</v>
          </cell>
          <cell r="F958" t="str">
            <v>Supervisor</v>
          </cell>
          <cell r="G958" t="str">
            <v>Operation Directorate</v>
          </cell>
          <cell r="H958" t="str">
            <v>Dept. of Clinker &amp; Cement Production</v>
          </cell>
          <cell r="I958" t="str">
            <v>Unit of Cement Production</v>
          </cell>
          <cell r="J958" t="str">
            <v>Section of Line 5 Finish Mill Operation</v>
          </cell>
        </row>
        <row r="959">
          <cell r="A959">
            <v>6116</v>
          </cell>
          <cell r="B959" t="str">
            <v>9012285</v>
          </cell>
          <cell r="C959">
            <v>50069156</v>
          </cell>
          <cell r="D959" t="str">
            <v>SEPRYADI MARAMPA</v>
          </cell>
          <cell r="E959" t="str">
            <v>Incoming &amp; Sup Material Lab Jr officer</v>
          </cell>
          <cell r="F959" t="str">
            <v>Supervisor</v>
          </cell>
          <cell r="G959" t="str">
            <v>Operation Directorate</v>
          </cell>
          <cell r="I959" t="str">
            <v>Unit of Quality Assurance</v>
          </cell>
          <cell r="J959" t="str">
            <v>Section of Material Quality Assurance</v>
          </cell>
        </row>
        <row r="960">
          <cell r="A960">
            <v>6117</v>
          </cell>
          <cell r="B960" t="str">
            <v>9012286</v>
          </cell>
          <cell r="C960">
            <v>50066820</v>
          </cell>
          <cell r="D960" t="str">
            <v>PAHRUL</v>
          </cell>
          <cell r="E960" t="str">
            <v>PdM &amp; PM Sch PP Machine Maint Jr officer</v>
          </cell>
          <cell r="F960" t="str">
            <v>Supervisor</v>
          </cell>
          <cell r="G960" t="str">
            <v>Operation Directorate</v>
          </cell>
          <cell r="H960" t="str">
            <v>Dept. of Mining &amp; Power Plant</v>
          </cell>
          <cell r="I960" t="str">
            <v>Unit of Power Plant Machine Maint</v>
          </cell>
          <cell r="J960" t="str">
            <v>Section of Power Plant Machine Maint</v>
          </cell>
        </row>
        <row r="961">
          <cell r="A961">
            <v>6118</v>
          </cell>
          <cell r="B961" t="str">
            <v>9012287</v>
          </cell>
          <cell r="C961">
            <v>50048075</v>
          </cell>
          <cell r="D961" t="str">
            <v>MUHAMMAD ARKAM H.A.T., SE.</v>
          </cell>
          <cell r="E961" t="str">
            <v>Spv of Line 4 FM Machine PvM</v>
          </cell>
          <cell r="F961" t="str">
            <v>Supervisor</v>
          </cell>
          <cell r="G961" t="str">
            <v>Operation Directorate</v>
          </cell>
          <cell r="H961" t="str">
            <v>Dept. of Maintenance</v>
          </cell>
          <cell r="I961" t="str">
            <v>Unit of Machine Maintenance 2</v>
          </cell>
          <cell r="J961" t="str">
            <v>Section of Line 4/5 FM Machine Maint</v>
          </cell>
        </row>
        <row r="962">
          <cell r="A962">
            <v>6119</v>
          </cell>
          <cell r="B962" t="str">
            <v>9012288</v>
          </cell>
          <cell r="C962">
            <v>50069465</v>
          </cell>
          <cell r="D962" t="str">
            <v>ASWIN BAHAR</v>
          </cell>
          <cell r="E962" t="str">
            <v>Spv of Line 2/3 QC</v>
          </cell>
          <cell r="F962" t="str">
            <v>Supervisor</v>
          </cell>
          <cell r="G962" t="str">
            <v>Operation Directorate</v>
          </cell>
          <cell r="H962" t="str">
            <v>Dept. of Production Planning &amp; Control</v>
          </cell>
          <cell r="I962" t="str">
            <v>Unit of Quality Control</v>
          </cell>
          <cell r="J962" t="str">
            <v>Section of Quality Control (2/3)</v>
          </cell>
        </row>
        <row r="963">
          <cell r="A963">
            <v>6120</v>
          </cell>
          <cell r="B963" t="str">
            <v>9012289</v>
          </cell>
          <cell r="C963">
            <v>50055597</v>
          </cell>
          <cell r="D963" t="str">
            <v>ISMAIL SYARIF</v>
          </cell>
          <cell r="E963" t="str">
            <v>Spv of CCR RKC &amp; Trass Dryer 4</v>
          </cell>
          <cell r="F963" t="str">
            <v>Supervisor</v>
          </cell>
          <cell r="G963" t="str">
            <v>Operation Directorate</v>
          </cell>
          <cell r="H963" t="str">
            <v>Dept. of Clinker &amp; Cement Production</v>
          </cell>
          <cell r="I963" t="str">
            <v>Unit of Clinker Production</v>
          </cell>
          <cell r="J963" t="str">
            <v>Section of Line 4 RKC Operation</v>
          </cell>
        </row>
        <row r="964">
          <cell r="A964">
            <v>6121</v>
          </cell>
          <cell r="B964" t="str">
            <v>9012290</v>
          </cell>
          <cell r="C964">
            <v>50066389</v>
          </cell>
          <cell r="D964" t="str">
            <v>MUH.ADNAN, ST.</v>
          </cell>
          <cell r="E964" t="str">
            <v>Spv of Fabrication</v>
          </cell>
          <cell r="F964" t="str">
            <v>Supervisor</v>
          </cell>
          <cell r="G964" t="str">
            <v>Operation Directorate</v>
          </cell>
          <cell r="H964" t="str">
            <v>Dep. of Project Mngmnt &amp; Maint. Support</v>
          </cell>
          <cell r="I964" t="str">
            <v>Unit of Workshop</v>
          </cell>
          <cell r="J964" t="str">
            <v>Section of Machine Workshop</v>
          </cell>
        </row>
        <row r="965">
          <cell r="A965">
            <v>6122</v>
          </cell>
          <cell r="B965" t="str">
            <v>9012291</v>
          </cell>
          <cell r="C965">
            <v>50070753</v>
          </cell>
          <cell r="D965" t="str">
            <v>RISWADI R.</v>
          </cell>
          <cell r="E965" t="str">
            <v>NTT TSO</v>
          </cell>
          <cell r="F965" t="str">
            <v>Supervisor</v>
          </cell>
          <cell r="G965" t="str">
            <v>President Directorate</v>
          </cell>
          <cell r="H965" t="str">
            <v>Dept. of Sales</v>
          </cell>
          <cell r="I965" t="str">
            <v>Unit of Sales 2</v>
          </cell>
          <cell r="J965" t="str">
            <v>Section of NTT</v>
          </cell>
        </row>
        <row r="966">
          <cell r="A966">
            <v>6123</v>
          </cell>
          <cell r="B966" t="str">
            <v>9012292</v>
          </cell>
          <cell r="C966">
            <v>50069604</v>
          </cell>
          <cell r="D966" t="str">
            <v>MUH.NURDIANSYAH ILYAS, S.Kom.</v>
          </cell>
          <cell r="E966" t="str">
            <v>Spv of Mine Mapping &amp; Survey</v>
          </cell>
          <cell r="F966" t="str">
            <v>Supervisor</v>
          </cell>
          <cell r="G966" t="str">
            <v>Operation Directorate</v>
          </cell>
          <cell r="H966" t="str">
            <v>Dept. of Mining &amp; Power Plant</v>
          </cell>
          <cell r="I966" t="str">
            <v>Unit of Mine Plan</v>
          </cell>
          <cell r="J966" t="str">
            <v>Section of Mine Planning &amp; Monitoring</v>
          </cell>
        </row>
        <row r="967">
          <cell r="A967">
            <v>6124</v>
          </cell>
          <cell r="B967" t="str">
            <v>9012293</v>
          </cell>
          <cell r="C967">
            <v>50066801</v>
          </cell>
          <cell r="D967" t="str">
            <v>ANDIKA PUTRA</v>
          </cell>
          <cell r="E967" t="str">
            <v>Lab Eqp Jr Officer</v>
          </cell>
          <cell r="F967" t="str">
            <v>Supervisor</v>
          </cell>
          <cell r="G967" t="str">
            <v>Operation Directorate</v>
          </cell>
          <cell r="H967" t="str">
            <v>Dept. of Production Planning &amp; Control</v>
          </cell>
          <cell r="I967" t="str">
            <v>Unit of Quality Control</v>
          </cell>
          <cell r="J967" t="str">
            <v>Section of Quality Development &amp; Eval.</v>
          </cell>
        </row>
        <row r="968">
          <cell r="A968">
            <v>6125</v>
          </cell>
          <cell r="B968" t="str">
            <v>9012294</v>
          </cell>
          <cell r="C968">
            <v>50066798</v>
          </cell>
          <cell r="D968" t="str">
            <v>YUSTIAR YUSUF, ST.</v>
          </cell>
          <cell r="E968" t="str">
            <v>Spv of X - Ray &amp; Analysis (5)</v>
          </cell>
          <cell r="F968" t="str">
            <v>Supervisor</v>
          </cell>
          <cell r="G968" t="str">
            <v>Operation Directorate</v>
          </cell>
          <cell r="H968" t="str">
            <v>Dept. of Production Planning &amp; Control</v>
          </cell>
          <cell r="I968" t="str">
            <v>Unit of Quality Control</v>
          </cell>
          <cell r="J968" t="str">
            <v>Section of Quality Control (4/5)</v>
          </cell>
        </row>
        <row r="969">
          <cell r="A969">
            <v>6126</v>
          </cell>
          <cell r="B969" t="str">
            <v>9012295</v>
          </cell>
          <cell r="C969">
            <v>50069724</v>
          </cell>
          <cell r="D969" t="str">
            <v>KARMAN MALIK</v>
          </cell>
          <cell r="E969" t="str">
            <v>Spv of Balance of Plant &amp; Laboratory</v>
          </cell>
          <cell r="F969" t="str">
            <v>Supervisor</v>
          </cell>
          <cell r="G969" t="str">
            <v>Operation Directorate</v>
          </cell>
          <cell r="H969" t="str">
            <v>Dept. of Mining &amp; Power Plant</v>
          </cell>
          <cell r="I969" t="str">
            <v>Unit of Power Plant Operation</v>
          </cell>
          <cell r="J969" t="str">
            <v>Section of Water Treatment &amp; CUS Opr</v>
          </cell>
        </row>
        <row r="970">
          <cell r="A970">
            <v>6127</v>
          </cell>
          <cell r="B970" t="str">
            <v>9012296</v>
          </cell>
          <cell r="C970">
            <v>50071413</v>
          </cell>
          <cell r="D970" t="str">
            <v>RUSTAN MUIN</v>
          </cell>
          <cell r="E970" t="str">
            <v>Sales Excellence Specialist Jr Officer</v>
          </cell>
          <cell r="F970" t="str">
            <v>Supervisor</v>
          </cell>
          <cell r="G970" t="str">
            <v>President Directorate</v>
          </cell>
          <cell r="H970" t="str">
            <v>Dept. of Sales</v>
          </cell>
        </row>
        <row r="971">
          <cell r="A971">
            <v>6128</v>
          </cell>
          <cell r="B971" t="str">
            <v>9012270</v>
          </cell>
          <cell r="C971">
            <v>50069370</v>
          </cell>
          <cell r="D971" t="str">
            <v>UMAR ADAM</v>
          </cell>
          <cell r="E971" t="str">
            <v>Spv of Line 4 Kiln Field</v>
          </cell>
          <cell r="F971" t="str">
            <v>Supervisor</v>
          </cell>
          <cell r="G971" t="str">
            <v>Operation Directorate</v>
          </cell>
          <cell r="H971" t="str">
            <v>Dept. of Clinker &amp; Cement Production</v>
          </cell>
          <cell r="I971" t="str">
            <v>Unit of Clinker Production</v>
          </cell>
          <cell r="J971" t="str">
            <v>Section of Line 4 RKC Operation</v>
          </cell>
        </row>
        <row r="972">
          <cell r="A972">
            <v>6129</v>
          </cell>
          <cell r="B972" t="str">
            <v>9012298</v>
          </cell>
          <cell r="C972">
            <v>50069363</v>
          </cell>
          <cell r="D972" t="str">
            <v>RICHARDO LUTHER M.</v>
          </cell>
          <cell r="E972" t="str">
            <v>Spv of CCR RKC &amp; Trass Dryer 4</v>
          </cell>
          <cell r="F972" t="str">
            <v>Supervisor</v>
          </cell>
          <cell r="G972" t="str">
            <v>Operation Directorate</v>
          </cell>
          <cell r="H972" t="str">
            <v>Dept. of Clinker &amp; Cement Production</v>
          </cell>
          <cell r="I972" t="str">
            <v>Unit of Clinker Production</v>
          </cell>
          <cell r="J972" t="str">
            <v>Section of Line 4 RKC Operation</v>
          </cell>
        </row>
        <row r="973">
          <cell r="A973">
            <v>6130</v>
          </cell>
          <cell r="B973" t="str">
            <v>9012299</v>
          </cell>
          <cell r="C973">
            <v>50069044</v>
          </cell>
          <cell r="D973" t="str">
            <v>NASRULLAH</v>
          </cell>
          <cell r="E973" t="str">
            <v>Spv of Ambon PP Operation</v>
          </cell>
          <cell r="F973" t="str">
            <v>Supervisor</v>
          </cell>
          <cell r="G973" t="str">
            <v>Operation Directorate</v>
          </cell>
          <cell r="H973" t="str">
            <v>Dept. of Infrastructure</v>
          </cell>
          <cell r="I973" t="str">
            <v>Unit of Packing Plant 2</v>
          </cell>
          <cell r="J973" t="str">
            <v>Section of Ambon Packing Plant</v>
          </cell>
        </row>
        <row r="974">
          <cell r="A974">
            <v>6131</v>
          </cell>
          <cell r="B974" t="str">
            <v>9012300</v>
          </cell>
          <cell r="C974">
            <v>50069700</v>
          </cell>
          <cell r="D974" t="str">
            <v>HENDRIK ALVIAN</v>
          </cell>
          <cell r="E974" t="str">
            <v>Spv of PdM &amp; PM Schd Elect Network Mai</v>
          </cell>
          <cell r="F974" t="str">
            <v>Supervisor</v>
          </cell>
          <cell r="G974" t="str">
            <v>Operation Directorate</v>
          </cell>
          <cell r="H974" t="str">
            <v>Dept. of Mining &amp; Power Plant</v>
          </cell>
          <cell r="I974" t="str">
            <v>Unit of Power Distribution</v>
          </cell>
          <cell r="J974" t="str">
            <v>Section of Electrical Network Maint</v>
          </cell>
        </row>
        <row r="975">
          <cell r="A975">
            <v>6132</v>
          </cell>
          <cell r="B975" t="str">
            <v>9012301</v>
          </cell>
          <cell r="C975">
            <v>50069519</v>
          </cell>
          <cell r="D975" t="str">
            <v>DIDIN AWALUDDIN Y.</v>
          </cell>
          <cell r="E975" t="str">
            <v>Spv of Line 4 RKC Elctr PvM</v>
          </cell>
          <cell r="F975" t="str">
            <v>Supervisor</v>
          </cell>
          <cell r="G975" t="str">
            <v>Operation Directorate</v>
          </cell>
          <cell r="H975" t="str">
            <v>Dept. of Maintenance</v>
          </cell>
          <cell r="I975" t="str">
            <v>Unit of Elins Maintenance 2</v>
          </cell>
          <cell r="J975" t="str">
            <v>Section of Line 4/5 RKC Elctr. Maint.</v>
          </cell>
        </row>
        <row r="976">
          <cell r="A976">
            <v>6133</v>
          </cell>
          <cell r="B976" t="str">
            <v>9012302</v>
          </cell>
          <cell r="C976">
            <v>50066606</v>
          </cell>
          <cell r="D976" t="str">
            <v>MUSABIR</v>
          </cell>
          <cell r="E976" t="str">
            <v>Spv of PP Machine Maintenance</v>
          </cell>
          <cell r="F976" t="str">
            <v>Supervisor</v>
          </cell>
          <cell r="G976" t="str">
            <v>Operation Directorate</v>
          </cell>
          <cell r="H976" t="str">
            <v>Dept. of Mining &amp; Power Plant</v>
          </cell>
          <cell r="I976" t="str">
            <v>Unit of Power Plant Machine Maint</v>
          </cell>
          <cell r="J976" t="str">
            <v>Section of Power Plant Machine Maint</v>
          </cell>
        </row>
        <row r="977">
          <cell r="A977">
            <v>6134</v>
          </cell>
          <cell r="B977" t="str">
            <v>9012303</v>
          </cell>
          <cell r="C977">
            <v>50069537</v>
          </cell>
          <cell r="D977" t="str">
            <v>ACHMAD AS'AD</v>
          </cell>
          <cell r="E977" t="str">
            <v>Spv of Line 4 RKCM Instr PvM</v>
          </cell>
          <cell r="F977" t="str">
            <v>Supervisor</v>
          </cell>
          <cell r="G977" t="str">
            <v>Operation Directorate</v>
          </cell>
          <cell r="H977" t="str">
            <v>Dept. of Maintenance</v>
          </cell>
          <cell r="I977" t="str">
            <v>Unit of Elins Maintenance 2</v>
          </cell>
          <cell r="J977" t="str">
            <v>Section of Line 4/5 RKC Instr. Maint.</v>
          </cell>
        </row>
        <row r="978">
          <cell r="A978">
            <v>6135</v>
          </cell>
          <cell r="B978" t="str">
            <v>9012304</v>
          </cell>
          <cell r="C978">
            <v>50069703</v>
          </cell>
          <cell r="D978" t="str">
            <v>ARHAM AZIS</v>
          </cell>
          <cell r="E978" t="str">
            <v>Spv of PP Boiler Operation</v>
          </cell>
          <cell r="F978" t="str">
            <v>Supervisor</v>
          </cell>
          <cell r="G978" t="str">
            <v>Operation Directorate</v>
          </cell>
          <cell r="H978" t="str">
            <v>Dept. of Mining &amp; Power Plant</v>
          </cell>
          <cell r="I978" t="str">
            <v>Unit of Power Plant Operation</v>
          </cell>
          <cell r="J978" t="str">
            <v>Section of Power Plant Operation</v>
          </cell>
        </row>
        <row r="979">
          <cell r="A979">
            <v>6136</v>
          </cell>
          <cell r="B979" t="str">
            <v>9012305</v>
          </cell>
          <cell r="C979">
            <v>50069403</v>
          </cell>
          <cell r="D979" t="str">
            <v>HUTPARTO</v>
          </cell>
          <cell r="E979" t="str">
            <v>Spv of Line 5 Coal Mill Field</v>
          </cell>
          <cell r="F979" t="str">
            <v>Supervisor</v>
          </cell>
          <cell r="G979" t="str">
            <v>Operation Directorate</v>
          </cell>
          <cell r="H979" t="str">
            <v>Dept. of Clinker &amp; Cement Production</v>
          </cell>
          <cell r="I979" t="str">
            <v>Unit of Clinker Production</v>
          </cell>
          <cell r="J979" t="str">
            <v>Section of Line 5 RKC Operation</v>
          </cell>
        </row>
        <row r="980">
          <cell r="A980">
            <v>6137</v>
          </cell>
          <cell r="B980" t="str">
            <v>9012297</v>
          </cell>
          <cell r="C980">
            <v>50023741</v>
          </cell>
          <cell r="D980" t="str">
            <v>ASRIADI</v>
          </cell>
          <cell r="E980" t="str">
            <v>Spv of Line 5 FM Mach PdM&amp; PM Schedule</v>
          </cell>
          <cell r="F980" t="str">
            <v>Supervisor</v>
          </cell>
          <cell r="G980" t="str">
            <v>Operation Directorate</v>
          </cell>
          <cell r="H980" t="str">
            <v>Dept. of Maintenance</v>
          </cell>
          <cell r="I980" t="str">
            <v>Unit of Machine Maintenance 2</v>
          </cell>
          <cell r="J980" t="str">
            <v>Section of Line 4/5 FM Machine Maint</v>
          </cell>
        </row>
        <row r="981">
          <cell r="A981">
            <v>6138</v>
          </cell>
          <cell r="B981" t="str">
            <v>9012306</v>
          </cell>
          <cell r="C981">
            <v>50066424</v>
          </cell>
          <cell r="D981" t="str">
            <v>IMRAN</v>
          </cell>
          <cell r="E981" t="str">
            <v>Spv of Mechanical &amp; Fabrication</v>
          </cell>
          <cell r="F981" t="str">
            <v>Supervisor</v>
          </cell>
          <cell r="G981" t="str">
            <v>Operation Directorate</v>
          </cell>
          <cell r="H981" t="str">
            <v>Dep. of Project Mngmnt &amp; Maint. Support</v>
          </cell>
          <cell r="I981" t="str">
            <v>Unit of Project Management</v>
          </cell>
          <cell r="J981" t="str">
            <v>Section of Project Execution (Constr.)</v>
          </cell>
        </row>
        <row r="982">
          <cell r="A982">
            <v>6139</v>
          </cell>
          <cell r="B982" t="str">
            <v>9012307</v>
          </cell>
          <cell r="C982">
            <v>50071536</v>
          </cell>
          <cell r="D982" t="str">
            <v>HARISMAN HALID</v>
          </cell>
          <cell r="E982" t="str">
            <v>D Key Account Jr Officer</v>
          </cell>
          <cell r="F982" t="str">
            <v>Supervisor</v>
          </cell>
          <cell r="G982" t="str">
            <v>President Directorate</v>
          </cell>
          <cell r="H982" t="str">
            <v>Dept. of Sales</v>
          </cell>
          <cell r="I982" t="str">
            <v>Unit of Corporate Sales</v>
          </cell>
          <cell r="J982" t="str">
            <v>Staff of Key Account Officer</v>
          </cell>
        </row>
        <row r="983">
          <cell r="A983">
            <v>6140</v>
          </cell>
          <cell r="B983" t="str">
            <v>9012308</v>
          </cell>
          <cell r="C983">
            <v>50069166</v>
          </cell>
          <cell r="D983" t="str">
            <v>HENRIADI</v>
          </cell>
          <cell r="E983" t="str">
            <v>Physical &amp; Chemical Lab Anal Jr Officer</v>
          </cell>
          <cell r="F983" t="str">
            <v>Supervisor</v>
          </cell>
          <cell r="G983" t="str">
            <v>Operation Directorate</v>
          </cell>
          <cell r="I983" t="str">
            <v>Unit of Quality Assurance</v>
          </cell>
          <cell r="J983" t="str">
            <v>Section of Product Quality Assurance</v>
          </cell>
        </row>
        <row r="984">
          <cell r="A984">
            <v>6141</v>
          </cell>
          <cell r="B984" t="str">
            <v>9012309</v>
          </cell>
          <cell r="C984">
            <v>50069580</v>
          </cell>
          <cell r="D984" t="str">
            <v>DYDA ADITAMA HIDAYAT</v>
          </cell>
          <cell r="E984" t="str">
            <v>Maintenance Inspection Jr Officer</v>
          </cell>
          <cell r="F984" t="str">
            <v>Supervisor</v>
          </cell>
          <cell r="G984" t="str">
            <v>Operation Directorate</v>
          </cell>
          <cell r="H984" t="str">
            <v>Dept. of Maintenance</v>
          </cell>
          <cell r="I984" t="str">
            <v>Unit of Reliability Maintenance</v>
          </cell>
          <cell r="J984" t="str">
            <v>Staff of Maintenance Inspection</v>
          </cell>
        </row>
        <row r="985">
          <cell r="A985">
            <v>6143</v>
          </cell>
          <cell r="B985" t="str">
            <v>9012311</v>
          </cell>
          <cell r="C985">
            <v>50069418</v>
          </cell>
          <cell r="D985" t="str">
            <v>A.HENRA PRAMANA</v>
          </cell>
          <cell r="E985" t="str">
            <v>Spv of Line 4 Kiln Field</v>
          </cell>
          <cell r="F985" t="str">
            <v>Supervisor</v>
          </cell>
          <cell r="G985" t="str">
            <v>Operation Directorate</v>
          </cell>
          <cell r="H985" t="str">
            <v>Dept. of Clinker &amp; Cement Production</v>
          </cell>
          <cell r="I985" t="str">
            <v>Unit of Clinker Production</v>
          </cell>
          <cell r="J985" t="str">
            <v>Section of Line 4 RKC Operation</v>
          </cell>
        </row>
        <row r="986">
          <cell r="A986">
            <v>6144</v>
          </cell>
          <cell r="B986" t="str">
            <v>9012313</v>
          </cell>
          <cell r="C986">
            <v>50009875</v>
          </cell>
          <cell r="D986" t="str">
            <v>LISNA PURNAMA WAHID, SE.</v>
          </cell>
          <cell r="E986" t="str">
            <v>PA &amp; Comp. Benefit Jr Officer</v>
          </cell>
          <cell r="F986" t="str">
            <v>Supervisor</v>
          </cell>
          <cell r="G986" t="str">
            <v>Finance Risk Mgmt &amp; General Directorate</v>
          </cell>
          <cell r="H986" t="str">
            <v>Department of Human Capital &amp; GRC</v>
          </cell>
          <cell r="I986" t="str">
            <v>Unit of HC Operational</v>
          </cell>
          <cell r="J986" t="str">
            <v>Section of PA &amp; Comp. Benefit</v>
          </cell>
        </row>
        <row r="987">
          <cell r="A987">
            <v>6145</v>
          </cell>
          <cell r="B987" t="str">
            <v>9012312</v>
          </cell>
          <cell r="C987">
            <v>50069756</v>
          </cell>
          <cell r="D987" t="str">
            <v>M.FACHRY RAMADHAN Y.</v>
          </cell>
          <cell r="E987" t="str">
            <v>Spv of Makassar PP Operation</v>
          </cell>
          <cell r="F987" t="str">
            <v>Supervisor</v>
          </cell>
          <cell r="G987" t="str">
            <v>Operation Directorate</v>
          </cell>
          <cell r="H987" t="str">
            <v>Dept. of Infrastructure</v>
          </cell>
          <cell r="I987" t="str">
            <v>Unit of Packing Plant 1</v>
          </cell>
          <cell r="J987" t="str">
            <v>Section of Makassar Packing Plant</v>
          </cell>
        </row>
        <row r="988">
          <cell r="A988">
            <v>6146</v>
          </cell>
          <cell r="B988" t="str">
            <v>9012314</v>
          </cell>
          <cell r="C988">
            <v>50069164</v>
          </cell>
          <cell r="D988" t="str">
            <v>REZKIYANTI TRI UTAMI, ST.</v>
          </cell>
          <cell r="E988" t="str">
            <v>Physical &amp; Chemical Lab Jr Officer</v>
          </cell>
          <cell r="F988" t="str">
            <v>Supervisor</v>
          </cell>
          <cell r="G988" t="str">
            <v>Operation Directorate</v>
          </cell>
          <cell r="I988" t="str">
            <v>Unit of Quality Assurance</v>
          </cell>
          <cell r="J988" t="str">
            <v>Section of Product Quality Assurance</v>
          </cell>
        </row>
        <row r="989">
          <cell r="A989">
            <v>6147</v>
          </cell>
          <cell r="B989" t="str">
            <v>9012316</v>
          </cell>
          <cell r="C989">
            <v>50066806</v>
          </cell>
          <cell r="D989" t="str">
            <v>HASRUL AZWAR Z.</v>
          </cell>
          <cell r="E989" t="str">
            <v>Quality Control Jr Officer</v>
          </cell>
          <cell r="F989" t="str">
            <v>Supervisor</v>
          </cell>
          <cell r="G989" t="str">
            <v>Operation Directorate</v>
          </cell>
          <cell r="H989" t="str">
            <v>Dept. of Production Planning &amp; Control</v>
          </cell>
          <cell r="I989" t="str">
            <v>Unit of Quality Control</v>
          </cell>
          <cell r="J989" t="str">
            <v>Section of Quality Development &amp; Eval.</v>
          </cell>
        </row>
        <row r="990">
          <cell r="A990">
            <v>6148</v>
          </cell>
          <cell r="B990" t="str">
            <v>9012317</v>
          </cell>
          <cell r="C990">
            <v>50070769</v>
          </cell>
          <cell r="D990" t="str">
            <v>MELISA</v>
          </cell>
          <cell r="E990" t="str">
            <v>Trade Market. &amp; Promotion Mgmt. Officer</v>
          </cell>
          <cell r="F990" t="str">
            <v>Manager</v>
          </cell>
          <cell r="G990" t="str">
            <v>President Directorate</v>
          </cell>
          <cell r="H990" t="str">
            <v>Dept. of Market Planning &amp; Development</v>
          </cell>
          <cell r="I990" t="str">
            <v>Unit of Product Pricing &amp; Promotion Mgmt</v>
          </cell>
          <cell r="J990" t="str">
            <v>Staff of Trade Market. &amp; Promotion Mgmt.</v>
          </cell>
        </row>
        <row r="991">
          <cell r="A991">
            <v>6149</v>
          </cell>
          <cell r="B991" t="str">
            <v>9012318</v>
          </cell>
          <cell r="C991">
            <v>50069440</v>
          </cell>
          <cell r="D991" t="str">
            <v>MUH.ANZHARI ACHSAN</v>
          </cell>
          <cell r="E991" t="str">
            <v>Autonomous Finish Mill Jr officer</v>
          </cell>
          <cell r="F991" t="str">
            <v>Supervisor</v>
          </cell>
          <cell r="G991" t="str">
            <v>Operation Directorate</v>
          </cell>
          <cell r="H991" t="str">
            <v>Dept. of Clinker &amp; Cement Production</v>
          </cell>
          <cell r="I991" t="str">
            <v>Unit of Cement Production</v>
          </cell>
          <cell r="J991" t="str">
            <v>Section of Cement Production Coach</v>
          </cell>
        </row>
        <row r="992">
          <cell r="A992">
            <v>6150</v>
          </cell>
          <cell r="B992" t="str">
            <v>9112319</v>
          </cell>
          <cell r="C992">
            <v>50023742</v>
          </cell>
          <cell r="D992" t="str">
            <v>SAHDAN HUSAIN</v>
          </cell>
          <cell r="E992" t="str">
            <v>Spv of Line 5 RM Mach PvM</v>
          </cell>
          <cell r="F992" t="str">
            <v>Supervisor</v>
          </cell>
          <cell r="G992" t="str">
            <v>Operation Directorate</v>
          </cell>
          <cell r="H992" t="str">
            <v>Dept. of Maintenance</v>
          </cell>
          <cell r="I992" t="str">
            <v>Unit of Machine Maintenance 2</v>
          </cell>
          <cell r="J992" t="str">
            <v>Section of Line 4/5 RM Machine Maint</v>
          </cell>
        </row>
        <row r="993">
          <cell r="A993">
            <v>6151</v>
          </cell>
          <cell r="B993" t="str">
            <v>9112399</v>
          </cell>
          <cell r="C993">
            <v>50066416</v>
          </cell>
          <cell r="D993" t="str">
            <v>SUAIB</v>
          </cell>
          <cell r="E993" t="str">
            <v>Overhaul Management Jr Officer</v>
          </cell>
          <cell r="F993" t="str">
            <v>Supervisor</v>
          </cell>
          <cell r="G993" t="str">
            <v>Operation Directorate</v>
          </cell>
          <cell r="H993" t="str">
            <v>Dep. of Project Mngmnt &amp; Maint. Support</v>
          </cell>
          <cell r="I993" t="str">
            <v>Unit of Project Management</v>
          </cell>
          <cell r="J993" t="str">
            <v>Staff of OVH Management</v>
          </cell>
        </row>
        <row r="994">
          <cell r="A994">
            <v>6152</v>
          </cell>
          <cell r="B994" t="str">
            <v>9112320</v>
          </cell>
          <cell r="C994">
            <v>50069608</v>
          </cell>
          <cell r="D994" t="str">
            <v>BAHRUL ULUM SYAH, S.P.</v>
          </cell>
          <cell r="E994" t="str">
            <v>Spv of Reclamation</v>
          </cell>
          <cell r="F994" t="str">
            <v>Supervisor</v>
          </cell>
          <cell r="G994" t="str">
            <v>Operation Directorate</v>
          </cell>
          <cell r="H994" t="str">
            <v>Dept. of Mining &amp; Power Plant</v>
          </cell>
          <cell r="I994" t="str">
            <v>Unit of Mine Plan</v>
          </cell>
          <cell r="J994" t="str">
            <v>Section of Mine Safety Reclamation</v>
          </cell>
        </row>
        <row r="995">
          <cell r="A995">
            <v>6153</v>
          </cell>
          <cell r="B995" t="str">
            <v>9112321</v>
          </cell>
          <cell r="C995">
            <v>50069586</v>
          </cell>
          <cell r="D995" t="str">
            <v>IMAN SETIAWAN</v>
          </cell>
          <cell r="E995" t="str">
            <v>Troubleshooting Jr Officer</v>
          </cell>
          <cell r="F995" t="str">
            <v>Supervisor</v>
          </cell>
          <cell r="G995" t="str">
            <v>Operation Directorate</v>
          </cell>
          <cell r="H995" t="str">
            <v>Dept. of Maintenance</v>
          </cell>
          <cell r="I995" t="str">
            <v>Unit of Reliability Maintenance</v>
          </cell>
          <cell r="J995" t="str">
            <v>Staff of Troubleshooting</v>
          </cell>
        </row>
        <row r="996">
          <cell r="A996">
            <v>6154</v>
          </cell>
          <cell r="B996" t="str">
            <v>9112322</v>
          </cell>
          <cell r="C996">
            <v>50066618</v>
          </cell>
          <cell r="D996" t="str">
            <v>WIWIED, SE.</v>
          </cell>
          <cell r="E996" t="str">
            <v>Risk Management &amp; BCM Officer</v>
          </cell>
          <cell r="F996" t="str">
            <v>Manager</v>
          </cell>
          <cell r="G996" t="str">
            <v>Finance Risk Mgmt &amp; General Directorate</v>
          </cell>
          <cell r="H996" t="str">
            <v>Department of Human Capital &amp; GRC</v>
          </cell>
          <cell r="I996" t="str">
            <v>Unit of GRC Management</v>
          </cell>
          <cell r="J996" t="str">
            <v>Staff of Risk Management &amp; BCM</v>
          </cell>
        </row>
        <row r="997">
          <cell r="A997">
            <v>6155</v>
          </cell>
          <cell r="B997" t="str">
            <v>9112323</v>
          </cell>
          <cell r="C997">
            <v>50052159</v>
          </cell>
          <cell r="D997" t="str">
            <v>M.ZUBAIR AKRAM</v>
          </cell>
          <cell r="E997" t="str">
            <v>Spv of 2/3 FM Elins PdM&amp;PM Schedule</v>
          </cell>
          <cell r="F997" t="str">
            <v>Supervisor</v>
          </cell>
          <cell r="G997" t="str">
            <v>Operation Directorate</v>
          </cell>
          <cell r="H997" t="str">
            <v>Dept. of Maintenance</v>
          </cell>
          <cell r="I997" t="str">
            <v>Unit of Elins Maintenance 1</v>
          </cell>
          <cell r="J997" t="str">
            <v>Section of Line 2/3 FM Elins Maintenance</v>
          </cell>
        </row>
        <row r="998">
          <cell r="A998">
            <v>6157</v>
          </cell>
          <cell r="B998" t="str">
            <v>9112324</v>
          </cell>
          <cell r="C998">
            <v>50061146</v>
          </cell>
          <cell r="D998" t="str">
            <v>MUHAMMAD RUSLI, SH.</v>
          </cell>
          <cell r="E998" t="str">
            <v>Lab Eqp Jr Officer</v>
          </cell>
          <cell r="F998" t="str">
            <v>Supervisor</v>
          </cell>
          <cell r="G998" t="str">
            <v>Operation Directorate</v>
          </cell>
          <cell r="H998" t="str">
            <v>Dept. of Production Planning &amp; Control</v>
          </cell>
          <cell r="I998" t="str">
            <v>Unit of Quality Control</v>
          </cell>
          <cell r="J998" t="str">
            <v>Section of Quality Development &amp; Eval.</v>
          </cell>
        </row>
        <row r="999">
          <cell r="A999">
            <v>6158</v>
          </cell>
          <cell r="B999" t="str">
            <v>9112325</v>
          </cell>
          <cell r="C999">
            <v>50071470</v>
          </cell>
          <cell r="D999" t="str">
            <v>ISMAIL, S.Pd.</v>
          </cell>
          <cell r="E999" t="str">
            <v>Innovation Jr Officer</v>
          </cell>
          <cell r="F999" t="str">
            <v>Supervisor</v>
          </cell>
          <cell r="G999" t="str">
            <v>Finance Risk Mgmt &amp; General Directorate</v>
          </cell>
          <cell r="H999" t="str">
            <v>Department of Human Capital &amp; GRC</v>
          </cell>
          <cell r="I999" t="str">
            <v>Unit of Business &amp; System Development</v>
          </cell>
          <cell r="J999" t="str">
            <v>Staff of Innovation</v>
          </cell>
        </row>
        <row r="1000">
          <cell r="A1000">
            <v>6159</v>
          </cell>
          <cell r="B1000" t="str">
            <v>9112327</v>
          </cell>
          <cell r="C1000">
            <v>50069877</v>
          </cell>
          <cell r="D1000" t="str">
            <v>M.SULTAN ASHARI S.</v>
          </cell>
          <cell r="E1000" t="str">
            <v>Line 2/3 System Control Maint Jr Officer</v>
          </cell>
          <cell r="F1000" t="str">
            <v>Supervisor</v>
          </cell>
          <cell r="G1000" t="str">
            <v>Operation Directorate</v>
          </cell>
          <cell r="H1000" t="str">
            <v>Dept. of Maintenance</v>
          </cell>
          <cell r="I1000" t="str">
            <v>Unit of Elins Maintenance 1</v>
          </cell>
          <cell r="J1000" t="str">
            <v>Section of Line 2/3 RKC Elins Maint.</v>
          </cell>
        </row>
        <row r="1001">
          <cell r="A1001">
            <v>6161</v>
          </cell>
          <cell r="B1001" t="str">
            <v>9112328</v>
          </cell>
          <cell r="C1001">
            <v>50069167</v>
          </cell>
          <cell r="D1001" t="str">
            <v>SUDIANTO KURNIAWAN P., ST.</v>
          </cell>
          <cell r="E1001" t="str">
            <v>Physical &amp; Chemical Lab Anal Jr Officer</v>
          </cell>
          <cell r="F1001" t="str">
            <v>Supervisor</v>
          </cell>
          <cell r="G1001" t="str">
            <v>Operation Directorate</v>
          </cell>
          <cell r="I1001" t="str">
            <v>Unit of Quality Assurance</v>
          </cell>
          <cell r="J1001" t="str">
            <v>Section of Product Quality Assurance</v>
          </cell>
        </row>
        <row r="1002">
          <cell r="A1002">
            <v>6162</v>
          </cell>
          <cell r="B1002" t="str">
            <v>9112329</v>
          </cell>
          <cell r="C1002">
            <v>50069710</v>
          </cell>
          <cell r="D1002" t="str">
            <v>DEDI</v>
          </cell>
          <cell r="E1002" t="str">
            <v>Spv of PP Turbin &amp; Generator Operation</v>
          </cell>
          <cell r="F1002" t="str">
            <v>Supervisor</v>
          </cell>
          <cell r="G1002" t="str">
            <v>Operation Directorate</v>
          </cell>
          <cell r="H1002" t="str">
            <v>Dept. of Mining &amp; Power Plant</v>
          </cell>
          <cell r="I1002" t="str">
            <v>Unit of Power Plant Operation</v>
          </cell>
          <cell r="J1002" t="str">
            <v>Section of Power Plant Operation</v>
          </cell>
        </row>
        <row r="1003">
          <cell r="A1003">
            <v>6163</v>
          </cell>
          <cell r="B1003" t="str">
            <v>9112330</v>
          </cell>
          <cell r="C1003">
            <v>50066413</v>
          </cell>
          <cell r="D1003" t="str">
            <v>FIRDAUS RASYID, ST.</v>
          </cell>
          <cell r="E1003" t="str">
            <v>Overhaul Management Jr Officer</v>
          </cell>
          <cell r="F1003" t="str">
            <v>Supervisor</v>
          </cell>
          <cell r="G1003" t="str">
            <v>Operation Directorate</v>
          </cell>
          <cell r="H1003" t="str">
            <v>Dep. of Project Mngmnt &amp; Maint. Support</v>
          </cell>
          <cell r="I1003" t="str">
            <v>Unit of Project Management</v>
          </cell>
          <cell r="J1003" t="str">
            <v>Staff of OVH Management</v>
          </cell>
        </row>
        <row r="1004">
          <cell r="A1004">
            <v>6164</v>
          </cell>
          <cell r="B1004" t="str">
            <v>9112331</v>
          </cell>
          <cell r="C1004">
            <v>50071535</v>
          </cell>
          <cell r="D1004" t="str">
            <v>DANIAL RAMADHAN, ST., MM.</v>
          </cell>
          <cell r="E1004" t="str">
            <v>D Key Account Jr Officer</v>
          </cell>
          <cell r="F1004" t="str">
            <v>Supervisor</v>
          </cell>
          <cell r="G1004" t="str">
            <v>President Directorate</v>
          </cell>
          <cell r="H1004" t="str">
            <v>Dept. of Sales</v>
          </cell>
          <cell r="I1004" t="str">
            <v>Unit of Corporate Sales</v>
          </cell>
          <cell r="J1004" t="str">
            <v>Staff of Key Account Officer</v>
          </cell>
        </row>
        <row r="1005">
          <cell r="A1005">
            <v>6165</v>
          </cell>
          <cell r="B1005" t="str">
            <v>9112332</v>
          </cell>
          <cell r="C1005">
            <v>50069108</v>
          </cell>
          <cell r="D1005" t="str">
            <v>IQWAN SYAH MALUDIN</v>
          </cell>
          <cell r="E1005" t="str">
            <v>Spv of Line 4 Packer &amp; Bulk Field</v>
          </cell>
          <cell r="F1005" t="str">
            <v>Supervisor</v>
          </cell>
          <cell r="G1005" t="str">
            <v>Operation Directorate</v>
          </cell>
          <cell r="H1005" t="str">
            <v>Dept. of Infrastructure</v>
          </cell>
          <cell r="I1005" t="str">
            <v>Unit of Plant &amp; Port Prod Discharge Opr</v>
          </cell>
          <cell r="J1005" t="str">
            <v>Section of Plant Site Packer &amp; Bulk Opr</v>
          </cell>
        </row>
        <row r="1006">
          <cell r="A1006">
            <v>6166</v>
          </cell>
          <cell r="B1006" t="str">
            <v>9112333</v>
          </cell>
          <cell r="C1006">
            <v>50069401</v>
          </cell>
          <cell r="D1006" t="str">
            <v>RISMAN</v>
          </cell>
          <cell r="E1006" t="str">
            <v>Spv of Line 5 KIln Field</v>
          </cell>
          <cell r="F1006" t="str">
            <v>Supervisor</v>
          </cell>
          <cell r="G1006" t="str">
            <v>Operation Directorate</v>
          </cell>
          <cell r="H1006" t="str">
            <v>Dept. of Clinker &amp; Cement Production</v>
          </cell>
          <cell r="I1006" t="str">
            <v>Unit of Clinker Production</v>
          </cell>
          <cell r="J1006" t="str">
            <v>Section of Line 5 RKC Operation</v>
          </cell>
        </row>
        <row r="1007">
          <cell r="A1007">
            <v>6167</v>
          </cell>
          <cell r="B1007" t="str">
            <v>9112334</v>
          </cell>
          <cell r="C1007">
            <v>50007208</v>
          </cell>
          <cell r="D1007" t="str">
            <v>ANDI AYU FUTRI BATARA, S.M.</v>
          </cell>
          <cell r="E1007" t="str">
            <v>Secretary of BOD</v>
          </cell>
          <cell r="F1007" t="str">
            <v>Supervisor</v>
          </cell>
          <cell r="G1007" t="str">
            <v>President Directorate</v>
          </cell>
          <cell r="H1007" t="str">
            <v>Dept. of Communication, Legal &amp; GA</v>
          </cell>
        </row>
        <row r="1008">
          <cell r="A1008">
            <v>6168</v>
          </cell>
          <cell r="B1008" t="str">
            <v>9112335</v>
          </cell>
          <cell r="C1008">
            <v>50064512</v>
          </cell>
          <cell r="D1008" t="str">
            <v>MUH.SYAHREZA RIFTI,  S.Sos., M.S.M</v>
          </cell>
          <cell r="E1008" t="str">
            <v>TJSL &amp; Community Development Jr Officer</v>
          </cell>
          <cell r="F1008" t="str">
            <v>Supervisor</v>
          </cell>
          <cell r="G1008" t="str">
            <v>President Directorate</v>
          </cell>
          <cell r="H1008" t="str">
            <v>Dept. of Communication, Legal &amp; GA</v>
          </cell>
          <cell r="I1008" t="str">
            <v>Unit of TJSL</v>
          </cell>
          <cell r="J1008" t="str">
            <v>Staff of TJSL &amp; Community Development</v>
          </cell>
        </row>
        <row r="1009">
          <cell r="A1009">
            <v>6169</v>
          </cell>
          <cell r="B1009" t="str">
            <v>9112336</v>
          </cell>
          <cell r="C1009">
            <v>50070728</v>
          </cell>
          <cell r="D1009" t="str">
            <v>SAHARUDDIN</v>
          </cell>
          <cell r="E1009" t="str">
            <v>Kalsel &amp; NTB TSO</v>
          </cell>
          <cell r="F1009" t="str">
            <v>Supervisor</v>
          </cell>
          <cell r="G1009" t="str">
            <v>President Directorate</v>
          </cell>
          <cell r="H1009" t="str">
            <v>Dept. of Sales</v>
          </cell>
          <cell r="I1009" t="str">
            <v>Unit of Sales 2</v>
          </cell>
          <cell r="J1009" t="str">
            <v>Section of Kalsel &amp; NTB</v>
          </cell>
        </row>
        <row r="1010">
          <cell r="A1010">
            <v>6170</v>
          </cell>
          <cell r="B1010" t="str">
            <v>9112337</v>
          </cell>
          <cell r="C1010">
            <v>50069778</v>
          </cell>
          <cell r="D1010" t="str">
            <v>RIZAL</v>
          </cell>
          <cell r="E1010" t="str">
            <v>Spv of Port Control System Prev. Maint</v>
          </cell>
          <cell r="F1010" t="str">
            <v>Supervisor</v>
          </cell>
          <cell r="G1010" t="str">
            <v>Operation Directorate</v>
          </cell>
          <cell r="H1010" t="str">
            <v>Dept. of Maintenance</v>
          </cell>
          <cell r="I1010" t="str">
            <v>Unit of Port Product Discharge Maint.</v>
          </cell>
          <cell r="J1010" t="str">
            <v>Section of Port Facility Elins Maint.</v>
          </cell>
        </row>
        <row r="1011">
          <cell r="A1011">
            <v>6171</v>
          </cell>
          <cell r="B1011" t="str">
            <v>9112338</v>
          </cell>
          <cell r="C1011">
            <v>50069499</v>
          </cell>
          <cell r="D1011" t="str">
            <v>FIRMAN</v>
          </cell>
          <cell r="E1011" t="str">
            <v>Spv of Packer Mach Maint. PdM &amp; PM Schdl</v>
          </cell>
          <cell r="F1011" t="str">
            <v>Supervisor</v>
          </cell>
          <cell r="G1011" t="str">
            <v>Operation Directorate</v>
          </cell>
          <cell r="H1011" t="str">
            <v>Dept. of Maintenance</v>
          </cell>
          <cell r="I1011" t="str">
            <v>Unit of Machine Maintenance 1</v>
          </cell>
          <cell r="J1011" t="str">
            <v>Section of Packer Machine Maint.</v>
          </cell>
        </row>
        <row r="1012">
          <cell r="A1012">
            <v>6172</v>
          </cell>
          <cell r="B1012" t="str">
            <v>9112339</v>
          </cell>
          <cell r="C1012">
            <v>50069392</v>
          </cell>
          <cell r="D1012" t="str">
            <v>JUSMAN</v>
          </cell>
          <cell r="E1012" t="str">
            <v>Spv of Line 5 RM Field</v>
          </cell>
          <cell r="F1012" t="str">
            <v>Supervisor</v>
          </cell>
          <cell r="G1012" t="str">
            <v>Operation Directorate</v>
          </cell>
          <cell r="H1012" t="str">
            <v>Dept. of Clinker &amp; Cement Production</v>
          </cell>
          <cell r="I1012" t="str">
            <v>Unit of Clinker Production</v>
          </cell>
          <cell r="J1012" t="str">
            <v>Section of Line 5 RKC Operation</v>
          </cell>
        </row>
        <row r="1013">
          <cell r="A1013">
            <v>6173</v>
          </cell>
          <cell r="B1013" t="str">
            <v>9112340</v>
          </cell>
          <cell r="C1013">
            <v>50069722</v>
          </cell>
          <cell r="D1013" t="str">
            <v>ILHAM</v>
          </cell>
          <cell r="E1013" t="str">
            <v>Spv of Balance of Plant &amp; Laboratory</v>
          </cell>
          <cell r="F1013" t="str">
            <v>Supervisor</v>
          </cell>
          <cell r="G1013" t="str">
            <v>Operation Directorate</v>
          </cell>
          <cell r="H1013" t="str">
            <v>Dept. of Mining &amp; Power Plant</v>
          </cell>
          <cell r="I1013" t="str">
            <v>Unit of Power Plant Operation</v>
          </cell>
          <cell r="J1013" t="str">
            <v>Section of Water Treatment &amp; CUS Opr</v>
          </cell>
        </row>
        <row r="1014">
          <cell r="A1014">
            <v>6174</v>
          </cell>
          <cell r="B1014" t="str">
            <v>9112341</v>
          </cell>
          <cell r="C1014">
            <v>50069160</v>
          </cell>
          <cell r="D1014" t="str">
            <v>FIRMAN SALIM, STP</v>
          </cell>
          <cell r="E1014" t="str">
            <v>Incoming &amp; Sup Mat Lab Anal Jr Officer</v>
          </cell>
          <cell r="F1014" t="str">
            <v>Supervisor</v>
          </cell>
          <cell r="G1014" t="str">
            <v>Operation Directorate</v>
          </cell>
          <cell r="I1014" t="str">
            <v>Unit of Quality Assurance</v>
          </cell>
          <cell r="J1014" t="str">
            <v>Section of Material Quality Assurance</v>
          </cell>
        </row>
        <row r="1015">
          <cell r="A1015">
            <v>6176</v>
          </cell>
          <cell r="B1015" t="str">
            <v>9112343</v>
          </cell>
          <cell r="C1015">
            <v>50055786</v>
          </cell>
          <cell r="D1015" t="str">
            <v>APRIANTO</v>
          </cell>
          <cell r="E1015" t="str">
            <v>Spv of CCR RKC 5</v>
          </cell>
          <cell r="F1015" t="str">
            <v>Supervisor</v>
          </cell>
          <cell r="G1015" t="str">
            <v>Operation Directorate</v>
          </cell>
          <cell r="H1015" t="str">
            <v>Dept. of Clinker &amp; Cement Production</v>
          </cell>
          <cell r="I1015" t="str">
            <v>Unit of Clinker Production</v>
          </cell>
          <cell r="J1015" t="str">
            <v>Section of Line 5 RKC Operation</v>
          </cell>
        </row>
        <row r="1016">
          <cell r="A1016">
            <v>6177</v>
          </cell>
          <cell r="B1016" t="str">
            <v>9112344</v>
          </cell>
          <cell r="C1016">
            <v>50069400</v>
          </cell>
          <cell r="D1016" t="str">
            <v>MUHAMMAD TAUFIQ</v>
          </cell>
          <cell r="E1016" t="str">
            <v>Spv of Line 5 KIln Field</v>
          </cell>
          <cell r="F1016" t="str">
            <v>Supervisor</v>
          </cell>
          <cell r="G1016" t="str">
            <v>Operation Directorate</v>
          </cell>
          <cell r="H1016" t="str">
            <v>Dept. of Clinker &amp; Cement Production</v>
          </cell>
          <cell r="I1016" t="str">
            <v>Unit of Clinker Production</v>
          </cell>
          <cell r="J1016" t="str">
            <v>Section of Line 5 RKC Operation</v>
          </cell>
        </row>
        <row r="1017">
          <cell r="A1017">
            <v>6179</v>
          </cell>
          <cell r="B1017" t="str">
            <v>9112346</v>
          </cell>
          <cell r="C1017">
            <v>50070735</v>
          </cell>
          <cell r="D1017" t="str">
            <v>A.ARYA WIJAYA</v>
          </cell>
          <cell r="E1017" t="str">
            <v>Papua TSO</v>
          </cell>
          <cell r="F1017" t="str">
            <v>Supervisor</v>
          </cell>
          <cell r="G1017" t="str">
            <v>President Directorate</v>
          </cell>
          <cell r="H1017" t="str">
            <v>Dept. of Sales</v>
          </cell>
          <cell r="I1017" t="str">
            <v>Unit of Sales 2</v>
          </cell>
          <cell r="J1017" t="str">
            <v>Section of Papua</v>
          </cell>
        </row>
        <row r="1018">
          <cell r="A1018">
            <v>6180</v>
          </cell>
          <cell r="B1018" t="str">
            <v>9112347</v>
          </cell>
          <cell r="C1018">
            <v>50067130</v>
          </cell>
          <cell r="D1018" t="str">
            <v>AMAR MARUF</v>
          </cell>
          <cell r="E1018" t="str">
            <v>Permit &amp; Equip. Maint Jr Officer</v>
          </cell>
          <cell r="F1018" t="str">
            <v>Supervisor</v>
          </cell>
          <cell r="G1018" t="str">
            <v>Operation Directorate</v>
          </cell>
          <cell r="H1018" t="str">
            <v>Dept. of Production Planning &amp; Control</v>
          </cell>
          <cell r="I1018" t="str">
            <v>Unit of OHS</v>
          </cell>
          <cell r="J1018" t="str">
            <v>Staff of Permit &amp; OHS Equip Maintenance</v>
          </cell>
        </row>
        <row r="1019">
          <cell r="A1019">
            <v>6181</v>
          </cell>
          <cell r="B1019" t="str">
            <v>9112348</v>
          </cell>
          <cell r="C1019">
            <v>50070720</v>
          </cell>
          <cell r="D1019" t="str">
            <v>ABDUL FATTAH NAWING</v>
          </cell>
          <cell r="E1019" t="str">
            <v>Kaltim &amp; Kaltara TSO</v>
          </cell>
          <cell r="F1019" t="str">
            <v>Supervisor</v>
          </cell>
          <cell r="G1019" t="str">
            <v>President Directorate</v>
          </cell>
          <cell r="H1019" t="str">
            <v>Dept. of Sales</v>
          </cell>
          <cell r="I1019" t="str">
            <v>Unit of Sales 1</v>
          </cell>
          <cell r="J1019" t="str">
            <v>Section of Kaltim &amp; Kaltara</v>
          </cell>
        </row>
        <row r="1020">
          <cell r="A1020">
            <v>6182</v>
          </cell>
          <cell r="B1020" t="str">
            <v>9112349</v>
          </cell>
          <cell r="C1020">
            <v>50069031</v>
          </cell>
          <cell r="D1020" t="str">
            <v>A.RAHMAN JAYA, ST.</v>
          </cell>
          <cell r="E1020" t="str">
            <v>Spv of Balikpapan PP Maintenance</v>
          </cell>
          <cell r="F1020" t="str">
            <v>Supervisor</v>
          </cell>
          <cell r="G1020" t="str">
            <v>Operation Directorate</v>
          </cell>
          <cell r="H1020" t="str">
            <v>Dept. of Infrastructure</v>
          </cell>
          <cell r="I1020" t="str">
            <v>Unit of Packing Plant 1</v>
          </cell>
          <cell r="J1020" t="str">
            <v>Section of Balikpapan Packing Plant</v>
          </cell>
        </row>
        <row r="1021">
          <cell r="A1021">
            <v>6183</v>
          </cell>
          <cell r="B1021" t="str">
            <v>9112350</v>
          </cell>
          <cell r="C1021">
            <v>50069139</v>
          </cell>
          <cell r="D1021" t="str">
            <v>MUHAMMAD IMRAN AZIS, ST.</v>
          </cell>
          <cell r="E1021" t="str">
            <v>Autonomous Packer 2345 &amp; BC Jr Officer</v>
          </cell>
          <cell r="F1021" t="str">
            <v>Supervisor</v>
          </cell>
          <cell r="G1021" t="str">
            <v>Operation Directorate</v>
          </cell>
          <cell r="H1021" t="str">
            <v>Dept. of Infrastructure</v>
          </cell>
          <cell r="I1021" t="str">
            <v>Unit of Plant &amp; Port Prod Discharge Opr</v>
          </cell>
          <cell r="J1021" t="str">
            <v>Section of Plant Site Packer &amp; Bulk Opr</v>
          </cell>
        </row>
        <row r="1022">
          <cell r="A1022">
            <v>6184</v>
          </cell>
          <cell r="B1022" t="str">
            <v>9112351</v>
          </cell>
          <cell r="C1022">
            <v>50024533</v>
          </cell>
          <cell r="D1022" t="str">
            <v>NUR IRVANSYAH</v>
          </cell>
          <cell r="E1022" t="str">
            <v>Spv of PP Electr Load Control (1)</v>
          </cell>
          <cell r="F1022" t="str">
            <v>Supervisor</v>
          </cell>
          <cell r="G1022" t="str">
            <v>Operation Directorate</v>
          </cell>
          <cell r="H1022" t="str">
            <v>Dept. of Mining &amp; Power Plant</v>
          </cell>
          <cell r="I1022" t="str">
            <v>Unit of Power Distribution</v>
          </cell>
          <cell r="J1022" t="str">
            <v>Section of Electricity Load Control</v>
          </cell>
        </row>
        <row r="1023">
          <cell r="A1023">
            <v>6185</v>
          </cell>
          <cell r="B1023" t="str">
            <v>9112426</v>
          </cell>
          <cell r="C1023">
            <v>50069371</v>
          </cell>
          <cell r="D1023" t="str">
            <v>NAWIR NATSIR</v>
          </cell>
          <cell r="E1023" t="str">
            <v>Spv of Line 4 Coal Mill Field</v>
          </cell>
          <cell r="F1023" t="str">
            <v>Supervisor</v>
          </cell>
          <cell r="G1023" t="str">
            <v>Operation Directorate</v>
          </cell>
          <cell r="H1023" t="str">
            <v>Dept. of Clinker &amp; Cement Production</v>
          </cell>
          <cell r="I1023" t="str">
            <v>Unit of Clinker Production</v>
          </cell>
          <cell r="J1023" t="str">
            <v>Section of Line 4 RKC Operation</v>
          </cell>
        </row>
        <row r="1024">
          <cell r="A1024">
            <v>6186</v>
          </cell>
          <cell r="B1024" t="str">
            <v>9112352</v>
          </cell>
          <cell r="C1024">
            <v>50007313</v>
          </cell>
          <cell r="D1024" t="str">
            <v>WAHYUDIN YUSUF, S.I.Kom</v>
          </cell>
          <cell r="E1024" t="str">
            <v>Comm. &amp; Public Relations Jr Officer</v>
          </cell>
          <cell r="F1024" t="str">
            <v>Supervisor</v>
          </cell>
          <cell r="G1024" t="str">
            <v>President Directorate</v>
          </cell>
          <cell r="H1024" t="str">
            <v>Dept. of Communication, Legal &amp; GA</v>
          </cell>
          <cell r="I1024" t="str">
            <v>Unit of Communication &amp; Secretariate</v>
          </cell>
          <cell r="J1024" t="str">
            <v>Staff of Communication &amp; Public Relation</v>
          </cell>
        </row>
        <row r="1025">
          <cell r="A1025">
            <v>6187</v>
          </cell>
          <cell r="B1025" t="str">
            <v>9112353</v>
          </cell>
          <cell r="C1025">
            <v>50066254</v>
          </cell>
          <cell r="D1025" t="str">
            <v>EKO UTOMO SRIANTO P.</v>
          </cell>
          <cell r="E1025" t="str">
            <v>Planning &amp; Scheduling Jr Officer</v>
          </cell>
          <cell r="F1025" t="str">
            <v>Supervisor</v>
          </cell>
          <cell r="G1025" t="str">
            <v>Operation Directorate</v>
          </cell>
          <cell r="H1025" t="str">
            <v>Dept. of Maintenance</v>
          </cell>
          <cell r="I1025" t="str">
            <v>Unit of Reliability Maintenance</v>
          </cell>
          <cell r="J1025" t="str">
            <v>Staff of Planning &amp; Scheduling</v>
          </cell>
        </row>
        <row r="1026">
          <cell r="A1026">
            <v>6188</v>
          </cell>
          <cell r="B1026" t="str">
            <v>9112354</v>
          </cell>
          <cell r="C1026">
            <v>50055831</v>
          </cell>
          <cell r="D1026" t="str">
            <v>HASBI SYAMSUDDIN, S.KM.</v>
          </cell>
          <cell r="E1026" t="str">
            <v>Line 2/3 CCR FM Jr Officer</v>
          </cell>
          <cell r="F1026" t="str">
            <v>Supervisor</v>
          </cell>
          <cell r="G1026" t="str">
            <v>Operation Directorate</v>
          </cell>
          <cell r="H1026" t="str">
            <v>Dept. of Clinker &amp; Cement Production</v>
          </cell>
          <cell r="I1026" t="str">
            <v>Unit of Cement Production</v>
          </cell>
          <cell r="J1026" t="str">
            <v>Section of Line 2/3 FM Operation</v>
          </cell>
        </row>
        <row r="1027">
          <cell r="A1027">
            <v>6189</v>
          </cell>
          <cell r="B1027" t="str">
            <v>9112355</v>
          </cell>
          <cell r="C1027">
            <v>50069405</v>
          </cell>
          <cell r="D1027" t="str">
            <v>AMRAN</v>
          </cell>
          <cell r="E1027" t="str">
            <v>Spv of Line 5 Coal Mill Field</v>
          </cell>
          <cell r="F1027" t="str">
            <v>Supervisor</v>
          </cell>
          <cell r="G1027" t="str">
            <v>Operation Directorate</v>
          </cell>
          <cell r="H1027" t="str">
            <v>Dept. of Clinker &amp; Cement Production</v>
          </cell>
          <cell r="I1027" t="str">
            <v>Unit of Clinker Production</v>
          </cell>
          <cell r="J1027" t="str">
            <v>Section of Line 5 RKC Operation</v>
          </cell>
        </row>
        <row r="1028">
          <cell r="A1028">
            <v>6190</v>
          </cell>
          <cell r="B1028" t="str">
            <v>9112356</v>
          </cell>
          <cell r="C1028">
            <v>50069636</v>
          </cell>
          <cell r="D1028" t="str">
            <v>AFANDY M.</v>
          </cell>
          <cell r="E1028" t="str">
            <v>Spv of Line 5 Limestone Crusher</v>
          </cell>
          <cell r="F1028" t="str">
            <v>Supervisor</v>
          </cell>
          <cell r="G1028" t="str">
            <v>Operation Directorate</v>
          </cell>
          <cell r="H1028" t="str">
            <v>Dept. of Mining &amp; Power Plant</v>
          </cell>
          <cell r="I1028" t="str">
            <v>Unit of Raw Material Management</v>
          </cell>
          <cell r="J1028" t="str">
            <v>Section of Limestone Crusher Operation</v>
          </cell>
        </row>
        <row r="1029">
          <cell r="A1029">
            <v>6191</v>
          </cell>
          <cell r="B1029" t="str">
            <v>9112357</v>
          </cell>
          <cell r="C1029">
            <v>50060619</v>
          </cell>
          <cell r="D1029" t="str">
            <v>SYAMSUL ARIF</v>
          </cell>
          <cell r="E1029" t="str">
            <v>AR Management Officer</v>
          </cell>
          <cell r="F1029" t="str">
            <v>Manager</v>
          </cell>
          <cell r="G1029" t="str">
            <v>Direktorat Keuangan dan Risk Management</v>
          </cell>
          <cell r="H1029" t="str">
            <v>Department of Treasury</v>
          </cell>
          <cell r="I1029" t="str">
            <v>Unit of Commercial Finance 1</v>
          </cell>
        </row>
        <row r="1030">
          <cell r="A1030">
            <v>6192</v>
          </cell>
          <cell r="B1030" t="str">
            <v>9112358</v>
          </cell>
          <cell r="C1030">
            <v>50029887</v>
          </cell>
          <cell r="D1030" t="str">
            <v>RAKHMAT HIDAYAT</v>
          </cell>
          <cell r="E1030" t="str">
            <v>Spv of PP Instrument</v>
          </cell>
          <cell r="F1030" t="str">
            <v>Supervisor</v>
          </cell>
          <cell r="G1030" t="str">
            <v>Operation Directorate</v>
          </cell>
          <cell r="H1030" t="str">
            <v>Dept. of Mining &amp; Power Plant</v>
          </cell>
          <cell r="I1030" t="str">
            <v>Unit of Power Plant Elins Maintenance</v>
          </cell>
          <cell r="J1030" t="str">
            <v>Section of Power Plant Instrument Maint.</v>
          </cell>
        </row>
        <row r="1031">
          <cell r="A1031">
            <v>6193</v>
          </cell>
          <cell r="B1031" t="str">
            <v>9112359</v>
          </cell>
          <cell r="C1031">
            <v>50069780</v>
          </cell>
          <cell r="D1031" t="str">
            <v>SUPRIADI</v>
          </cell>
          <cell r="E1031" t="str">
            <v>Spv of BKS EP/DC PvM</v>
          </cell>
          <cell r="F1031" t="str">
            <v>Supervisor</v>
          </cell>
          <cell r="G1031" t="str">
            <v>Operation Directorate</v>
          </cell>
          <cell r="H1031" t="str">
            <v>Dept. of Maintenance</v>
          </cell>
          <cell r="I1031" t="str">
            <v>Unit of Port Product Discharge Maint.</v>
          </cell>
          <cell r="J1031" t="str">
            <v>Section of Port Facility Elins Maint.</v>
          </cell>
        </row>
        <row r="1032">
          <cell r="A1032">
            <v>6194</v>
          </cell>
          <cell r="B1032" t="str">
            <v>9112360</v>
          </cell>
          <cell r="C1032">
            <v>50069393</v>
          </cell>
          <cell r="D1032" t="str">
            <v>MUHAJIR K.</v>
          </cell>
          <cell r="E1032" t="str">
            <v>Spv of Line 5 RM Field</v>
          </cell>
          <cell r="F1032" t="str">
            <v>Supervisor</v>
          </cell>
          <cell r="G1032" t="str">
            <v>Operation Directorate</v>
          </cell>
          <cell r="H1032" t="str">
            <v>Dept. of Clinker &amp; Cement Production</v>
          </cell>
          <cell r="I1032" t="str">
            <v>Unit of Clinker Production</v>
          </cell>
          <cell r="J1032" t="str">
            <v>Section of Line 5 RKC Operation</v>
          </cell>
        </row>
        <row r="1033">
          <cell r="A1033">
            <v>6195</v>
          </cell>
          <cell r="B1033" t="str">
            <v>9112361</v>
          </cell>
          <cell r="C1033">
            <v>50069588</v>
          </cell>
          <cell r="D1033" t="str">
            <v>MUHAMMAD FAISAL</v>
          </cell>
          <cell r="E1033" t="str">
            <v>Troubleshooting Jr Officer</v>
          </cell>
          <cell r="F1033" t="str">
            <v>Supervisor</v>
          </cell>
          <cell r="G1033" t="str">
            <v>Operation Directorate</v>
          </cell>
          <cell r="H1033" t="str">
            <v>Dept. of Maintenance</v>
          </cell>
          <cell r="I1033" t="str">
            <v>Unit of Reliability Maintenance</v>
          </cell>
          <cell r="J1033" t="str">
            <v>Staff of Troubleshooting</v>
          </cell>
        </row>
        <row r="1034">
          <cell r="A1034">
            <v>6196</v>
          </cell>
          <cell r="B1034" t="str">
            <v>9112362</v>
          </cell>
          <cell r="C1034">
            <v>50066802</v>
          </cell>
          <cell r="D1034" t="str">
            <v>ISMAIL IBRAHIM</v>
          </cell>
          <cell r="E1034" t="str">
            <v>Lab Eqp Jr Officer</v>
          </cell>
          <cell r="F1034" t="str">
            <v>Supervisor</v>
          </cell>
          <cell r="G1034" t="str">
            <v>Operation Directorate</v>
          </cell>
          <cell r="H1034" t="str">
            <v>Dept. of Production Planning &amp; Control</v>
          </cell>
          <cell r="I1034" t="str">
            <v>Unit of Quality Control</v>
          </cell>
          <cell r="J1034" t="str">
            <v>Section of Quality Development &amp; Eval.</v>
          </cell>
        </row>
        <row r="1035">
          <cell r="A1035">
            <v>6197</v>
          </cell>
          <cell r="B1035" t="str">
            <v>9112363</v>
          </cell>
          <cell r="C1035">
            <v>50069721</v>
          </cell>
          <cell r="D1035" t="str">
            <v>AMRIL AMIRUDDIN</v>
          </cell>
          <cell r="E1035" t="str">
            <v>Spv of Balance of Plant &amp; Laboratory</v>
          </cell>
          <cell r="F1035" t="str">
            <v>Supervisor</v>
          </cell>
          <cell r="G1035" t="str">
            <v>Operation Directorate</v>
          </cell>
          <cell r="H1035" t="str">
            <v>Dept. of Mining &amp; Power Plant</v>
          </cell>
          <cell r="I1035" t="str">
            <v>Unit of Power Plant Operation</v>
          </cell>
          <cell r="J1035" t="str">
            <v>Section of Water Treatment &amp; CUS Opr</v>
          </cell>
        </row>
        <row r="1036">
          <cell r="A1036">
            <v>6198</v>
          </cell>
          <cell r="B1036" t="str">
            <v>9112364</v>
          </cell>
          <cell r="C1036">
            <v>50029248</v>
          </cell>
          <cell r="D1036" t="str">
            <v>JASMAN</v>
          </cell>
          <cell r="E1036" t="str">
            <v>Spv of Weigher Maintenance (DS)</v>
          </cell>
          <cell r="F1036" t="str">
            <v>Supervisor</v>
          </cell>
          <cell r="G1036" t="str">
            <v>Operation Directorate</v>
          </cell>
          <cell r="H1036" t="str">
            <v>Dept. of Maintenance</v>
          </cell>
          <cell r="I1036" t="str">
            <v>Unit of Elins Maintenance 1</v>
          </cell>
          <cell r="J1036" t="str">
            <v>Section of Packer Elins Maint</v>
          </cell>
        </row>
        <row r="1037">
          <cell r="A1037">
            <v>6199</v>
          </cell>
          <cell r="B1037" t="str">
            <v>9112365</v>
          </cell>
          <cell r="C1037">
            <v>50009102</v>
          </cell>
          <cell r="D1037" t="str">
            <v>KHAERIL ILYAS, SE, M.Ak</v>
          </cell>
          <cell r="E1037" t="str">
            <v>Financial Accounting Jr Officer</v>
          </cell>
          <cell r="F1037" t="str">
            <v>Supervisor</v>
          </cell>
          <cell r="G1037" t="str">
            <v>Finance Risk Mgmt &amp; General Directorate</v>
          </cell>
          <cell r="H1037" t="str">
            <v>Department of Finance &amp; Accounting</v>
          </cell>
          <cell r="I1037" t="str">
            <v>Unit of Accounting</v>
          </cell>
          <cell r="J1037" t="str">
            <v>Section of Financial Accounting</v>
          </cell>
        </row>
        <row r="1038">
          <cell r="A1038">
            <v>6200</v>
          </cell>
          <cell r="B1038" t="str">
            <v>9112366</v>
          </cell>
          <cell r="C1038">
            <v>50055591</v>
          </cell>
          <cell r="D1038" t="str">
            <v>MUHAMMAD AGUS, SE.</v>
          </cell>
          <cell r="E1038" t="str">
            <v>Cost Accounting Jr Officer</v>
          </cell>
          <cell r="F1038" t="str">
            <v>Supervisor</v>
          </cell>
          <cell r="G1038" t="str">
            <v>Finance Risk Mgmt &amp; General Directorate</v>
          </cell>
          <cell r="H1038" t="str">
            <v>Department of Finance &amp; Accounting</v>
          </cell>
          <cell r="I1038" t="str">
            <v>Unit of Budgeting &amp; Performance</v>
          </cell>
          <cell r="J1038" t="str">
            <v>Section of Cost Accounting</v>
          </cell>
        </row>
        <row r="1039">
          <cell r="A1039">
            <v>6201</v>
          </cell>
          <cell r="B1039" t="str">
            <v>9112368</v>
          </cell>
          <cell r="C1039">
            <v>50035559</v>
          </cell>
          <cell r="D1039" t="str">
            <v>AGUS MASSERE</v>
          </cell>
          <cell r="E1039" t="str">
            <v>Tech of Water Treatment Elins Maint</v>
          </cell>
          <cell r="F1039" t="str">
            <v>Associate</v>
          </cell>
          <cell r="G1039" t="str">
            <v>Operation Directorate</v>
          </cell>
          <cell r="H1039" t="str">
            <v>Dept. of Production Planning &amp; Control</v>
          </cell>
          <cell r="I1039" t="str">
            <v>Unit of Production Support</v>
          </cell>
          <cell r="J1039" t="str">
            <v>Section of Utility</v>
          </cell>
        </row>
        <row r="1040">
          <cell r="A1040">
            <v>6202</v>
          </cell>
          <cell r="B1040" t="str">
            <v>9112367</v>
          </cell>
          <cell r="C1040">
            <v>50024607</v>
          </cell>
          <cell r="D1040" t="str">
            <v>AKMAL. S.M.</v>
          </cell>
          <cell r="E1040" t="str">
            <v>Spv of Power Plant CCR</v>
          </cell>
          <cell r="F1040" t="str">
            <v>Supervisor</v>
          </cell>
          <cell r="G1040" t="str">
            <v>Operation Directorate</v>
          </cell>
          <cell r="H1040" t="str">
            <v>Dept. of Mining &amp; Power Plant</v>
          </cell>
          <cell r="I1040" t="str">
            <v>Unit of Power Plant Operation</v>
          </cell>
          <cell r="J1040" t="str">
            <v>Section of Power Plant Operation</v>
          </cell>
        </row>
        <row r="1041">
          <cell r="A1041">
            <v>6203</v>
          </cell>
          <cell r="B1041" t="str">
            <v>9112369</v>
          </cell>
          <cell r="C1041">
            <v>50069079</v>
          </cell>
          <cell r="D1041" t="str">
            <v>DICKY DARMAWAN</v>
          </cell>
          <cell r="E1041" t="str">
            <v>Spv of Autonomous</v>
          </cell>
          <cell r="F1041" t="str">
            <v>Supervisor</v>
          </cell>
          <cell r="G1041" t="str">
            <v>Operation Directorate</v>
          </cell>
          <cell r="H1041" t="str">
            <v>Dept. of Infrastructure</v>
          </cell>
          <cell r="I1041" t="str">
            <v>Unit of Plant &amp; Port Prod Discharge Opr</v>
          </cell>
          <cell r="J1041" t="str">
            <v>Section of Port Opr (Packer &amp; Curah)</v>
          </cell>
        </row>
        <row r="1042">
          <cell r="A1042">
            <v>6204</v>
          </cell>
          <cell r="B1042" t="str">
            <v>9112370</v>
          </cell>
          <cell r="C1042">
            <v>50069713</v>
          </cell>
          <cell r="D1042" t="str">
            <v>ASRIADI K.</v>
          </cell>
          <cell r="E1042" t="str">
            <v>Spv of PP Coal Mill Operation</v>
          </cell>
          <cell r="F1042" t="str">
            <v>Supervisor</v>
          </cell>
          <cell r="G1042" t="str">
            <v>Operation Directorate</v>
          </cell>
          <cell r="H1042" t="str">
            <v>Dept. of Mining &amp; Power Plant</v>
          </cell>
          <cell r="I1042" t="str">
            <v>Unit of Power Plant Operation</v>
          </cell>
          <cell r="J1042" t="str">
            <v>Section of Power Plant Operation</v>
          </cell>
        </row>
        <row r="1043">
          <cell r="A1043">
            <v>6205</v>
          </cell>
          <cell r="B1043" t="str">
            <v>9112371</v>
          </cell>
          <cell r="C1043">
            <v>50068589</v>
          </cell>
          <cell r="D1043" t="str">
            <v>NESTOR CATIS JR., ST.</v>
          </cell>
          <cell r="E1043" t="str">
            <v>Sea Transportation Jr Officer</v>
          </cell>
          <cell r="F1043" t="str">
            <v>Supervisor</v>
          </cell>
          <cell r="G1043" t="str">
            <v>President Directorate</v>
          </cell>
          <cell r="H1043" t="str">
            <v>Dept. of Sales</v>
          </cell>
          <cell r="I1043" t="str">
            <v>Unit of Outbound Logistic</v>
          </cell>
          <cell r="J1043" t="str">
            <v>Section of Sea Transportation</v>
          </cell>
        </row>
        <row r="1044">
          <cell r="A1044">
            <v>6206</v>
          </cell>
          <cell r="B1044" t="str">
            <v>9112372</v>
          </cell>
          <cell r="C1044">
            <v>50069417</v>
          </cell>
          <cell r="D1044" t="str">
            <v>ADE SANJAYA</v>
          </cell>
          <cell r="E1044" t="str">
            <v>Spv of Line 4 RM Field</v>
          </cell>
          <cell r="F1044" t="str">
            <v>Supervisor</v>
          </cell>
          <cell r="G1044" t="str">
            <v>Operation Directorate</v>
          </cell>
          <cell r="H1044" t="str">
            <v>Dept. of Clinker &amp; Cement Production</v>
          </cell>
          <cell r="I1044" t="str">
            <v>Unit of Clinker Production</v>
          </cell>
          <cell r="J1044" t="str">
            <v>Section of Line 4 RKC Operation</v>
          </cell>
        </row>
        <row r="1045">
          <cell r="A1045">
            <v>6207</v>
          </cell>
          <cell r="B1045" t="str">
            <v>9112373</v>
          </cell>
          <cell r="C1045">
            <v>50070708</v>
          </cell>
          <cell r="D1045" t="str">
            <v>M.SEPTIAN RAHMAT J.</v>
          </cell>
          <cell r="E1045" t="str">
            <v>Sultra, Sulut &amp; Gorontalo TSO</v>
          </cell>
          <cell r="F1045" t="str">
            <v>Supervisor</v>
          </cell>
          <cell r="G1045" t="str">
            <v>President Directorate</v>
          </cell>
          <cell r="H1045" t="str">
            <v>Dept. of Sales</v>
          </cell>
          <cell r="I1045" t="str">
            <v>Unit of Sales 1</v>
          </cell>
          <cell r="J1045" t="str">
            <v>Section of Sultra, Sulut &amp; Gorontalo</v>
          </cell>
        </row>
        <row r="1046">
          <cell r="A1046">
            <v>6208</v>
          </cell>
          <cell r="B1046" t="str">
            <v>9112374</v>
          </cell>
          <cell r="C1046">
            <v>50069621</v>
          </cell>
          <cell r="D1046" t="str">
            <v>MUH.HASBI AFSANI SY.</v>
          </cell>
          <cell r="E1046" t="str">
            <v>Autonomous LS Crusher Jr Officer</v>
          </cell>
          <cell r="F1046" t="str">
            <v>Supervisor</v>
          </cell>
          <cell r="G1046" t="str">
            <v>Operation Directorate</v>
          </cell>
          <cell r="H1046" t="str">
            <v>Dept. of Mining &amp; Power Plant</v>
          </cell>
          <cell r="I1046" t="str">
            <v>Unit of Raw Material Management</v>
          </cell>
          <cell r="J1046" t="str">
            <v>Section of Limestone Crusher Operation</v>
          </cell>
        </row>
        <row r="1047">
          <cell r="A1047">
            <v>6209</v>
          </cell>
          <cell r="B1047" t="str">
            <v>9112375</v>
          </cell>
          <cell r="C1047">
            <v>50007856</v>
          </cell>
          <cell r="D1047" t="str">
            <v>RIZAL TAWANI</v>
          </cell>
          <cell r="E1047" t="str">
            <v>Spv of Line 4 RM Mach PdM&amp;PM Schd</v>
          </cell>
          <cell r="F1047" t="str">
            <v>Supervisor</v>
          </cell>
          <cell r="G1047" t="str">
            <v>Operation Directorate</v>
          </cell>
          <cell r="H1047" t="str">
            <v>Dept. of Maintenance</v>
          </cell>
          <cell r="I1047" t="str">
            <v>Unit of Machine Maintenance 2</v>
          </cell>
          <cell r="J1047" t="str">
            <v>Section of Line 4/5 RM Machine Maint</v>
          </cell>
        </row>
        <row r="1048">
          <cell r="A1048">
            <v>6210</v>
          </cell>
          <cell r="B1048" t="str">
            <v>9112376</v>
          </cell>
          <cell r="C1048">
            <v>50071542</v>
          </cell>
          <cell r="D1048" t="str">
            <v>WAHYUDIN, SE.</v>
          </cell>
          <cell r="E1048" t="str">
            <v>D Key Account Jr Officer</v>
          </cell>
          <cell r="F1048" t="str">
            <v>Supervisor</v>
          </cell>
          <cell r="G1048" t="str">
            <v>President Directorate</v>
          </cell>
          <cell r="H1048" t="str">
            <v>Dept. of Sales</v>
          </cell>
          <cell r="I1048" t="str">
            <v>Unit of Corporate Sales</v>
          </cell>
          <cell r="J1048" t="str">
            <v>Staff of Key Account Officer</v>
          </cell>
        </row>
        <row r="1049">
          <cell r="A1049">
            <v>6211</v>
          </cell>
          <cell r="B1049" t="str">
            <v>9112377</v>
          </cell>
          <cell r="C1049">
            <v>50067526</v>
          </cell>
          <cell r="D1049" t="str">
            <v>SHAITHO DEMSI AMPING, S.M.</v>
          </cell>
          <cell r="E1049" t="str">
            <v>Retail Sales Force Capability Jr Analyst</v>
          </cell>
          <cell r="F1049" t="str">
            <v>Supervisor</v>
          </cell>
          <cell r="G1049" t="str">
            <v>Direktorat Sales dan Marketing</v>
          </cell>
          <cell r="H1049" t="str">
            <v>Department of Channel Strategy &amp; Dev</v>
          </cell>
          <cell r="I1049" t="str">
            <v>Unit of Sales Force &amp; Capability Dev.</v>
          </cell>
          <cell r="J1049" t="str">
            <v>Section of Retail Sales Force Capability</v>
          </cell>
        </row>
        <row r="1050">
          <cell r="A1050">
            <v>6212</v>
          </cell>
          <cell r="B1050" t="str">
            <v>9112378</v>
          </cell>
          <cell r="C1050">
            <v>50070737</v>
          </cell>
          <cell r="D1050" t="str">
            <v>WILLIAM LOLOALLO</v>
          </cell>
          <cell r="E1050" t="str">
            <v>Papua TSO</v>
          </cell>
          <cell r="F1050" t="str">
            <v>Supervisor</v>
          </cell>
          <cell r="G1050" t="str">
            <v>President Directorate</v>
          </cell>
          <cell r="H1050" t="str">
            <v>Dept. of Sales</v>
          </cell>
          <cell r="I1050" t="str">
            <v>Unit of Sales 2</v>
          </cell>
          <cell r="J1050" t="str">
            <v>Section of Papua</v>
          </cell>
        </row>
        <row r="1051">
          <cell r="A1051">
            <v>6213</v>
          </cell>
          <cell r="B1051" t="str">
            <v>9112379</v>
          </cell>
          <cell r="C1051">
            <v>50069584</v>
          </cell>
          <cell r="D1051" t="str">
            <v>MUHAMMAD ANWAR</v>
          </cell>
          <cell r="E1051" t="str">
            <v>Troubleshooting Jr Officer</v>
          </cell>
          <cell r="F1051" t="str">
            <v>Supervisor</v>
          </cell>
          <cell r="G1051" t="str">
            <v>Operation Directorate</v>
          </cell>
          <cell r="H1051" t="str">
            <v>Dept. of Maintenance</v>
          </cell>
          <cell r="I1051" t="str">
            <v>Unit of Reliability Maintenance</v>
          </cell>
          <cell r="J1051" t="str">
            <v>Staff of Troubleshooting</v>
          </cell>
        </row>
        <row r="1052">
          <cell r="A1052">
            <v>6215</v>
          </cell>
          <cell r="B1052" t="str">
            <v>9112381</v>
          </cell>
          <cell r="C1052">
            <v>50069682</v>
          </cell>
          <cell r="D1052" t="str">
            <v>WALIYADIN TAHIR</v>
          </cell>
          <cell r="E1052" t="str">
            <v>PdM &amp; PM Schedule Electrical Jr Officer</v>
          </cell>
          <cell r="F1052" t="str">
            <v>Supervisor</v>
          </cell>
          <cell r="G1052" t="str">
            <v>Operation Directorate</v>
          </cell>
          <cell r="H1052" t="str">
            <v>Dept. of Mining &amp; Power Plant</v>
          </cell>
          <cell r="I1052" t="str">
            <v>Unit of Power Plant Elins Maintenance</v>
          </cell>
          <cell r="J1052" t="str">
            <v>Section of Power Plant Elctrical Maint.</v>
          </cell>
        </row>
        <row r="1053">
          <cell r="A1053">
            <v>6216</v>
          </cell>
          <cell r="B1053" t="str">
            <v>9112382</v>
          </cell>
          <cell r="C1053">
            <v>50069454</v>
          </cell>
          <cell r="D1053" t="str">
            <v>AGUS</v>
          </cell>
          <cell r="E1053" t="str">
            <v>Spv of Workshop</v>
          </cell>
          <cell r="F1053" t="str">
            <v>Supervisor</v>
          </cell>
          <cell r="G1053" t="str">
            <v>Operation Directorate</v>
          </cell>
          <cell r="H1053" t="str">
            <v>Dep. of Project Mngmnt &amp; Maint. Support</v>
          </cell>
          <cell r="I1053" t="str">
            <v>Unit of Workshop</v>
          </cell>
          <cell r="J1053" t="str">
            <v>Section of Machine Workshop</v>
          </cell>
        </row>
        <row r="1054">
          <cell r="A1054">
            <v>6217</v>
          </cell>
          <cell r="B1054" t="str">
            <v>9112383</v>
          </cell>
          <cell r="C1054">
            <v>50061176</v>
          </cell>
          <cell r="D1054" t="str">
            <v>MUH.RUSLAN HT.</v>
          </cell>
          <cell r="E1054" t="str">
            <v>Line 4 CCR FM Jr Officer</v>
          </cell>
          <cell r="F1054" t="str">
            <v>Supervisor</v>
          </cell>
          <cell r="G1054" t="str">
            <v>Operation Directorate</v>
          </cell>
          <cell r="H1054" t="str">
            <v>Dept. of Clinker &amp; Cement Production</v>
          </cell>
          <cell r="I1054" t="str">
            <v>Unit of Cement Production</v>
          </cell>
          <cell r="J1054" t="str">
            <v>Section of Line 4 Finish Mill Operation</v>
          </cell>
        </row>
        <row r="1055">
          <cell r="A1055">
            <v>6218</v>
          </cell>
          <cell r="B1055" t="str">
            <v>9112384</v>
          </cell>
          <cell r="C1055">
            <v>50069438</v>
          </cell>
          <cell r="D1055" t="str">
            <v>MUHAMMAD NUR</v>
          </cell>
          <cell r="E1055" t="str">
            <v>Autonomous Finish Mill Jr officer</v>
          </cell>
          <cell r="F1055" t="str">
            <v>Supervisor</v>
          </cell>
          <cell r="G1055" t="str">
            <v>Operation Directorate</v>
          </cell>
          <cell r="H1055" t="str">
            <v>Dept. of Clinker &amp; Cement Production</v>
          </cell>
          <cell r="I1055" t="str">
            <v>Unit of Cement Production</v>
          </cell>
          <cell r="J1055" t="str">
            <v>Section of Cement Production Coach</v>
          </cell>
        </row>
        <row r="1056">
          <cell r="A1056">
            <v>6219</v>
          </cell>
          <cell r="B1056" t="str">
            <v>9112385</v>
          </cell>
          <cell r="C1056">
            <v>50070280</v>
          </cell>
          <cell r="D1056" t="str">
            <v>ARHAM RAFIQ, SE.</v>
          </cell>
          <cell r="E1056" t="str">
            <v>Procurement Jr Officer</v>
          </cell>
          <cell r="F1056" t="str">
            <v>Supervisor</v>
          </cell>
          <cell r="G1056" t="str">
            <v>Direktorat Human Capital</v>
          </cell>
          <cell r="H1056" t="str">
            <v>Department of Energy &amp; Materials Proc.</v>
          </cell>
          <cell r="I1056" t="str">
            <v>Unit of Energy Procurement</v>
          </cell>
        </row>
        <row r="1057">
          <cell r="A1057">
            <v>6220</v>
          </cell>
          <cell r="B1057" t="str">
            <v>9112386</v>
          </cell>
          <cell r="C1057">
            <v>50069549</v>
          </cell>
          <cell r="D1057" t="str">
            <v>ASWAR</v>
          </cell>
          <cell r="E1057" t="str">
            <v>Spv of Line 5 FM Elins PvM</v>
          </cell>
          <cell r="F1057" t="str">
            <v>Supervisor</v>
          </cell>
          <cell r="G1057" t="str">
            <v>Operation Directorate</v>
          </cell>
          <cell r="H1057" t="str">
            <v>Dept. of Maintenance</v>
          </cell>
          <cell r="I1057" t="str">
            <v>Unit of Elins Maintenance 2</v>
          </cell>
          <cell r="J1057" t="str">
            <v>Section of Line 4/5 FM Elins Maint</v>
          </cell>
        </row>
        <row r="1058">
          <cell r="A1058">
            <v>6221</v>
          </cell>
          <cell r="B1058" t="str">
            <v>9112387</v>
          </cell>
          <cell r="C1058">
            <v>50069122</v>
          </cell>
          <cell r="D1058" t="str">
            <v>ALBERTUS NOEL PASALINA</v>
          </cell>
          <cell r="E1058" t="str">
            <v>Autonomous Packer 2345 &amp; BC Jr Officer</v>
          </cell>
          <cell r="F1058" t="str">
            <v>Supervisor</v>
          </cell>
          <cell r="G1058" t="str">
            <v>Operation Directorate</v>
          </cell>
          <cell r="H1058" t="str">
            <v>Dept. of Infrastructure</v>
          </cell>
          <cell r="I1058" t="str">
            <v>Unit of Plant &amp; Port Prod Discharge Opr</v>
          </cell>
          <cell r="J1058" t="str">
            <v>Section of Plant Site Packer &amp; Bulk Opr</v>
          </cell>
        </row>
        <row r="1059">
          <cell r="A1059">
            <v>6222</v>
          </cell>
          <cell r="B1059" t="str">
            <v>9112388</v>
          </cell>
          <cell r="C1059">
            <v>50066740</v>
          </cell>
          <cell r="D1059" t="str">
            <v>MUHAMMAD IQBAL</v>
          </cell>
          <cell r="E1059" t="str">
            <v>D RKC Evaluation Jr Officer</v>
          </cell>
          <cell r="F1059" t="str">
            <v>Supervisor</v>
          </cell>
          <cell r="G1059" t="str">
            <v>Operation Directorate</v>
          </cell>
          <cell r="H1059" t="str">
            <v>Dept. of Production Planning &amp; Control</v>
          </cell>
          <cell r="I1059" t="str">
            <v>Unit of Prod. Plan Eval. &amp; Environmental</v>
          </cell>
          <cell r="J1059" t="str">
            <v>Section of RKC Evaluation</v>
          </cell>
        </row>
        <row r="1060">
          <cell r="A1060">
            <v>6223</v>
          </cell>
          <cell r="B1060" t="str">
            <v>9112389</v>
          </cell>
          <cell r="C1060">
            <v>50066788</v>
          </cell>
          <cell r="D1060" t="str">
            <v>MUHAMMAD NASAR</v>
          </cell>
          <cell r="E1060" t="str">
            <v>Spv of X - Ray &amp; Analysis (2/3)</v>
          </cell>
          <cell r="F1060" t="str">
            <v>Supervisor</v>
          </cell>
          <cell r="G1060" t="str">
            <v>Operation Directorate</v>
          </cell>
          <cell r="H1060" t="str">
            <v>Dept. of Production Planning &amp; Control</v>
          </cell>
          <cell r="I1060" t="str">
            <v>Unit of Quality Control</v>
          </cell>
          <cell r="J1060" t="str">
            <v>Section of Quality Control (2/3)</v>
          </cell>
        </row>
        <row r="1061">
          <cell r="A1061">
            <v>6224</v>
          </cell>
          <cell r="B1061" t="str">
            <v>9112390</v>
          </cell>
          <cell r="C1061">
            <v>50066499</v>
          </cell>
          <cell r="D1061" t="str">
            <v>ARMAN DANI UNTUNG</v>
          </cell>
          <cell r="E1061" t="str">
            <v>Line 5 CCR FM Jr Officer</v>
          </cell>
          <cell r="F1061" t="str">
            <v>Supervisor</v>
          </cell>
          <cell r="G1061" t="str">
            <v>Operation Directorate</v>
          </cell>
          <cell r="H1061" t="str">
            <v>Dept. of Clinker &amp; Cement Production</v>
          </cell>
          <cell r="I1061" t="str">
            <v>Unit of Cement Production</v>
          </cell>
          <cell r="J1061" t="str">
            <v>Section of Line 5 Finish Mill Operation</v>
          </cell>
        </row>
        <row r="1062">
          <cell r="A1062">
            <v>6225</v>
          </cell>
          <cell r="B1062" t="str">
            <v>9112391</v>
          </cell>
          <cell r="C1062">
            <v>50070780</v>
          </cell>
          <cell r="D1062" t="str">
            <v>AQMAL KUSUMAH</v>
          </cell>
          <cell r="E1062" t="str">
            <v>Sales Process Management Officer</v>
          </cell>
          <cell r="F1062" t="str">
            <v>Manager</v>
          </cell>
          <cell r="G1062" t="str">
            <v>President Directorate</v>
          </cell>
          <cell r="H1062" t="str">
            <v>Dept. of Market Planning &amp; Development</v>
          </cell>
          <cell r="I1062" t="str">
            <v>Staff of Sales Process Management</v>
          </cell>
        </row>
        <row r="1063">
          <cell r="A1063">
            <v>6226</v>
          </cell>
          <cell r="B1063" t="str">
            <v>9112392</v>
          </cell>
          <cell r="C1063">
            <v>50066408</v>
          </cell>
          <cell r="D1063" t="str">
            <v>ALIM WAHYU</v>
          </cell>
          <cell r="E1063" t="str">
            <v>CAPEX Jr Officer</v>
          </cell>
          <cell r="F1063" t="str">
            <v>Supervisor</v>
          </cell>
          <cell r="G1063" t="str">
            <v>Operation Directorate</v>
          </cell>
          <cell r="H1063" t="str">
            <v>Dep. of Project Mngmnt &amp; Maint. Support</v>
          </cell>
          <cell r="I1063" t="str">
            <v>Unit of CAPEX Management</v>
          </cell>
          <cell r="J1063" t="str">
            <v>Staff Process of  CAPEX</v>
          </cell>
        </row>
        <row r="1064">
          <cell r="A1064">
            <v>6227</v>
          </cell>
          <cell r="B1064" t="str">
            <v>9112393</v>
          </cell>
          <cell r="C1064">
            <v>50070093</v>
          </cell>
          <cell r="D1064" t="str">
            <v>ISMAIL S.</v>
          </cell>
          <cell r="E1064" t="str">
            <v>Goods Control Jr Officer</v>
          </cell>
          <cell r="F1064" t="str">
            <v>Supervisor</v>
          </cell>
          <cell r="G1064" t="str">
            <v>Direktorat Human Capital</v>
          </cell>
          <cell r="H1064" t="str">
            <v>Department of Goods Proc. Plan. &amp; Policy</v>
          </cell>
          <cell r="I1064" t="str">
            <v>Unit of Mechanical Goods Control</v>
          </cell>
        </row>
        <row r="1065">
          <cell r="A1065">
            <v>6228</v>
          </cell>
          <cell r="B1065" t="str">
            <v>9212394</v>
          </cell>
          <cell r="C1065">
            <v>50066377</v>
          </cell>
          <cell r="D1065" t="str">
            <v>ALI AKBAR</v>
          </cell>
          <cell r="E1065" t="str">
            <v>Spare Part Planning Jr Officer</v>
          </cell>
          <cell r="F1065" t="str">
            <v>Supervisor</v>
          </cell>
          <cell r="G1065" t="str">
            <v>Operation Directorate</v>
          </cell>
          <cell r="H1065" t="str">
            <v>Dep. of Project Mngmnt &amp; Maint. Support</v>
          </cell>
          <cell r="I1065" t="str">
            <v>Unit of Maintenance Planning &amp; Eval.</v>
          </cell>
          <cell r="J1065" t="str">
            <v>Staff of Spare Part Planning</v>
          </cell>
        </row>
        <row r="1066">
          <cell r="A1066">
            <v>6229</v>
          </cell>
          <cell r="B1066" t="str">
            <v>9212395</v>
          </cell>
          <cell r="C1066">
            <v>50069421</v>
          </cell>
          <cell r="D1066" t="str">
            <v>MUHAMMAD SUBAIR</v>
          </cell>
          <cell r="E1066" t="str">
            <v>Spv of Line 2/3 FM Field</v>
          </cell>
          <cell r="F1066" t="str">
            <v>Supervisor</v>
          </cell>
          <cell r="G1066" t="str">
            <v>Operation Directorate</v>
          </cell>
          <cell r="H1066" t="str">
            <v>Dept. of Clinker &amp; Cement Production</v>
          </cell>
          <cell r="I1066" t="str">
            <v>Unit of Cement Production</v>
          </cell>
          <cell r="J1066" t="str">
            <v>Section of Line 2/3 FM Operation</v>
          </cell>
        </row>
        <row r="1067">
          <cell r="A1067">
            <v>6230</v>
          </cell>
          <cell r="B1067" t="str">
            <v>9212397</v>
          </cell>
          <cell r="C1067">
            <v>50069670</v>
          </cell>
          <cell r="D1067" t="str">
            <v>MUHAMMAD RIZAL</v>
          </cell>
          <cell r="E1067" t="str">
            <v>Spv of PvM CUS Elins</v>
          </cell>
          <cell r="F1067" t="str">
            <v>Supervisor</v>
          </cell>
          <cell r="G1067" t="str">
            <v>Operation Directorate</v>
          </cell>
          <cell r="H1067" t="str">
            <v>Dept. of Mining &amp; Power Plant</v>
          </cell>
          <cell r="I1067" t="str">
            <v>Unit of Power Plant Machine Maint</v>
          </cell>
          <cell r="J1067" t="str">
            <v>Section of CUS Maintenance</v>
          </cell>
        </row>
        <row r="1068">
          <cell r="A1068">
            <v>6231</v>
          </cell>
          <cell r="B1068" t="str">
            <v>9212398</v>
          </cell>
          <cell r="C1068">
            <v>50069386</v>
          </cell>
          <cell r="D1068" t="str">
            <v>ANGGI SULISTYO</v>
          </cell>
          <cell r="E1068" t="str">
            <v>Spv of CCR RKC 5</v>
          </cell>
          <cell r="F1068" t="str">
            <v>Supervisor</v>
          </cell>
          <cell r="G1068" t="str">
            <v>Operation Directorate</v>
          </cell>
          <cell r="H1068" t="str">
            <v>Dept. of Clinker &amp; Cement Production</v>
          </cell>
          <cell r="I1068" t="str">
            <v>Unit of Clinker Production</v>
          </cell>
          <cell r="J1068" t="str">
            <v>Section of Line 5 RKC Operation</v>
          </cell>
        </row>
        <row r="1069">
          <cell r="A1069">
            <v>6232</v>
          </cell>
          <cell r="B1069" t="str">
            <v>9212400</v>
          </cell>
          <cell r="C1069">
            <v>50066604</v>
          </cell>
          <cell r="D1069" t="str">
            <v>RESKI KARIM</v>
          </cell>
          <cell r="E1069" t="str">
            <v>Spv of PP Machine Maintenance</v>
          </cell>
          <cell r="F1069" t="str">
            <v>Supervisor</v>
          </cell>
          <cell r="G1069" t="str">
            <v>Operation Directorate</v>
          </cell>
          <cell r="H1069" t="str">
            <v>Dept. of Mining &amp; Power Plant</v>
          </cell>
          <cell r="I1069" t="str">
            <v>Unit of Power Plant Machine Maint</v>
          </cell>
          <cell r="J1069" t="str">
            <v>Section of Power Plant Machine Maint</v>
          </cell>
        </row>
        <row r="1070">
          <cell r="A1070">
            <v>6233</v>
          </cell>
          <cell r="B1070" t="str">
            <v>9212401</v>
          </cell>
          <cell r="C1070">
            <v>50071543</v>
          </cell>
          <cell r="D1070" t="str">
            <v>ANDI SUPRIADI</v>
          </cell>
          <cell r="E1070" t="str">
            <v>D Key Account Jr Officer</v>
          </cell>
          <cell r="F1070" t="str">
            <v>Supervisor</v>
          </cell>
          <cell r="G1070" t="str">
            <v>President Directorate</v>
          </cell>
          <cell r="H1070" t="str">
            <v>Dept. of Sales</v>
          </cell>
          <cell r="I1070" t="str">
            <v>Unit of Corporate Sales</v>
          </cell>
          <cell r="J1070" t="str">
            <v>Staff of Key Account Officer</v>
          </cell>
        </row>
        <row r="1071">
          <cell r="A1071">
            <v>6234</v>
          </cell>
          <cell r="B1071" t="str">
            <v>9212402</v>
          </cell>
          <cell r="C1071">
            <v>50069774</v>
          </cell>
          <cell r="D1071" t="str">
            <v>OTTO MARIO, ST.</v>
          </cell>
          <cell r="E1071" t="str">
            <v>Spv of Packer Port Elins Maintenance</v>
          </cell>
          <cell r="F1071" t="str">
            <v>Supervisor</v>
          </cell>
          <cell r="G1071" t="str">
            <v>Operation Directorate</v>
          </cell>
          <cell r="H1071" t="str">
            <v>Dept. of Maintenance</v>
          </cell>
          <cell r="I1071" t="str">
            <v>Unit of Port Product Discharge Maint.</v>
          </cell>
          <cell r="J1071" t="str">
            <v>Section of Port Facility Elins Maint.</v>
          </cell>
        </row>
        <row r="1072">
          <cell r="A1072">
            <v>6235</v>
          </cell>
          <cell r="B1072" t="str">
            <v>9212403</v>
          </cell>
          <cell r="C1072">
            <v>50071476</v>
          </cell>
          <cell r="D1072" t="str">
            <v>ZULFAHRI</v>
          </cell>
          <cell r="E1072" t="str">
            <v>HC OD &amp; Career Management Jr Officer</v>
          </cell>
          <cell r="F1072" t="str">
            <v>Supervisor</v>
          </cell>
          <cell r="G1072" t="str">
            <v>Finance Risk Mgmt &amp; General Directorate</v>
          </cell>
          <cell r="H1072" t="str">
            <v>Department of Human Capital &amp; GRC</v>
          </cell>
          <cell r="I1072" t="str">
            <v>Unit of HC Planning &amp; Development</v>
          </cell>
          <cell r="J1072" t="str">
            <v>Section of HC OD &amp; Career Management</v>
          </cell>
        </row>
        <row r="1073">
          <cell r="A1073">
            <v>6236</v>
          </cell>
          <cell r="B1073" t="str">
            <v>9212404</v>
          </cell>
          <cell r="C1073">
            <v>50070999</v>
          </cell>
          <cell r="D1073" t="str">
            <v>PRAJA ACHMAD ALKASAT</v>
          </cell>
          <cell r="E1073" t="str">
            <v>E Staff of Autonomous Kiln &amp; CM 4/5</v>
          </cell>
          <cell r="F1073" t="str">
            <v>Associate</v>
          </cell>
          <cell r="G1073" t="str">
            <v>Operation Directorate</v>
          </cell>
          <cell r="H1073" t="str">
            <v>Dept. of Clinker &amp; Cement Production</v>
          </cell>
          <cell r="I1073" t="str">
            <v>Unit of Clinker Production</v>
          </cell>
          <cell r="J1073" t="str">
            <v>Section of Kiln Production Coach</v>
          </cell>
        </row>
        <row r="1074">
          <cell r="A1074">
            <v>6237</v>
          </cell>
          <cell r="B1074" t="str">
            <v>9212405</v>
          </cell>
          <cell r="C1074">
            <v>50055599</v>
          </cell>
          <cell r="D1074" t="str">
            <v>AHMAD IKRAM DJAYA, SE.</v>
          </cell>
          <cell r="E1074" t="str">
            <v>Spv of CCR RKC &amp; Trass Dryer 4</v>
          </cell>
          <cell r="F1074" t="str">
            <v>Supervisor</v>
          </cell>
          <cell r="G1074" t="str">
            <v>Operation Directorate</v>
          </cell>
          <cell r="H1074" t="str">
            <v>Dept. of Clinker &amp; Cement Production</v>
          </cell>
          <cell r="I1074" t="str">
            <v>Unit of Clinker Production</v>
          </cell>
          <cell r="J1074" t="str">
            <v>Section of Line 4 RKC Operation</v>
          </cell>
        </row>
        <row r="1075">
          <cell r="A1075">
            <v>6238</v>
          </cell>
          <cell r="B1075" t="str">
            <v>9212406</v>
          </cell>
          <cell r="C1075">
            <v>50069731</v>
          </cell>
          <cell r="D1075" t="str">
            <v>ABDUL KADIR</v>
          </cell>
          <cell r="E1075" t="str">
            <v>Autonomous Wat Treat &amp; CUS Op Jr Officer</v>
          </cell>
          <cell r="F1075" t="str">
            <v>Supervisor</v>
          </cell>
          <cell r="G1075" t="str">
            <v>Operation Directorate</v>
          </cell>
          <cell r="H1075" t="str">
            <v>Dept. of Mining &amp; Power Plant</v>
          </cell>
          <cell r="I1075" t="str">
            <v>Unit of Power Plant Operation</v>
          </cell>
          <cell r="J1075" t="str">
            <v>Section of Water Treatment &amp; CUS Opr</v>
          </cell>
        </row>
        <row r="1076">
          <cell r="A1076">
            <v>6239</v>
          </cell>
          <cell r="B1076" t="str">
            <v>9212407</v>
          </cell>
          <cell r="C1076">
            <v>50069504</v>
          </cell>
          <cell r="D1076" t="str">
            <v>RUDINI</v>
          </cell>
          <cell r="E1076" t="str">
            <v>Spv of Line 4 Kiln&amp;CM Mach PdM&amp;PM Schd</v>
          </cell>
          <cell r="F1076" t="str">
            <v>Supervisor</v>
          </cell>
          <cell r="G1076" t="str">
            <v>Operation Directorate</v>
          </cell>
          <cell r="H1076" t="str">
            <v>Dept. of Maintenance</v>
          </cell>
          <cell r="I1076" t="str">
            <v>Unit of Machine Maintenance 2</v>
          </cell>
          <cell r="J1076" t="str">
            <v>Section of Line 4/5 Kiln &amp; CM Mach Maint</v>
          </cell>
        </row>
        <row r="1077">
          <cell r="A1077">
            <v>6240</v>
          </cell>
          <cell r="B1077" t="str">
            <v>9212408</v>
          </cell>
          <cell r="C1077">
            <v>50047828</v>
          </cell>
          <cell r="D1077" t="str">
            <v>ANDI SURIANTO</v>
          </cell>
          <cell r="E1077" t="str">
            <v>PGO Jr Officer</v>
          </cell>
          <cell r="F1077" t="str">
            <v>Supervisor</v>
          </cell>
          <cell r="G1077" t="str">
            <v>Operation Directorate</v>
          </cell>
          <cell r="H1077" t="str">
            <v>Dept. of Maintenance</v>
          </cell>
          <cell r="I1077" t="str">
            <v>Unit of Reliability Maintenance</v>
          </cell>
          <cell r="J1077" t="str">
            <v>Staff of PGO</v>
          </cell>
        </row>
        <row r="1078">
          <cell r="A1078">
            <v>6241</v>
          </cell>
          <cell r="B1078" t="str">
            <v>9212409</v>
          </cell>
          <cell r="C1078">
            <v>50069366</v>
          </cell>
          <cell r="D1078" t="str">
            <v>FIAM REZKA RAMADHAN</v>
          </cell>
          <cell r="E1078" t="str">
            <v>Spv of Line 4 RM Field</v>
          </cell>
          <cell r="F1078" t="str">
            <v>Supervisor</v>
          </cell>
          <cell r="G1078" t="str">
            <v>Operation Directorate</v>
          </cell>
          <cell r="H1078" t="str">
            <v>Dept. of Clinker &amp; Cement Production</v>
          </cell>
          <cell r="I1078" t="str">
            <v>Unit of Clinker Production</v>
          </cell>
          <cell r="J1078" t="str">
            <v>Section of Line 4 RKC Operation</v>
          </cell>
        </row>
        <row r="1079">
          <cell r="A1079">
            <v>6242</v>
          </cell>
          <cell r="B1079" t="str">
            <v>9212410</v>
          </cell>
          <cell r="C1079">
            <v>50069372</v>
          </cell>
          <cell r="D1079" t="str">
            <v>HASRIADI</v>
          </cell>
          <cell r="E1079" t="str">
            <v>Spv of Line 4 Coal Mill Field</v>
          </cell>
          <cell r="F1079" t="str">
            <v>Supervisor</v>
          </cell>
          <cell r="G1079" t="str">
            <v>Operation Directorate</v>
          </cell>
          <cell r="H1079" t="str">
            <v>Dept. of Clinker &amp; Cement Production</v>
          </cell>
          <cell r="I1079" t="str">
            <v>Unit of Clinker Production</v>
          </cell>
          <cell r="J1079" t="str">
            <v>Section of Line 4 RKC Operation</v>
          </cell>
        </row>
        <row r="1080">
          <cell r="A1080">
            <v>6243</v>
          </cell>
          <cell r="B1080" t="str">
            <v>9212411</v>
          </cell>
          <cell r="C1080">
            <v>50071539</v>
          </cell>
          <cell r="D1080" t="str">
            <v>ZAINUDDIN</v>
          </cell>
          <cell r="E1080" t="str">
            <v>D Key Account Jr Officer</v>
          </cell>
          <cell r="F1080" t="str">
            <v>Supervisor</v>
          </cell>
          <cell r="G1080" t="str">
            <v>President Directorate</v>
          </cell>
          <cell r="H1080" t="str">
            <v>Dept. of Sales</v>
          </cell>
          <cell r="I1080" t="str">
            <v>Unit of Corporate Sales</v>
          </cell>
          <cell r="J1080" t="str">
            <v>Staff of Key Account Officer</v>
          </cell>
        </row>
        <row r="1081">
          <cell r="A1081">
            <v>6244</v>
          </cell>
          <cell r="B1081" t="str">
            <v>9212412</v>
          </cell>
          <cell r="C1081">
            <v>50066410</v>
          </cell>
          <cell r="D1081" t="str">
            <v>SAEPUL, SE.</v>
          </cell>
          <cell r="E1081" t="str">
            <v>CAPEX Jr Officer</v>
          </cell>
          <cell r="F1081" t="str">
            <v>Supervisor</v>
          </cell>
          <cell r="G1081" t="str">
            <v>Operation Directorate</v>
          </cell>
          <cell r="H1081" t="str">
            <v>Dep. of Project Mngmnt &amp; Maint. Support</v>
          </cell>
          <cell r="I1081" t="str">
            <v>Unit of CAPEX Management</v>
          </cell>
          <cell r="J1081" t="str">
            <v>Staff Process of  CAPEX</v>
          </cell>
        </row>
        <row r="1082">
          <cell r="A1082">
            <v>6245</v>
          </cell>
          <cell r="B1082" t="str">
            <v>9212413</v>
          </cell>
          <cell r="C1082">
            <v>50069447</v>
          </cell>
          <cell r="D1082" t="str">
            <v>SUPARDI</v>
          </cell>
          <cell r="E1082" t="str">
            <v>Overhaul Management Jr Officer</v>
          </cell>
          <cell r="F1082" t="str">
            <v>Supervisor</v>
          </cell>
          <cell r="G1082" t="str">
            <v>Operation Directorate</v>
          </cell>
          <cell r="H1082" t="str">
            <v>Dep. of Project Mngmnt &amp; Maint. Support</v>
          </cell>
          <cell r="I1082" t="str">
            <v>Unit of Project Management</v>
          </cell>
          <cell r="J1082" t="str">
            <v>Staff of OVH Management</v>
          </cell>
        </row>
        <row r="1083">
          <cell r="A1083">
            <v>6246</v>
          </cell>
          <cell r="B1083" t="str">
            <v>9212414</v>
          </cell>
          <cell r="C1083">
            <v>50069358</v>
          </cell>
          <cell r="D1083" t="str">
            <v>INCE AZHAR BASIR, S.M</v>
          </cell>
          <cell r="E1083" t="str">
            <v>Autonomous Kiln &amp; CM 4/5</v>
          </cell>
          <cell r="F1083" t="str">
            <v>Supervisor</v>
          </cell>
          <cell r="G1083" t="str">
            <v>Operation Directorate</v>
          </cell>
          <cell r="H1083" t="str">
            <v>Dept. of Clinker &amp; Cement Production</v>
          </cell>
          <cell r="I1083" t="str">
            <v>Unit of Clinker Production</v>
          </cell>
          <cell r="J1083" t="str">
            <v>Section of Kiln Production Coach</v>
          </cell>
        </row>
        <row r="1084">
          <cell r="A1084">
            <v>6247</v>
          </cell>
          <cell r="B1084" t="str">
            <v>9212415</v>
          </cell>
          <cell r="C1084">
            <v>50069384</v>
          </cell>
          <cell r="D1084" t="str">
            <v>IRWAN</v>
          </cell>
          <cell r="E1084" t="str">
            <v>Spv of CCR RKC 5</v>
          </cell>
          <cell r="F1084" t="str">
            <v>Supervisor</v>
          </cell>
          <cell r="G1084" t="str">
            <v>Operation Directorate</v>
          </cell>
          <cell r="H1084" t="str">
            <v>Dept. of Clinker &amp; Cement Production</v>
          </cell>
          <cell r="I1084" t="str">
            <v>Unit of Clinker Production</v>
          </cell>
          <cell r="J1084" t="str">
            <v>Section of Line 5 RKC Operation</v>
          </cell>
        </row>
        <row r="1085">
          <cell r="A1085">
            <v>6249</v>
          </cell>
          <cell r="B1085" t="str">
            <v>9212417</v>
          </cell>
          <cell r="C1085">
            <v>50069278</v>
          </cell>
          <cell r="D1085" t="str">
            <v>ABDUL RAHMAN, SE.</v>
          </cell>
          <cell r="E1085" t="str">
            <v>Trade Market. &amp; Promotion Mgmt. Officer</v>
          </cell>
          <cell r="F1085" t="str">
            <v>Manager</v>
          </cell>
          <cell r="G1085" t="str">
            <v>President Directorate</v>
          </cell>
          <cell r="H1085" t="str">
            <v>Dept. of Market Planning &amp; Development</v>
          </cell>
          <cell r="I1085" t="str">
            <v>Unit of Product Pricing &amp; Promotion Mgmt</v>
          </cell>
          <cell r="J1085" t="str">
            <v>Staff of Trade Market. &amp; Promotion Mgmt.</v>
          </cell>
        </row>
        <row r="1086">
          <cell r="A1086">
            <v>6250</v>
          </cell>
          <cell r="B1086" t="str">
            <v>9212418</v>
          </cell>
          <cell r="C1086">
            <v>50069717</v>
          </cell>
          <cell r="D1086" t="str">
            <v>ANDI MAPPANYOMPA PK., SE.</v>
          </cell>
          <cell r="E1086" t="str">
            <v>PP Autonomous Opr Jr Officer</v>
          </cell>
          <cell r="F1086" t="str">
            <v>Supervisor</v>
          </cell>
          <cell r="G1086" t="str">
            <v>Operation Directorate</v>
          </cell>
          <cell r="H1086" t="str">
            <v>Dept. of Mining &amp; Power Plant</v>
          </cell>
          <cell r="I1086" t="str">
            <v>Unit of Power Plant Operation</v>
          </cell>
          <cell r="J1086" t="str">
            <v>Section of Power Plant Operation</v>
          </cell>
        </row>
        <row r="1087">
          <cell r="A1087">
            <v>6251</v>
          </cell>
          <cell r="B1087" t="str">
            <v>9212419</v>
          </cell>
          <cell r="C1087">
            <v>50055598</v>
          </cell>
          <cell r="D1087" t="str">
            <v>JUSMEIDI MUHTAR</v>
          </cell>
          <cell r="E1087" t="str">
            <v>Spv of CCR RKC &amp; Trass Dryer 4</v>
          </cell>
          <cell r="F1087" t="str">
            <v>Supervisor</v>
          </cell>
          <cell r="G1087" t="str">
            <v>Operation Directorate</v>
          </cell>
          <cell r="H1087" t="str">
            <v>Dept. of Clinker &amp; Cement Production</v>
          </cell>
          <cell r="I1087" t="str">
            <v>Unit of Clinker Production</v>
          </cell>
          <cell r="J1087" t="str">
            <v>Section of Line 4 RKC Operation</v>
          </cell>
        </row>
        <row r="1088">
          <cell r="A1088">
            <v>6252</v>
          </cell>
          <cell r="B1088" t="str">
            <v>9212420</v>
          </cell>
          <cell r="C1088">
            <v>50069360</v>
          </cell>
          <cell r="D1088" t="str">
            <v>REZKY KUMBARA BASO</v>
          </cell>
          <cell r="E1088" t="str">
            <v>Autonomous Kiln &amp; CM 4/5</v>
          </cell>
          <cell r="F1088" t="str">
            <v>Supervisor</v>
          </cell>
          <cell r="G1088" t="str">
            <v>Operation Directorate</v>
          </cell>
          <cell r="H1088" t="str">
            <v>Dept. of Clinker &amp; Cement Production</v>
          </cell>
          <cell r="I1088" t="str">
            <v>Unit of Clinker Production</v>
          </cell>
          <cell r="J1088" t="str">
            <v>Section of Kiln Production Coach</v>
          </cell>
        </row>
        <row r="1089">
          <cell r="A1089">
            <v>6253</v>
          </cell>
          <cell r="B1089" t="str">
            <v>9212421</v>
          </cell>
          <cell r="C1089">
            <v>50058278</v>
          </cell>
          <cell r="D1089" t="str">
            <v>ROBBY RINALDY</v>
          </cell>
          <cell r="E1089" t="str">
            <v>Export Sales Territory Officer</v>
          </cell>
          <cell r="F1089" t="str">
            <v>Supervisor</v>
          </cell>
          <cell r="G1089" t="str">
            <v>Direktorat Sales dan Marketing</v>
          </cell>
          <cell r="H1089" t="str">
            <v>Department of Export Sales</v>
          </cell>
          <cell r="I1089" t="str">
            <v>Unit of Regional Sales Export</v>
          </cell>
          <cell r="J1089" t="str">
            <v>Section of Area Sales Export</v>
          </cell>
        </row>
        <row r="1090">
          <cell r="A1090">
            <v>6254</v>
          </cell>
          <cell r="B1090" t="str">
            <v>9212422</v>
          </cell>
          <cell r="C1090">
            <v>50066987</v>
          </cell>
          <cell r="D1090" t="str">
            <v>INDRA MAULANA</v>
          </cell>
          <cell r="E1090" t="str">
            <v>Trafo 70KV &amp; Switch Gear 6,3KV Jr Office</v>
          </cell>
          <cell r="F1090" t="str">
            <v>Supervisor</v>
          </cell>
          <cell r="G1090" t="str">
            <v>Operation Directorate</v>
          </cell>
          <cell r="H1090" t="str">
            <v>Dept. of Mining &amp; Power Plant</v>
          </cell>
          <cell r="I1090" t="str">
            <v>Unit of Power Distribution</v>
          </cell>
          <cell r="J1090" t="str">
            <v>Section of Electrical Network Maint</v>
          </cell>
        </row>
        <row r="1091">
          <cell r="A1091">
            <v>6255</v>
          </cell>
          <cell r="B1091" t="str">
            <v>9212423</v>
          </cell>
          <cell r="C1091">
            <v>50062613</v>
          </cell>
          <cell r="D1091" t="str">
            <v>KURNIASARI</v>
          </cell>
          <cell r="E1091" t="str">
            <v>Jr of Enviromental Monitoring</v>
          </cell>
          <cell r="F1091" t="str">
            <v>Supervisor</v>
          </cell>
          <cell r="G1091" t="str">
            <v>Operation Directorate</v>
          </cell>
          <cell r="H1091" t="str">
            <v>Dept. of Production Planning &amp; Control</v>
          </cell>
          <cell r="I1091" t="str">
            <v>Unit of Prod. Plan Eval. &amp; Environmental</v>
          </cell>
          <cell r="J1091" t="str">
            <v>Section of Enviromental Monitoring</v>
          </cell>
        </row>
        <row r="1092">
          <cell r="A1092">
            <v>6256</v>
          </cell>
          <cell r="B1092" t="str">
            <v>9212424</v>
          </cell>
          <cell r="C1092">
            <v>50066488</v>
          </cell>
          <cell r="D1092" t="str">
            <v>SAFRI</v>
          </cell>
          <cell r="E1092" t="str">
            <v>Spv of PP Electrical</v>
          </cell>
          <cell r="F1092" t="str">
            <v>Supervisor</v>
          </cell>
          <cell r="G1092" t="str">
            <v>Operation Directorate</v>
          </cell>
          <cell r="H1092" t="str">
            <v>Dept. of Mining &amp; Power Plant</v>
          </cell>
          <cell r="I1092" t="str">
            <v>Unit of Power Plant Elins Maintenance</v>
          </cell>
          <cell r="J1092" t="str">
            <v>Section of Power Plant Elctrical Maint.</v>
          </cell>
        </row>
        <row r="1093">
          <cell r="A1093">
            <v>6257</v>
          </cell>
          <cell r="B1093" t="str">
            <v>9212425</v>
          </cell>
          <cell r="C1093">
            <v>50069705</v>
          </cell>
          <cell r="D1093" t="str">
            <v>BAHARUDDIN</v>
          </cell>
          <cell r="E1093" t="str">
            <v>Spv of PP Boiler Operation</v>
          </cell>
          <cell r="F1093" t="str">
            <v>Supervisor</v>
          </cell>
          <cell r="G1093" t="str">
            <v>Operation Directorate</v>
          </cell>
          <cell r="H1093" t="str">
            <v>Dept. of Mining &amp; Power Plant</v>
          </cell>
          <cell r="I1093" t="str">
            <v>Unit of Power Plant Operation</v>
          </cell>
          <cell r="J1093" t="str">
            <v>Section of Power Plant Operation</v>
          </cell>
        </row>
        <row r="1094">
          <cell r="A1094">
            <v>6258</v>
          </cell>
          <cell r="B1094" t="str">
            <v>9212427</v>
          </cell>
          <cell r="C1094">
            <v>50070775</v>
          </cell>
          <cell r="D1094" t="str">
            <v>ARFANDY ARIFIN</v>
          </cell>
          <cell r="E1094" t="str">
            <v>Channel &amp; Sales Force Mgmt Officer</v>
          </cell>
          <cell r="F1094" t="str">
            <v>Manager</v>
          </cell>
          <cell r="G1094" t="str">
            <v>President Directorate</v>
          </cell>
          <cell r="H1094" t="str">
            <v>Dept. of Market Planning &amp; Development</v>
          </cell>
          <cell r="I1094" t="str">
            <v>Unit of Market Intel. Channel &amp; SF Mgmt</v>
          </cell>
          <cell r="J1094" t="str">
            <v>Staff of Channel &amp; Sales Force Mgmt</v>
          </cell>
        </row>
        <row r="1095">
          <cell r="A1095">
            <v>6259</v>
          </cell>
          <cell r="B1095" t="str">
            <v>9212428</v>
          </cell>
          <cell r="C1095">
            <v>50070257</v>
          </cell>
          <cell r="D1095" t="str">
            <v>UMAR</v>
          </cell>
          <cell r="E1095" t="str">
            <v>Procurement Jr Officer</v>
          </cell>
          <cell r="F1095" t="str">
            <v>Supervisor</v>
          </cell>
          <cell r="G1095" t="str">
            <v>Direktorat Human Capital</v>
          </cell>
          <cell r="H1095" t="str">
            <v>Department of Goods &amp; Capex Procurement</v>
          </cell>
          <cell r="I1095" t="str">
            <v>Unit of General &amp; Consum. Goods Proc.</v>
          </cell>
        </row>
        <row r="1096">
          <cell r="A1096">
            <v>6260</v>
          </cell>
          <cell r="B1096" t="str">
            <v>9212429</v>
          </cell>
          <cell r="C1096">
            <v>50062601</v>
          </cell>
          <cell r="D1096" t="str">
            <v>YUNI ASTINA</v>
          </cell>
          <cell r="E1096" t="str">
            <v>Treasury Jr Officer</v>
          </cell>
          <cell r="F1096" t="str">
            <v>Supervisor</v>
          </cell>
          <cell r="G1096" t="str">
            <v>Finance Risk Mgmt &amp; General Directorate</v>
          </cell>
          <cell r="H1096" t="str">
            <v>Department of Finance &amp; Accounting</v>
          </cell>
          <cell r="I1096" t="str">
            <v>Unit of Finance</v>
          </cell>
          <cell r="J1096" t="str">
            <v>Section of Treasury</v>
          </cell>
        </row>
        <row r="1097">
          <cell r="A1097">
            <v>6261</v>
          </cell>
          <cell r="B1097" t="str">
            <v>9212430</v>
          </cell>
          <cell r="C1097">
            <v>50009068</v>
          </cell>
          <cell r="D1097" t="str">
            <v>MUH.RIFQI SANUDDIN, SE.</v>
          </cell>
          <cell r="E1097" t="str">
            <v>Mgr of Treasury</v>
          </cell>
          <cell r="F1097" t="str">
            <v>Manager</v>
          </cell>
          <cell r="G1097" t="str">
            <v>Finance Risk Mgmt &amp; General Directorate</v>
          </cell>
          <cell r="H1097" t="str">
            <v>Department of Finance &amp; Accounting</v>
          </cell>
          <cell r="I1097" t="str">
            <v>Unit of Finance</v>
          </cell>
          <cell r="J1097" t="str">
            <v>Section of Treasury</v>
          </cell>
        </row>
        <row r="1098">
          <cell r="A1098">
            <v>6262</v>
          </cell>
          <cell r="B1098" t="str">
            <v>9212431</v>
          </cell>
          <cell r="C1098">
            <v>50069057</v>
          </cell>
          <cell r="D1098" t="str">
            <v>WAHYUDI</v>
          </cell>
          <cell r="E1098" t="str">
            <v>Spv of Sorong PP Operation</v>
          </cell>
          <cell r="F1098" t="str">
            <v>Supervisor</v>
          </cell>
          <cell r="G1098" t="str">
            <v>Operation Directorate</v>
          </cell>
          <cell r="H1098" t="str">
            <v>Dept. of Infrastructure</v>
          </cell>
          <cell r="I1098" t="str">
            <v>Unit of Packing Plant 2</v>
          </cell>
          <cell r="J1098" t="str">
            <v>Section of Sorong Packing Plant</v>
          </cell>
        </row>
        <row r="1099">
          <cell r="A1099">
            <v>6263</v>
          </cell>
          <cell r="B1099" t="str">
            <v>9212432</v>
          </cell>
          <cell r="C1099">
            <v>50069734</v>
          </cell>
          <cell r="D1099" t="str">
            <v>RONIANSYAH MALINGGI, ST.</v>
          </cell>
          <cell r="E1099" t="str">
            <v>Mgr of PP Performance &amp; Evaluation</v>
          </cell>
          <cell r="F1099" t="str">
            <v>Manager</v>
          </cell>
          <cell r="G1099" t="str">
            <v>Operation Directorate</v>
          </cell>
          <cell r="H1099" t="str">
            <v>Dept. of Mining &amp; Power Plant</v>
          </cell>
          <cell r="I1099" t="str">
            <v>Unit of Power Plant Operation</v>
          </cell>
          <cell r="J1099" t="str">
            <v>Section of PP Performance &amp; Evaluation</v>
          </cell>
        </row>
        <row r="1100">
          <cell r="A1100">
            <v>6264</v>
          </cell>
          <cell r="B1100" t="str">
            <v>9212433</v>
          </cell>
          <cell r="C1100">
            <v>50069419</v>
          </cell>
          <cell r="D1100" t="str">
            <v>JUMAING</v>
          </cell>
          <cell r="E1100" t="str">
            <v>Spv of Line 4 Coal Mill Field</v>
          </cell>
          <cell r="F1100" t="str">
            <v>Supervisor</v>
          </cell>
          <cell r="G1100" t="str">
            <v>Operation Directorate</v>
          </cell>
          <cell r="H1100" t="str">
            <v>Dept. of Clinker &amp; Cement Production</v>
          </cell>
          <cell r="I1100" t="str">
            <v>Unit of Clinker Production</v>
          </cell>
          <cell r="J1100" t="str">
            <v>Section of Line 4 RKC Operation</v>
          </cell>
        </row>
        <row r="1101">
          <cell r="A1101">
            <v>6265</v>
          </cell>
          <cell r="B1101" t="str">
            <v>9212434</v>
          </cell>
          <cell r="C1101">
            <v>50069406</v>
          </cell>
          <cell r="D1101" t="str">
            <v>NUR IHLAS YUSUF</v>
          </cell>
          <cell r="E1101" t="str">
            <v>Spv of Line 5 Coal Mill Field</v>
          </cell>
          <cell r="F1101" t="str">
            <v>Supervisor</v>
          </cell>
          <cell r="G1101" t="str">
            <v>Operation Directorate</v>
          </cell>
          <cell r="H1101" t="str">
            <v>Dept. of Clinker &amp; Cement Production</v>
          </cell>
          <cell r="I1101" t="str">
            <v>Unit of Clinker Production</v>
          </cell>
          <cell r="J1101" t="str">
            <v>Section of Line 5 RKC Operation</v>
          </cell>
        </row>
        <row r="1102">
          <cell r="A1102">
            <v>6266</v>
          </cell>
          <cell r="B1102" t="str">
            <v>9212435</v>
          </cell>
          <cell r="C1102">
            <v>50071439</v>
          </cell>
          <cell r="D1102" t="str">
            <v>FIQIH KARTIKA PS., SE.</v>
          </cell>
          <cell r="E1102" t="str">
            <v>HRIS Reporting &amp; Analytical Jr Officer</v>
          </cell>
          <cell r="F1102" t="str">
            <v>Supervisor</v>
          </cell>
          <cell r="G1102" t="str">
            <v>Finance Risk Mgmt &amp; General Directorate</v>
          </cell>
          <cell r="H1102" t="str">
            <v>Department of Human Capital &amp; GRC</v>
          </cell>
          <cell r="I1102" t="str">
            <v>Unit of HC Operational</v>
          </cell>
        </row>
        <row r="1103">
          <cell r="A1103">
            <v>6267</v>
          </cell>
          <cell r="B1103" t="str">
            <v>9212437</v>
          </cell>
          <cell r="C1103">
            <v>50064509</v>
          </cell>
          <cell r="D1103" t="str">
            <v>MUHAMMAD SYAHRUL M.</v>
          </cell>
          <cell r="E1103" t="str">
            <v>Administration &amp; Financial Jr Officer</v>
          </cell>
          <cell r="F1103" t="str">
            <v>Supervisor</v>
          </cell>
          <cell r="G1103" t="str">
            <v>President Directorate</v>
          </cell>
          <cell r="H1103" t="str">
            <v>Dept. of Communication, Legal &amp; GA</v>
          </cell>
          <cell r="I1103" t="str">
            <v>Unit of TJSL</v>
          </cell>
          <cell r="J1103" t="str">
            <v>Staff of Administration &amp; Financial</v>
          </cell>
        </row>
        <row r="1104">
          <cell r="A1104">
            <v>6268</v>
          </cell>
          <cell r="B1104" t="str">
            <v>9212436</v>
          </cell>
          <cell r="C1104">
            <v>50066391</v>
          </cell>
          <cell r="D1104" t="str">
            <v>MUH.SYUKRI, SE.</v>
          </cell>
          <cell r="E1104" t="str">
            <v>Spv of Estimator &amp; Planning</v>
          </cell>
          <cell r="F1104" t="str">
            <v>Supervisor</v>
          </cell>
          <cell r="G1104" t="str">
            <v>Operation Directorate</v>
          </cell>
          <cell r="H1104" t="str">
            <v>Dep. of Project Mngmnt &amp; Maint. Support</v>
          </cell>
          <cell r="I1104" t="str">
            <v>Unit of Workshop</v>
          </cell>
          <cell r="J1104" t="str">
            <v>Section of Machine Workshop</v>
          </cell>
        </row>
        <row r="1105">
          <cell r="A1105">
            <v>6269</v>
          </cell>
          <cell r="B1105" t="str">
            <v>9212438</v>
          </cell>
          <cell r="C1105">
            <v>50055326</v>
          </cell>
          <cell r="D1105" t="str">
            <v>MUH.SAIFULLAH, SE.</v>
          </cell>
          <cell r="E1105" t="str">
            <v>Budgeting Jr Officer</v>
          </cell>
          <cell r="F1105" t="str">
            <v>Supervisor</v>
          </cell>
          <cell r="G1105" t="str">
            <v>Finance Risk Mgmt &amp; General Directorate</v>
          </cell>
          <cell r="H1105" t="str">
            <v>Department of Finance &amp; Accounting</v>
          </cell>
          <cell r="I1105" t="str">
            <v>Unit of Budgeting &amp; Performance</v>
          </cell>
          <cell r="J1105" t="str">
            <v>Staff of Budgeting</v>
          </cell>
        </row>
        <row r="1106">
          <cell r="A1106">
            <v>6270</v>
          </cell>
          <cell r="B1106" t="str">
            <v>9212439</v>
          </cell>
          <cell r="C1106">
            <v>50070767</v>
          </cell>
          <cell r="D1106" t="str">
            <v>UMAR, SE., MM.</v>
          </cell>
          <cell r="E1106" t="str">
            <v>Pricing Policy &amp; Revenue Mgmt Officer</v>
          </cell>
          <cell r="F1106" t="str">
            <v>Manager</v>
          </cell>
          <cell r="G1106" t="str">
            <v>President Directorate</v>
          </cell>
          <cell r="H1106" t="str">
            <v>Dept. of Market Planning &amp; Development</v>
          </cell>
          <cell r="I1106" t="str">
            <v>Unit of Product Pricing &amp; Promotion Mgmt</v>
          </cell>
          <cell r="J1106" t="str">
            <v>Staff of Pricing Policy &amp; Revenue Mgmt</v>
          </cell>
        </row>
        <row r="1107">
          <cell r="A1107">
            <v>6271</v>
          </cell>
          <cell r="B1107" t="str">
            <v>9212440</v>
          </cell>
          <cell r="C1107">
            <v>50069510</v>
          </cell>
          <cell r="D1107" t="str">
            <v>HAJAR ASWAR</v>
          </cell>
          <cell r="E1107" t="str">
            <v>Spv of 2/3 FM Elins PdM&amp;PM Schedule</v>
          </cell>
          <cell r="F1107" t="str">
            <v>Supervisor</v>
          </cell>
          <cell r="G1107" t="str">
            <v>Operation Directorate</v>
          </cell>
          <cell r="H1107" t="str">
            <v>Dept. of Maintenance</v>
          </cell>
          <cell r="I1107" t="str">
            <v>Unit of Elins Maintenance 1</v>
          </cell>
          <cell r="J1107" t="str">
            <v>Section of Line 2/3 FM Elins Maintenance</v>
          </cell>
        </row>
        <row r="1108">
          <cell r="A1108">
            <v>6273</v>
          </cell>
          <cell r="B1108" t="str">
            <v>9212442</v>
          </cell>
          <cell r="C1108">
            <v>50069364</v>
          </cell>
          <cell r="D1108" t="str">
            <v>WAHYUDI, S.M.</v>
          </cell>
          <cell r="E1108" t="str">
            <v>Spv of CCR RKC &amp; Trass Dryer 4</v>
          </cell>
          <cell r="F1108" t="str">
            <v>Supervisor</v>
          </cell>
          <cell r="G1108" t="str">
            <v>Operation Directorate</v>
          </cell>
          <cell r="H1108" t="str">
            <v>Dept. of Clinker &amp; Cement Production</v>
          </cell>
          <cell r="I1108" t="str">
            <v>Unit of Clinker Production</v>
          </cell>
          <cell r="J1108" t="str">
            <v>Section of Line 4 RKC Operation</v>
          </cell>
        </row>
        <row r="1109">
          <cell r="A1109">
            <v>6274</v>
          </cell>
          <cell r="B1109" t="str">
            <v>9212443</v>
          </cell>
          <cell r="C1109">
            <v>50069369</v>
          </cell>
          <cell r="D1109" t="str">
            <v>IRIANTO</v>
          </cell>
          <cell r="E1109" t="str">
            <v>Spv of Line 4 Kiln Field</v>
          </cell>
          <cell r="F1109" t="str">
            <v>Supervisor</v>
          </cell>
          <cell r="G1109" t="str">
            <v>Operation Directorate</v>
          </cell>
          <cell r="H1109" t="str">
            <v>Dept. of Clinker &amp; Cement Production</v>
          </cell>
          <cell r="I1109" t="str">
            <v>Unit of Clinker Production</v>
          </cell>
          <cell r="J1109" t="str">
            <v>Section of Line 4 RKC Operation</v>
          </cell>
        </row>
        <row r="1110">
          <cell r="A1110">
            <v>6275</v>
          </cell>
          <cell r="B1110" t="str">
            <v>9212444</v>
          </cell>
          <cell r="C1110">
            <v>50069528</v>
          </cell>
          <cell r="D1110" t="str">
            <v>IWAN HN.</v>
          </cell>
          <cell r="E1110" t="str">
            <v>Spv of Line 4 System Control Maint</v>
          </cell>
          <cell r="F1110" t="str">
            <v>Supervisor</v>
          </cell>
          <cell r="G1110" t="str">
            <v>Operation Directorate</v>
          </cell>
          <cell r="H1110" t="str">
            <v>Dept. of Maintenance</v>
          </cell>
          <cell r="I1110" t="str">
            <v>Unit of Elins Maintenance 2</v>
          </cell>
          <cell r="J1110" t="str">
            <v>Section of Line 4/5 RKC Instr. Maint.</v>
          </cell>
        </row>
        <row r="1111">
          <cell r="A1111">
            <v>6276</v>
          </cell>
          <cell r="B1111" t="str">
            <v>9312445</v>
          </cell>
          <cell r="C1111">
            <v>50066383</v>
          </cell>
          <cell r="D1111" t="str">
            <v>SONY DJANUARDI</v>
          </cell>
          <cell r="E1111" t="str">
            <v>Field Supporting Jr Officer</v>
          </cell>
          <cell r="F1111" t="str">
            <v>Supervisor</v>
          </cell>
          <cell r="G1111" t="str">
            <v>Operation Directorate</v>
          </cell>
          <cell r="H1111" t="str">
            <v>Dep. of Project Mngmnt &amp; Maint. Support</v>
          </cell>
          <cell r="I1111" t="str">
            <v>Unit of Workshop</v>
          </cell>
          <cell r="J1111" t="str">
            <v>Staff of Field Supporting</v>
          </cell>
        </row>
        <row r="1112">
          <cell r="A1112">
            <v>6277</v>
          </cell>
          <cell r="B1112" t="str">
            <v>9312446</v>
          </cell>
          <cell r="C1112">
            <v>50070746</v>
          </cell>
          <cell r="D1112" t="str">
            <v>ARIF SURAHMAN</v>
          </cell>
          <cell r="E1112" t="str">
            <v>Maluku &amp; Maluku Utara TSO</v>
          </cell>
          <cell r="F1112" t="str">
            <v>Supervisor</v>
          </cell>
          <cell r="G1112" t="str">
            <v>President Directorate</v>
          </cell>
          <cell r="H1112" t="str">
            <v>Dept. of Sales</v>
          </cell>
          <cell r="I1112" t="str">
            <v>Unit of Sales 2</v>
          </cell>
          <cell r="J1112" t="str">
            <v>Section of Maluku &amp; Maluku Utara</v>
          </cell>
        </row>
        <row r="1113">
          <cell r="A1113">
            <v>6279</v>
          </cell>
          <cell r="B1113" t="str">
            <v>9312448</v>
          </cell>
          <cell r="C1113">
            <v>50055775</v>
          </cell>
          <cell r="D1113" t="str">
            <v>MUHAMMAD IQBAL</v>
          </cell>
          <cell r="E1113" t="str">
            <v>Spv of CCR RKC &amp; Trass Dryer 4</v>
          </cell>
          <cell r="F1113" t="str">
            <v>Supervisor</v>
          </cell>
          <cell r="G1113" t="str">
            <v>Operation Directorate</v>
          </cell>
          <cell r="H1113" t="str">
            <v>Dept. of Clinker &amp; Cement Production</v>
          </cell>
          <cell r="I1113" t="str">
            <v>Unit of Clinker Production</v>
          </cell>
          <cell r="J1113" t="str">
            <v>Section of Line 4 RKC Operation</v>
          </cell>
        </row>
        <row r="1114">
          <cell r="A1114">
            <v>7476</v>
          </cell>
          <cell r="B1114" t="str">
            <v>8618001</v>
          </cell>
          <cell r="C1114">
            <v>50009898</v>
          </cell>
          <cell r="D1114" t="str">
            <v>AHMAD GHAZALI BASIR, DR.</v>
          </cell>
          <cell r="E1114" t="str">
            <v>SM of Health Serv. &amp; Industrial Hygiene</v>
          </cell>
          <cell r="F1114" t="str">
            <v>Senior Manager</v>
          </cell>
          <cell r="G1114" t="str">
            <v>Finance Risk Mgmt &amp; General Directorate</v>
          </cell>
          <cell r="H1114" t="str">
            <v>Department of Human Capital &amp; GRC</v>
          </cell>
          <cell r="I1114" t="str">
            <v>Unit of Health Serv &amp; Industrial Hygiene</v>
          </cell>
        </row>
        <row r="1115">
          <cell r="A1115">
            <v>7631</v>
          </cell>
          <cell r="B1115" t="str">
            <v>9218004</v>
          </cell>
          <cell r="C1115">
            <v>50057429</v>
          </cell>
          <cell r="D1115" t="str">
            <v>MUHAMMAD SIDDIQ RAMADHAN, SE.</v>
          </cell>
          <cell r="E1115" t="str">
            <v>Financial Planning Jr Officer</v>
          </cell>
          <cell r="F1115" t="str">
            <v>Supervisor</v>
          </cell>
          <cell r="G1115" t="str">
            <v>Direktorat Keuangan dan Risk Management</v>
          </cell>
          <cell r="H1115" t="str">
            <v>Department of Financial Plan &amp; Analysis</v>
          </cell>
        </row>
        <row r="1116">
          <cell r="A1116">
            <v>7632</v>
          </cell>
          <cell r="B1116" t="str">
            <v>9318002</v>
          </cell>
          <cell r="C1116">
            <v>50068951</v>
          </cell>
          <cell r="D1116" t="str">
            <v>HIKMANIA AYU FEBRIANTI, S.Psi.</v>
          </cell>
          <cell r="E1116" t="str">
            <v>HCBP &amp; Industrial Relation Officer</v>
          </cell>
          <cell r="F1116" t="str">
            <v>Manager</v>
          </cell>
          <cell r="G1116" t="str">
            <v>Direktorat Human Capital</v>
          </cell>
          <cell r="H1116" t="str">
            <v>Department of Industrial Relation &amp; BP</v>
          </cell>
        </row>
        <row r="1117">
          <cell r="A1117">
            <v>7633</v>
          </cell>
          <cell r="B1117" t="str">
            <v>9318007</v>
          </cell>
          <cell r="C1117">
            <v>50071425</v>
          </cell>
          <cell r="D1117" t="str">
            <v>MISNAWATI, SE.</v>
          </cell>
          <cell r="E1117" t="str">
            <v>Mgr of Taxation</v>
          </cell>
          <cell r="F1117" t="str">
            <v>Manager</v>
          </cell>
          <cell r="G1117" t="str">
            <v>Finance Risk Mgmt &amp; General Directorate</v>
          </cell>
          <cell r="H1117" t="str">
            <v>Department of Finance &amp; Accounting</v>
          </cell>
          <cell r="I1117" t="str">
            <v>Unit of Finance</v>
          </cell>
          <cell r="J1117" t="str">
            <v>Section of Taxation</v>
          </cell>
        </row>
        <row r="1118">
          <cell r="A1118">
            <v>7634</v>
          </cell>
          <cell r="B1118" t="str">
            <v>9618003</v>
          </cell>
          <cell r="C1118">
            <v>50060411</v>
          </cell>
          <cell r="D1118" t="str">
            <v>SURIYANI, S.Ak.</v>
          </cell>
          <cell r="E1118" t="str">
            <v>Liquidity Control &amp; Reporting Officer</v>
          </cell>
          <cell r="F1118" t="str">
            <v>Manager</v>
          </cell>
          <cell r="G1118" t="str">
            <v>Direktorat Keuangan dan Risk Management</v>
          </cell>
          <cell r="H1118" t="str">
            <v>Department of Treasury</v>
          </cell>
          <cell r="I1118" t="str">
            <v>Unit of AR/AP Management &amp; Liquidity</v>
          </cell>
        </row>
        <row r="1119">
          <cell r="A1119">
            <v>7635</v>
          </cell>
          <cell r="B1119" t="str">
            <v>9618001</v>
          </cell>
          <cell r="C1119">
            <v>50071457</v>
          </cell>
          <cell r="D1119" t="str">
            <v>MUHAMMAD FATWATUL HAQ, S. Tr. Ak.</v>
          </cell>
          <cell r="E1119" t="str">
            <v>AP/AR Management Officer</v>
          </cell>
          <cell r="F1119" t="str">
            <v>Manager</v>
          </cell>
          <cell r="G1119" t="str">
            <v>Finance Risk Mgmt &amp; General Directorate</v>
          </cell>
          <cell r="H1119" t="str">
            <v>Department of Finance &amp; Accounting</v>
          </cell>
          <cell r="I1119" t="str">
            <v>Unit of Accounting</v>
          </cell>
          <cell r="J1119" t="str">
            <v>Staff of AP/AR Management</v>
          </cell>
        </row>
        <row r="1120">
          <cell r="A1120">
            <v>7636</v>
          </cell>
          <cell r="B1120" t="str">
            <v>9618006</v>
          </cell>
          <cell r="C1120">
            <v>50067200</v>
          </cell>
          <cell r="D1120" t="str">
            <v>IBNU SYAHID SIRA HAQ, SE.</v>
          </cell>
          <cell r="E1120" t="str">
            <v>Financial Business Partner</v>
          </cell>
          <cell r="F1120" t="str">
            <v>Senior Manager</v>
          </cell>
          <cell r="G1120" t="str">
            <v>Direktorat Keuangan dan Risk Management</v>
          </cell>
          <cell r="H1120" t="str">
            <v>Department of Financial Plan &amp; Analysis</v>
          </cell>
        </row>
        <row r="1121">
          <cell r="A1121">
            <v>7637</v>
          </cell>
          <cell r="B1121" t="str">
            <v>9618005</v>
          </cell>
          <cell r="C1121">
            <v>50055588</v>
          </cell>
          <cell r="D1121" t="str">
            <v>MUH.FACHREZA NUGRAHA, SE.</v>
          </cell>
          <cell r="E1121" t="str">
            <v>Mgr of Cost Accounting</v>
          </cell>
          <cell r="F1121" t="str">
            <v>Manager</v>
          </cell>
          <cell r="G1121" t="str">
            <v>Finance Risk Mgmt &amp; General Directorate</v>
          </cell>
          <cell r="H1121" t="str">
            <v>Department of Finance &amp; Accounting</v>
          </cell>
          <cell r="I1121" t="str">
            <v>Unit of Budgeting &amp; Performance</v>
          </cell>
          <cell r="J1121" t="str">
            <v>Section of Cost Accounting</v>
          </cell>
        </row>
        <row r="1122">
          <cell r="A1122">
            <v>7700</v>
          </cell>
          <cell r="B1122" t="str">
            <v>9907700</v>
          </cell>
          <cell r="C1122">
            <v>50071444</v>
          </cell>
          <cell r="D1122" t="str">
            <v>HASAN BASRI, S.Kom.</v>
          </cell>
          <cell r="E1122" t="str">
            <v>E Learning Operation &amp; KM Adm Officer</v>
          </cell>
          <cell r="F1122" t="str">
            <v>Associate</v>
          </cell>
          <cell r="G1122" t="str">
            <v>Finance Risk Mgmt &amp; General Directorate</v>
          </cell>
          <cell r="H1122" t="str">
            <v>Department of Human Capital &amp; GRC</v>
          </cell>
          <cell r="I1122" t="str">
            <v>Unit of HC Planning &amp; Development</v>
          </cell>
          <cell r="J1122" t="str">
            <v>Section of Learning &amp; Development</v>
          </cell>
        </row>
        <row r="1123">
          <cell r="A1123">
            <v>7701</v>
          </cell>
          <cell r="B1123" t="str">
            <v>9907701</v>
          </cell>
          <cell r="C1123">
            <v>50066715</v>
          </cell>
          <cell r="D1123" t="str">
            <v>RIAN HASIDI</v>
          </cell>
          <cell r="E1123" t="str">
            <v>E Secretariate &amp; Protocol Adm Officer</v>
          </cell>
          <cell r="F1123" t="str">
            <v>Associate</v>
          </cell>
          <cell r="G1123" t="str">
            <v>President Directorate</v>
          </cell>
          <cell r="H1123" t="str">
            <v>Dept. of Communication, Legal &amp; GA</v>
          </cell>
          <cell r="I1123" t="str">
            <v>Unit of Communication &amp; Secretariate</v>
          </cell>
          <cell r="J1123" t="str">
            <v>Staff of Secretariate &amp; Protocol</v>
          </cell>
        </row>
        <row r="1124">
          <cell r="A1124">
            <v>7910</v>
          </cell>
          <cell r="B1124" t="str">
            <v>00007910</v>
          </cell>
          <cell r="C1124">
            <v>50070673</v>
          </cell>
          <cell r="D1124" t="str">
            <v>DARWIN LIWIDJAYA</v>
          </cell>
          <cell r="E1124" t="str">
            <v>Sulbar &amp; Sulteng TSO</v>
          </cell>
          <cell r="F1124" t="str">
            <v>Non-Eselon</v>
          </cell>
          <cell r="G1124" t="str">
            <v>President Directorate</v>
          </cell>
          <cell r="H1124" t="str">
            <v>Dept. of Sales</v>
          </cell>
          <cell r="I1124" t="str">
            <v>Unit of Sales 1</v>
          </cell>
          <cell r="J1124" t="str">
            <v>Section of Sulbar &amp; Sulteng</v>
          </cell>
        </row>
        <row r="1125">
          <cell r="A1125">
            <v>7918</v>
          </cell>
          <cell r="B1125" t="str">
            <v>00007918</v>
          </cell>
          <cell r="C1125">
            <v>50070793</v>
          </cell>
          <cell r="D1125" t="str">
            <v>ELVERA MELIANA FODJU</v>
          </cell>
          <cell r="E1125" t="str">
            <v>Papua TSO</v>
          </cell>
          <cell r="F1125" t="str">
            <v>Associate</v>
          </cell>
          <cell r="G1125" t="str">
            <v>President Directorate</v>
          </cell>
          <cell r="H1125" t="str">
            <v>Dept. of Sales</v>
          </cell>
          <cell r="I1125" t="str">
            <v>Unit of Sales 2</v>
          </cell>
          <cell r="J1125" t="str">
            <v>Section of Papua</v>
          </cell>
        </row>
        <row r="1126">
          <cell r="A1126">
            <v>8100</v>
          </cell>
          <cell r="B1126" t="str">
            <v>9981001</v>
          </cell>
          <cell r="C1126">
            <v>50007341</v>
          </cell>
          <cell r="D1126" t="str">
            <v>HAMKA</v>
          </cell>
          <cell r="E1126" t="str">
            <v>SM of Security</v>
          </cell>
          <cell r="F1126" t="str">
            <v>Non-Eselon</v>
          </cell>
          <cell r="G1126" t="str">
            <v>President Directorate</v>
          </cell>
          <cell r="H1126" t="str">
            <v>Dept. of Communication, Legal &amp; GA</v>
          </cell>
          <cell r="I1126" t="str">
            <v>Unit of Security</v>
          </cell>
        </row>
        <row r="1127">
          <cell r="A1127">
            <v>8180</v>
          </cell>
          <cell r="B1127" t="str">
            <v>9923001</v>
          </cell>
          <cell r="C1127">
            <v>50065740</v>
          </cell>
          <cell r="D1127" t="str">
            <v>ALIZA MADINA PUTRI, SH., MH.</v>
          </cell>
          <cell r="E1127" t="str">
            <v>Legal Jr Officer</v>
          </cell>
          <cell r="F1127" t="str">
            <v>Supervisor</v>
          </cell>
          <cell r="G1127" t="str">
            <v>President Directorate</v>
          </cell>
          <cell r="H1127" t="str">
            <v>Dept. of Communication, Legal &amp; GA</v>
          </cell>
          <cell r="I1127" t="str">
            <v>Unit of Legal</v>
          </cell>
          <cell r="J1127" t="str">
            <v>Staff of legal</v>
          </cell>
        </row>
        <row r="1128">
          <cell r="A1128">
            <v>8181</v>
          </cell>
          <cell r="B1128" t="str">
            <v>9923002</v>
          </cell>
          <cell r="C1128">
            <v>50070090</v>
          </cell>
          <cell r="D1128" t="str">
            <v>AYU WINDI LESTARI, ST.</v>
          </cell>
          <cell r="E1128" t="str">
            <v>Goods Control Jr Officer</v>
          </cell>
          <cell r="F1128" t="str">
            <v>Supervisor</v>
          </cell>
          <cell r="G1128" t="str">
            <v>Direktorat Human Capital</v>
          </cell>
          <cell r="H1128" t="str">
            <v>Department of Goods Proc. Plan. &amp; Policy</v>
          </cell>
          <cell r="I1128" t="str">
            <v>Unit of Mechanical Goods Control</v>
          </cell>
        </row>
        <row r="1129">
          <cell r="A1129">
            <v>8264</v>
          </cell>
          <cell r="B1129" t="str">
            <v>9923003</v>
          </cell>
          <cell r="C1129">
            <v>50071165</v>
          </cell>
          <cell r="D1129" t="str">
            <v>A. MUHAMMAD ATTHARIQ, SE.</v>
          </cell>
          <cell r="E1129" t="str">
            <v>D Budgeting Jr Officer</v>
          </cell>
          <cell r="F1129" t="str">
            <v>Supervisor</v>
          </cell>
          <cell r="G1129" t="str">
            <v>Finance Risk Mgmt &amp; General Directorate</v>
          </cell>
          <cell r="H1129" t="str">
            <v>Department of Finance &amp; Accounting</v>
          </cell>
          <cell r="I1129" t="str">
            <v>Unit of Budgeting &amp; Performance</v>
          </cell>
          <cell r="J1129" t="str">
            <v>Staff of Budgeting</v>
          </cell>
        </row>
        <row r="1130">
          <cell r="A1130">
            <v>8265</v>
          </cell>
          <cell r="B1130" t="str">
            <v>9923004</v>
          </cell>
          <cell r="C1130">
            <v>50052145</v>
          </cell>
          <cell r="D1130" t="str">
            <v>MAULANA MUHAMMAD B. BOSSA, ST.</v>
          </cell>
          <cell r="E1130" t="str">
            <v>Spv of Line 4 System Control Maint</v>
          </cell>
          <cell r="F1130" t="str">
            <v>Supervisor</v>
          </cell>
          <cell r="G1130" t="str">
            <v>Operation Directorate</v>
          </cell>
          <cell r="H1130" t="str">
            <v>Dept. of Maintenance</v>
          </cell>
          <cell r="I1130" t="str">
            <v>Unit of Elins Maintenance 2</v>
          </cell>
          <cell r="J1130" t="str">
            <v>Section of Line 4/5 RKC Instr. Maint.</v>
          </cell>
        </row>
        <row r="1131">
          <cell r="A1131">
            <v>8267</v>
          </cell>
          <cell r="B1131" t="str">
            <v>9923009</v>
          </cell>
          <cell r="C1131">
            <v>50069602</v>
          </cell>
          <cell r="D1131" t="str">
            <v>MUH. ZUHAL JAYA, ST.</v>
          </cell>
          <cell r="E1131" t="str">
            <v>Mine Plan Jr Officer</v>
          </cell>
          <cell r="F1131" t="str">
            <v>Supervisor</v>
          </cell>
          <cell r="G1131" t="str">
            <v>Operation Directorate</v>
          </cell>
          <cell r="H1131" t="str">
            <v>Dept. of Mining &amp; Power Plant</v>
          </cell>
          <cell r="I1131" t="str">
            <v>Unit of Mine Plan</v>
          </cell>
          <cell r="J1131" t="str">
            <v>Section of Mine Planning &amp; Monitoring</v>
          </cell>
        </row>
        <row r="1132">
          <cell r="A1132">
            <v>8279</v>
          </cell>
          <cell r="B1132" t="str">
            <v>9923005</v>
          </cell>
          <cell r="C1132">
            <v>50055336</v>
          </cell>
          <cell r="D1132" t="str">
            <v>LOVELY OCTAVIOLENDY, SE.</v>
          </cell>
          <cell r="E1132" t="str">
            <v>Performance Evaluation Jr Officer</v>
          </cell>
          <cell r="F1132" t="str">
            <v>Supervisor</v>
          </cell>
          <cell r="G1132" t="str">
            <v>Finance Risk Mgmt &amp; General Directorate</v>
          </cell>
          <cell r="H1132" t="str">
            <v>Department of Finance &amp; Accounting</v>
          </cell>
          <cell r="I1132" t="str">
            <v>Unit of Budgeting &amp; Performance</v>
          </cell>
          <cell r="J1132" t="str">
            <v>Staff of Performance Evaluation</v>
          </cell>
        </row>
        <row r="1133">
          <cell r="A1133">
            <v>8280</v>
          </cell>
          <cell r="B1133" t="str">
            <v>9923006</v>
          </cell>
          <cell r="C1133">
            <v>50069357</v>
          </cell>
          <cell r="D1133" t="str">
            <v>ZULKIFLI DWI SEPTIAN ARDIANSYAH, ST.</v>
          </cell>
          <cell r="E1133" t="str">
            <v>Autonomous Kiln &amp; CM 4/5</v>
          </cell>
          <cell r="F1133" t="str">
            <v>Supervisor</v>
          </cell>
          <cell r="G1133" t="str">
            <v>Operation Directorate</v>
          </cell>
          <cell r="H1133" t="str">
            <v>Dept. of Clinker &amp; Cement Production</v>
          </cell>
          <cell r="I1133" t="str">
            <v>Unit of Clinker Production</v>
          </cell>
          <cell r="J1133" t="str">
            <v>Section of Kiln Production Coach</v>
          </cell>
        </row>
        <row r="1134">
          <cell r="A1134">
            <v>8281</v>
          </cell>
          <cell r="B1134" t="str">
            <v>9923007</v>
          </cell>
          <cell r="C1134">
            <v>50069508</v>
          </cell>
          <cell r="D1134" t="str">
            <v>DAVID LAMASALAS, ST.</v>
          </cell>
          <cell r="E1134" t="str">
            <v>Spv of AFR Mach Maint</v>
          </cell>
          <cell r="F1134" t="str">
            <v>Supervisor</v>
          </cell>
          <cell r="G1134" t="str">
            <v>Operation Directorate</v>
          </cell>
          <cell r="H1134" t="str">
            <v>Dept. of Maintenance</v>
          </cell>
          <cell r="I1134" t="str">
            <v>Unit of Machine Maintenance 2</v>
          </cell>
          <cell r="J1134" t="str">
            <v>Section of Line 4/5 Kiln &amp; CM Mach Maint</v>
          </cell>
        </row>
        <row r="1135">
          <cell r="A1135">
            <v>8282</v>
          </cell>
          <cell r="B1135" t="str">
            <v>9923008</v>
          </cell>
          <cell r="C1135">
            <v>50066608</v>
          </cell>
          <cell r="D1135" t="str">
            <v>WENDY C. SIHOMBING L.T., ST.</v>
          </cell>
          <cell r="E1135" t="str">
            <v>Proper &amp; CDM Jr Officer</v>
          </cell>
          <cell r="F1135" t="str">
            <v>Supervisor</v>
          </cell>
          <cell r="G1135" t="str">
            <v>Operation Directorate</v>
          </cell>
          <cell r="H1135" t="str">
            <v>Dept. of Production Planning &amp; Control</v>
          </cell>
          <cell r="I1135" t="str">
            <v>Unit of Prod. Plan Eval. &amp; Environmental</v>
          </cell>
          <cell r="J1135" t="str">
            <v>Section of PROPER &amp; CDM</v>
          </cell>
        </row>
        <row r="1136">
          <cell r="A1136">
            <v>8322</v>
          </cell>
          <cell r="B1136" t="str">
            <v>8322</v>
          </cell>
          <cell r="C1136">
            <v>50070766</v>
          </cell>
          <cell r="D1136" t="str">
            <v>YUDI HARSONO</v>
          </cell>
          <cell r="E1136" t="str">
            <v>Key Account Officer</v>
          </cell>
          <cell r="F1136" t="str">
            <v>Non-Eselon</v>
          </cell>
          <cell r="G1136" t="str">
            <v>President Directorate</v>
          </cell>
          <cell r="H1136" t="str">
            <v>Dept. of Sales</v>
          </cell>
          <cell r="I1136" t="str">
            <v>Unit of Corporate Sales</v>
          </cell>
          <cell r="J1136" t="str">
            <v>Staff of Key Account Officer</v>
          </cell>
        </row>
        <row r="1137">
          <cell r="A1137">
            <v>8387</v>
          </cell>
          <cell r="B1137" t="str">
            <v>9924001</v>
          </cell>
          <cell r="C1137">
            <v>50061788</v>
          </cell>
          <cell r="D1137" t="str">
            <v>SURYANTO MANURUNG, S.KM.</v>
          </cell>
          <cell r="E1137" t="str">
            <v>Permit &amp; OHS Equip Maintenance Jr Office</v>
          </cell>
          <cell r="F1137" t="str">
            <v>Supervisor</v>
          </cell>
          <cell r="G1137" t="str">
            <v>Operation Directorate</v>
          </cell>
          <cell r="H1137" t="str">
            <v>Dept. of Production Planning &amp; Control</v>
          </cell>
          <cell r="I1137" t="str">
            <v>Unit of OHS</v>
          </cell>
          <cell r="J1137" t="str">
            <v>Staff of Permit &amp; OHS Equip Maintenance</v>
          </cell>
        </row>
        <row r="1138">
          <cell r="A1138">
            <v>8457</v>
          </cell>
          <cell r="B1138" t="str">
            <v>9925001</v>
          </cell>
          <cell r="C1138">
            <v>50048504</v>
          </cell>
          <cell r="D1138" t="str">
            <v>EDO BAGUS SAJIWO</v>
          </cell>
          <cell r="E1138" t="str">
            <v>Management Trainee</v>
          </cell>
          <cell r="F1138" t="str">
            <v>Non-Eselon</v>
          </cell>
          <cell r="G1138" t="str">
            <v>Finance Risk Mgmt &amp; General Directorate</v>
          </cell>
          <cell r="H1138" t="str">
            <v>Department of Human Capital &amp; GRC</v>
          </cell>
        </row>
        <row r="1139">
          <cell r="A1139">
            <v>8558</v>
          </cell>
          <cell r="B1139" t="str">
            <v>9926002</v>
          </cell>
          <cell r="C1139">
            <v>50069063</v>
          </cell>
          <cell r="D1139" t="str">
            <v>Capt. GUNTUR EKO PRASETYO M.Mar</v>
          </cell>
          <cell r="E1139" t="str">
            <v>SM of SCM Infra Port Managemnet</v>
          </cell>
          <cell r="F1139" t="str">
            <v>Non-Eselon</v>
          </cell>
          <cell r="G1139" t="str">
            <v>Operation Directorate</v>
          </cell>
          <cell r="H1139" t="str">
            <v>Dept. of Infrastructure</v>
          </cell>
          <cell r="I1139" t="str">
            <v>Unit of SCM Infra Port Management</v>
          </cell>
        </row>
        <row r="1140">
          <cell r="A1140">
            <v>8559</v>
          </cell>
          <cell r="B1140" t="str">
            <v>9226001</v>
          </cell>
          <cell r="C1140">
            <v>50070794</v>
          </cell>
          <cell r="D1140" t="str">
            <v>PASKALINA DUWIT</v>
          </cell>
          <cell r="E1140" t="str">
            <v>Papua TSO</v>
          </cell>
          <cell r="F1140" t="str">
            <v>Associate</v>
          </cell>
          <cell r="G1140" t="str">
            <v>President Directorate</v>
          </cell>
          <cell r="H1140" t="str">
            <v>Dept. of Sales</v>
          </cell>
          <cell r="I1140" t="str">
            <v>Unit of Sales 2</v>
          </cell>
          <cell r="J1140" t="str">
            <v>Section of Papua</v>
          </cell>
        </row>
        <row r="1141">
          <cell r="A1141">
            <v>8590</v>
          </cell>
          <cell r="B1141" t="str">
            <v>9926003</v>
          </cell>
          <cell r="C1141">
            <v>50048504</v>
          </cell>
          <cell r="D1141" t="str">
            <v>SABIQAH ZATA AMANI QUDSI</v>
          </cell>
          <cell r="E1141" t="str">
            <v>Management Trainee</v>
          </cell>
          <cell r="F1141" t="str">
            <v>Non-Eselon</v>
          </cell>
          <cell r="G1141" t="str">
            <v>Finance Risk Mgmt &amp; General Directorate</v>
          </cell>
          <cell r="H1141" t="str">
            <v>Department of Human Capital &amp; GRC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LHAM.5103@SIG.ID" TargetMode="External"/><Relationship Id="rId3" Type="http://schemas.openxmlformats.org/officeDocument/2006/relationships/hyperlink" Target="mailto:ILYAS.5944@SIG.ID" TargetMode="External"/><Relationship Id="rId7" Type="http://schemas.openxmlformats.org/officeDocument/2006/relationships/hyperlink" Target="mailto:WAHYUDI.6262@SIG.ID" TargetMode="External"/><Relationship Id="rId2" Type="http://schemas.openxmlformats.org/officeDocument/2006/relationships/hyperlink" Target="mailto:MUHAMAD.RIZAL@SIG.ID" TargetMode="External"/><Relationship Id="rId1" Type="http://schemas.openxmlformats.org/officeDocument/2006/relationships/hyperlink" Target="mailto:MUH.IRSYAD@SIG.ID" TargetMode="External"/><Relationship Id="rId6" Type="http://schemas.openxmlformats.org/officeDocument/2006/relationships/hyperlink" Target="mailto:RUSLI.5208@SIG.ID" TargetMode="External"/><Relationship Id="rId5" Type="http://schemas.openxmlformats.org/officeDocument/2006/relationships/hyperlink" Target="mailto:KARLIN@SIG.ID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ILYAS.5944@SIG.ID" TargetMode="External"/><Relationship Id="rId9" Type="http://schemas.openxmlformats.org/officeDocument/2006/relationships/hyperlink" Target="mailto:TOPAN.RIDWAN@SIG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95A6-26A9-4FE8-A0CA-6A7EE720D3BB}">
  <dimension ref="A1:AB1074"/>
  <sheetViews>
    <sheetView tabSelected="1" topLeftCell="P1" workbookViewId="0">
      <selection activeCell="T2" sqref="T2"/>
    </sheetView>
  </sheetViews>
  <sheetFormatPr defaultRowHeight="14.5" x14ac:dyDescent="0.35"/>
  <cols>
    <col min="1" max="1" width="7.81640625" bestFit="1" customWidth="1"/>
    <col min="2" max="2" width="9.90625" bestFit="1" customWidth="1"/>
    <col min="3" max="3" width="5.54296875" bestFit="1" customWidth="1"/>
    <col min="4" max="4" width="8.81640625" bestFit="1" customWidth="1"/>
    <col min="5" max="5" width="40" bestFit="1" customWidth="1"/>
    <col min="6" max="6" width="38.6328125" bestFit="1" customWidth="1"/>
    <col min="7" max="7" width="17.6328125" bestFit="1" customWidth="1"/>
    <col min="8" max="8" width="10.81640625" bestFit="1" customWidth="1"/>
    <col min="9" max="9" width="35.453125" bestFit="1" customWidth="1"/>
    <col min="10" max="10" width="36" bestFit="1" customWidth="1"/>
    <col min="11" max="11" width="36.26953125" bestFit="1" customWidth="1"/>
    <col min="12" max="12" width="37.1796875" bestFit="1" customWidth="1"/>
    <col min="13" max="13" width="10.453125" bestFit="1" customWidth="1"/>
    <col min="14" max="14" width="10.36328125" bestFit="1" customWidth="1"/>
    <col min="15" max="15" width="23.26953125" bestFit="1" customWidth="1"/>
    <col min="16" max="16" width="17.1796875" bestFit="1" customWidth="1"/>
    <col min="17" max="17" width="20.81640625" bestFit="1" customWidth="1"/>
    <col min="18" max="18" width="39.6328125" bestFit="1" customWidth="1"/>
    <col min="19" max="19" width="21.26953125" bestFit="1" customWidth="1"/>
    <col min="20" max="20" width="10.453125" bestFit="1" customWidth="1"/>
    <col min="21" max="21" width="31.54296875" bestFit="1" customWidth="1"/>
    <col min="22" max="22" width="15.08984375" bestFit="1" customWidth="1"/>
    <col min="23" max="23" width="10.453125" bestFit="1" customWidth="1"/>
    <col min="24" max="24" width="19.90625" bestFit="1" customWidth="1"/>
    <col min="25" max="25" width="13.08984375" bestFit="1" customWidth="1"/>
    <col min="26" max="27" width="10.453125" bestFit="1" customWidth="1"/>
    <col min="28" max="28" width="65.453125" bestFit="1" customWidth="1"/>
  </cols>
  <sheetData>
    <row r="1" spans="1:28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2">
        <v>46265</v>
      </c>
      <c r="Y1" s="3"/>
    </row>
    <row r="2" spans="1:28" ht="15.5" x14ac:dyDescent="0.35">
      <c r="A2" s="5" t="s">
        <v>5617</v>
      </c>
      <c r="B2" s="4" t="s">
        <v>0</v>
      </c>
      <c r="C2" s="4" t="s">
        <v>1</v>
      </c>
      <c r="D2" s="4" t="s">
        <v>5618</v>
      </c>
      <c r="E2" s="4" t="s">
        <v>3</v>
      </c>
      <c r="F2" s="4" t="s">
        <v>2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4" t="s">
        <v>16</v>
      </c>
      <c r="T2" s="6" t="s">
        <v>5619</v>
      </c>
      <c r="U2" s="7" t="s">
        <v>17</v>
      </c>
      <c r="V2" s="7" t="s">
        <v>18</v>
      </c>
      <c r="W2" s="8" t="s">
        <v>19</v>
      </c>
      <c r="X2" s="9" t="s">
        <v>20</v>
      </c>
      <c r="Y2" s="9" t="s">
        <v>21</v>
      </c>
      <c r="Z2" s="9" t="s">
        <v>22</v>
      </c>
      <c r="AA2" s="10" t="s">
        <v>23</v>
      </c>
      <c r="AB2" s="11" t="s">
        <v>24</v>
      </c>
    </row>
    <row r="3" spans="1:28" x14ac:dyDescent="0.35">
      <c r="A3" s="12">
        <v>5254</v>
      </c>
      <c r="B3" s="12">
        <v>8008010</v>
      </c>
      <c r="C3" s="12" t="s">
        <v>25</v>
      </c>
      <c r="D3" s="12">
        <v>50007184</v>
      </c>
      <c r="E3" s="13" t="s">
        <v>26</v>
      </c>
      <c r="F3" s="1" t="str">
        <f>VLOOKUP(A3,[1]Sheet1!$A$2:$E$1141,5,0)</f>
        <v>GM of Internal Audit</v>
      </c>
      <c r="G3" s="13" t="str">
        <f>VLOOKUP(A3,[1]Sheet1!$A$2:$F$1141,6,0)</f>
        <v>General Manager</v>
      </c>
      <c r="H3" s="1" t="s">
        <v>27</v>
      </c>
      <c r="I3" s="1" t="s">
        <v>28</v>
      </c>
      <c r="J3" s="1" t="str">
        <f>VLOOKUP(A3,[1]Sheet1!$A$2:$H$1141,8,0)</f>
        <v>Department of Internal Audit</v>
      </c>
      <c r="K3" s="1" t="e">
        <f>VLOOKUP(A3,[1]Sheet1!$A$2:$I$1141,9,0)</f>
        <v>#REF!</v>
      </c>
      <c r="L3" s="1" t="e">
        <f>VLOOKUP(A3,[1]Sheet1!$A$2:$J$1141,10,0)</f>
        <v>#REF!</v>
      </c>
      <c r="M3" s="2">
        <v>29585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  <c r="S3" s="1" t="s">
        <v>34</v>
      </c>
      <c r="T3" s="14">
        <v>50041</v>
      </c>
      <c r="U3" s="1" t="s">
        <v>35</v>
      </c>
      <c r="V3" s="1" t="s">
        <v>36</v>
      </c>
      <c r="W3" s="3" t="str">
        <f t="shared" ref="W3:W66" si="0">DATEDIF(M3,$W$1,"Y")&amp;" "&amp;"tahun"</f>
        <v>45 tahun</v>
      </c>
      <c r="X3" s="1" t="s">
        <v>37</v>
      </c>
      <c r="Y3" s="1" t="s">
        <v>38</v>
      </c>
      <c r="Z3" s="2">
        <v>39814</v>
      </c>
      <c r="AA3" s="2">
        <v>39934</v>
      </c>
      <c r="AB3" s="2" t="s">
        <v>39</v>
      </c>
    </row>
    <row r="4" spans="1:28" x14ac:dyDescent="0.35">
      <c r="A4" s="12">
        <v>5357</v>
      </c>
      <c r="B4" s="12">
        <v>8508087</v>
      </c>
      <c r="C4" s="12" t="s">
        <v>25</v>
      </c>
      <c r="D4" s="12">
        <v>50052082</v>
      </c>
      <c r="E4" s="15" t="s">
        <v>40</v>
      </c>
      <c r="F4" s="1" t="str">
        <f>VLOOKUP(A4,[1]Sheet1!$A$2:$E$1141,5,0)</f>
        <v>Internal Audit Sr Officer</v>
      </c>
      <c r="G4" s="15" t="str">
        <f>VLOOKUP(A4,[1]Sheet1!$A$2:$F$1141,6,0)</f>
        <v>Senior Manager</v>
      </c>
      <c r="H4" s="1" t="s">
        <v>41</v>
      </c>
      <c r="I4" s="1" t="s">
        <v>28</v>
      </c>
      <c r="J4" s="1" t="str">
        <f>VLOOKUP(A4,[1]Sheet1!$A$2:$H$1141,8,0)</f>
        <v>Department of Internal Audit</v>
      </c>
      <c r="K4" s="1" t="str">
        <f>VLOOKUP(A4,[1]Sheet1!$A$2:$I$1141,9,0)</f>
        <v>Staff of Internal Audit</v>
      </c>
      <c r="L4" s="1" t="e">
        <f>VLOOKUP(A4,[1]Sheet1!$A$2:$J$1141,10,0)</f>
        <v>#REF!</v>
      </c>
      <c r="M4" s="2">
        <v>31348</v>
      </c>
      <c r="N4" s="1" t="s">
        <v>29</v>
      </c>
      <c r="O4" s="1" t="s">
        <v>30</v>
      </c>
      <c r="P4" s="1" t="s">
        <v>42</v>
      </c>
      <c r="Q4" s="1" t="s">
        <v>43</v>
      </c>
      <c r="R4" s="1" t="s">
        <v>44</v>
      </c>
      <c r="S4" s="1" t="s">
        <v>45</v>
      </c>
      <c r="T4" s="14">
        <v>51806</v>
      </c>
      <c r="U4" s="1" t="s">
        <v>46</v>
      </c>
      <c r="V4" s="1" t="s">
        <v>36</v>
      </c>
      <c r="W4" s="3" t="str">
        <f t="shared" si="0"/>
        <v>40 tahun</v>
      </c>
      <c r="X4" s="1" t="s">
        <v>47</v>
      </c>
      <c r="Y4" s="1" t="s">
        <v>48</v>
      </c>
      <c r="Z4" s="2">
        <v>39814</v>
      </c>
      <c r="AA4" s="2">
        <v>39934</v>
      </c>
      <c r="AB4" s="2" t="s">
        <v>49</v>
      </c>
    </row>
    <row r="5" spans="1:28" x14ac:dyDescent="0.35">
      <c r="A5" s="12">
        <v>5053</v>
      </c>
      <c r="B5" s="12">
        <v>7495286</v>
      </c>
      <c r="C5" s="12" t="s">
        <v>50</v>
      </c>
      <c r="D5" s="12">
        <v>50054254</v>
      </c>
      <c r="E5" s="16" t="s">
        <v>51</v>
      </c>
      <c r="F5" s="1" t="str">
        <f>VLOOKUP(A5,[1]Sheet1!$A$2:$E$1141,5,0)</f>
        <v>Internal Audit Officer</v>
      </c>
      <c r="G5" s="16" t="str">
        <f>VLOOKUP(A5,[1]Sheet1!$A$2:$F$1141,6,0)</f>
        <v>Manager</v>
      </c>
      <c r="H5" s="1" t="s">
        <v>41</v>
      </c>
      <c r="I5" s="1" t="s">
        <v>28</v>
      </c>
      <c r="J5" s="1" t="str">
        <f>VLOOKUP(A5,[1]Sheet1!$A$2:$H$1141,8,0)</f>
        <v>Department of Internal Audit</v>
      </c>
      <c r="K5" s="1" t="str">
        <f>VLOOKUP(A5,[1]Sheet1!$A$2:$I$1141,9,0)</f>
        <v>Staff of Internal Audit</v>
      </c>
      <c r="L5" s="1" t="e">
        <f>VLOOKUP(A5,[1]Sheet1!$A$2:$J$1141,10,0)</f>
        <v>#REF!</v>
      </c>
      <c r="M5" s="2">
        <v>27206</v>
      </c>
      <c r="N5" s="1" t="s">
        <v>29</v>
      </c>
      <c r="O5" s="1" t="s">
        <v>30</v>
      </c>
      <c r="P5" s="1" t="s">
        <v>52</v>
      </c>
      <c r="Q5" s="1" t="s">
        <v>53</v>
      </c>
      <c r="R5" s="1" t="s">
        <v>44</v>
      </c>
      <c r="S5" s="1" t="s">
        <v>45</v>
      </c>
      <c r="T5" s="14">
        <v>47665</v>
      </c>
      <c r="U5" s="1" t="s">
        <v>54</v>
      </c>
      <c r="V5" s="1" t="s">
        <v>36</v>
      </c>
      <c r="W5" s="3" t="str">
        <f t="shared" si="0"/>
        <v>52 tahun</v>
      </c>
      <c r="X5" s="1" t="s">
        <v>55</v>
      </c>
      <c r="Y5" s="1" t="s">
        <v>56</v>
      </c>
      <c r="Z5" s="2">
        <v>35034</v>
      </c>
      <c r="AA5" s="2">
        <v>35400</v>
      </c>
      <c r="AB5" s="2" t="s">
        <v>57</v>
      </c>
    </row>
    <row r="6" spans="1:28" x14ac:dyDescent="0.35">
      <c r="A6" s="12">
        <v>5317</v>
      </c>
      <c r="B6" s="12">
        <v>8408066</v>
      </c>
      <c r="C6" s="12" t="s">
        <v>25</v>
      </c>
      <c r="D6" s="12">
        <v>50062553</v>
      </c>
      <c r="E6" s="15" t="s">
        <v>58</v>
      </c>
      <c r="F6" s="1" t="str">
        <f>VLOOKUP(A6,[1]Sheet1!$A$2:$E$1141,5,0)</f>
        <v>Internal Audit Sr Officer</v>
      </c>
      <c r="G6" s="15" t="str">
        <f>VLOOKUP(A6,[1]Sheet1!$A$2:$F$1141,6,0)</f>
        <v>Senior Manager</v>
      </c>
      <c r="H6" s="1" t="s">
        <v>41</v>
      </c>
      <c r="I6" s="1" t="s">
        <v>28</v>
      </c>
      <c r="J6" s="1" t="str">
        <f>VLOOKUP(A6,[1]Sheet1!$A$2:$H$1141,8,0)</f>
        <v>Department of Internal Audit</v>
      </c>
      <c r="K6" s="1" t="str">
        <f>VLOOKUP(A6,[1]Sheet1!$A$2:$I$1141,9,0)</f>
        <v>Staff of Internal Audit</v>
      </c>
      <c r="L6" s="1" t="e">
        <f>VLOOKUP(A6,[1]Sheet1!$A$2:$J$1141,10,0)</f>
        <v>#REF!</v>
      </c>
      <c r="M6" s="2">
        <v>30897</v>
      </c>
      <c r="N6" s="1" t="s">
        <v>59</v>
      </c>
      <c r="O6" s="1" t="s">
        <v>30</v>
      </c>
      <c r="P6" s="1" t="s">
        <v>60</v>
      </c>
      <c r="Q6" s="1" t="s">
        <v>53</v>
      </c>
      <c r="R6" s="1" t="s">
        <v>44</v>
      </c>
      <c r="S6" s="1" t="s">
        <v>45</v>
      </c>
      <c r="T6" s="14">
        <v>51380</v>
      </c>
      <c r="U6" s="1" t="s">
        <v>61</v>
      </c>
      <c r="V6" s="1" t="s">
        <v>36</v>
      </c>
      <c r="W6" s="3" t="str">
        <f t="shared" si="0"/>
        <v>42 tahun</v>
      </c>
      <c r="X6" s="1" t="s">
        <v>37</v>
      </c>
      <c r="Y6" s="1" t="s">
        <v>48</v>
      </c>
      <c r="Z6" s="2">
        <v>39814</v>
      </c>
      <c r="AA6" s="2">
        <v>39934</v>
      </c>
      <c r="AB6" s="2" t="s">
        <v>62</v>
      </c>
    </row>
    <row r="7" spans="1:28" x14ac:dyDescent="0.35">
      <c r="A7" s="12">
        <v>4950</v>
      </c>
      <c r="B7" s="12">
        <v>7301002</v>
      </c>
      <c r="C7" s="12" t="s">
        <v>63</v>
      </c>
      <c r="D7" s="12">
        <v>50007190</v>
      </c>
      <c r="E7" s="16" t="s">
        <v>64</v>
      </c>
      <c r="F7" s="1" t="str">
        <f>VLOOKUP(A7,[1]Sheet1!$A$2:$E$1141,5,0)</f>
        <v>Internal Audit Officer</v>
      </c>
      <c r="G7" s="16" t="str">
        <f>VLOOKUP(A7,[1]Sheet1!$A$2:$F$1141,6,0)</f>
        <v>Manager</v>
      </c>
      <c r="H7" s="1" t="s">
        <v>41</v>
      </c>
      <c r="I7" s="1" t="s">
        <v>28</v>
      </c>
      <c r="J7" s="1" t="str">
        <f>VLOOKUP(A7,[1]Sheet1!$A$2:$H$1141,8,0)</f>
        <v>Department of Internal Audit</v>
      </c>
      <c r="K7" s="1" t="str">
        <f>VLOOKUP(A7,[1]Sheet1!$A$2:$I$1141,9,0)</f>
        <v>Staff of Internal Audit</v>
      </c>
      <c r="L7" s="1" t="e">
        <f>VLOOKUP(A7,[1]Sheet1!$A$2:$J$1141,10,0)</f>
        <v>#REF!</v>
      </c>
      <c r="M7" s="2">
        <v>26907</v>
      </c>
      <c r="N7" s="1" t="s">
        <v>29</v>
      </c>
      <c r="O7" s="1" t="s">
        <v>30</v>
      </c>
      <c r="P7" s="1" t="s">
        <v>65</v>
      </c>
      <c r="Q7" s="1" t="s">
        <v>53</v>
      </c>
      <c r="R7" s="1" t="s">
        <v>44</v>
      </c>
      <c r="S7" s="1" t="s">
        <v>45</v>
      </c>
      <c r="T7" s="14">
        <v>47362</v>
      </c>
      <c r="U7" s="1" t="s">
        <v>66</v>
      </c>
      <c r="V7" s="1" t="s">
        <v>36</v>
      </c>
      <c r="W7" s="3" t="str">
        <f t="shared" si="0"/>
        <v>53 tahun</v>
      </c>
      <c r="X7" s="1" t="s">
        <v>67</v>
      </c>
      <c r="Y7" s="1" t="s">
        <v>68</v>
      </c>
      <c r="Z7" s="2">
        <v>36571</v>
      </c>
      <c r="AA7" s="2">
        <v>36951</v>
      </c>
      <c r="AB7" s="2" t="s">
        <v>69</v>
      </c>
    </row>
    <row r="8" spans="1:28" x14ac:dyDescent="0.35">
      <c r="A8" s="12">
        <v>5131</v>
      </c>
      <c r="B8" s="12">
        <v>7595055</v>
      </c>
      <c r="C8" s="12" t="s">
        <v>50</v>
      </c>
      <c r="D8" s="12">
        <v>50018503</v>
      </c>
      <c r="E8" s="16" t="s">
        <v>70</v>
      </c>
      <c r="F8" s="1" t="str">
        <f>VLOOKUP(A8,[1]Sheet1!$A$2:$E$1141,5,0)</f>
        <v>Internal Audit Officer</v>
      </c>
      <c r="G8" s="16" t="str">
        <f>VLOOKUP(A8,[1]Sheet1!$A$2:$F$1141,6,0)</f>
        <v>Manager</v>
      </c>
      <c r="H8" s="1" t="s">
        <v>41</v>
      </c>
      <c r="I8" s="1" t="s">
        <v>28</v>
      </c>
      <c r="J8" s="1" t="str">
        <f>VLOOKUP(A8,[1]Sheet1!$A$2:$H$1141,8,0)</f>
        <v>Department of Internal Audit</v>
      </c>
      <c r="K8" s="1" t="str">
        <f>VLOOKUP(A8,[1]Sheet1!$A$2:$I$1141,9,0)</f>
        <v>Staff of Internal Audit</v>
      </c>
      <c r="L8" s="1" t="e">
        <f>VLOOKUP(A8,[1]Sheet1!$A$2:$J$1141,10,0)</f>
        <v>#REF!</v>
      </c>
      <c r="M8" s="2">
        <v>27519</v>
      </c>
      <c r="N8" s="1" t="s">
        <v>29</v>
      </c>
      <c r="O8" s="1" t="s">
        <v>30</v>
      </c>
      <c r="P8" s="1" t="s">
        <v>71</v>
      </c>
      <c r="Q8" s="1" t="s">
        <v>53</v>
      </c>
      <c r="R8" s="1" t="s">
        <v>72</v>
      </c>
      <c r="S8" s="1" t="s">
        <v>45</v>
      </c>
      <c r="T8" s="14">
        <v>48000</v>
      </c>
      <c r="U8" s="1" t="s">
        <v>73</v>
      </c>
      <c r="V8" s="1" t="s">
        <v>36</v>
      </c>
      <c r="W8" s="3" t="str">
        <f t="shared" si="0"/>
        <v>51 tahun</v>
      </c>
      <c r="X8" s="1" t="s">
        <v>67</v>
      </c>
      <c r="Y8" s="1" t="s">
        <v>48</v>
      </c>
      <c r="Z8" s="2">
        <v>34897</v>
      </c>
      <c r="AA8" s="2">
        <v>35278</v>
      </c>
      <c r="AB8" s="2" t="s">
        <v>74</v>
      </c>
    </row>
    <row r="9" spans="1:28" x14ac:dyDescent="0.35">
      <c r="A9" s="12">
        <v>5098</v>
      </c>
      <c r="B9" s="12">
        <v>7495288</v>
      </c>
      <c r="C9" s="12" t="s">
        <v>50</v>
      </c>
      <c r="D9" s="12">
        <v>50052085</v>
      </c>
      <c r="E9" s="16" t="s">
        <v>75</v>
      </c>
      <c r="F9" s="1" t="str">
        <f>VLOOKUP(A9,[1]Sheet1!$A$2:$E$1141,5,0)</f>
        <v>Internal Audit Officer</v>
      </c>
      <c r="G9" s="16" t="str">
        <f>VLOOKUP(A9,[1]Sheet1!$A$2:$F$1141,6,0)</f>
        <v>Manager</v>
      </c>
      <c r="H9" s="1" t="s">
        <v>41</v>
      </c>
      <c r="I9" s="1" t="s">
        <v>28</v>
      </c>
      <c r="J9" s="1" t="str">
        <f>VLOOKUP(A9,[1]Sheet1!$A$2:$H$1141,8,0)</f>
        <v>Department of Internal Audit</v>
      </c>
      <c r="K9" s="1" t="str">
        <f>VLOOKUP(A9,[1]Sheet1!$A$2:$I$1141,9,0)</f>
        <v>Staff of Internal Audit</v>
      </c>
      <c r="L9" s="1" t="e">
        <f>VLOOKUP(A9,[1]Sheet1!$A$2:$J$1141,10,0)</f>
        <v>#REF!</v>
      </c>
      <c r="M9" s="2">
        <v>27380</v>
      </c>
      <c r="N9" s="1" t="s">
        <v>59</v>
      </c>
      <c r="O9" s="1" t="s">
        <v>30</v>
      </c>
      <c r="P9" s="1" t="s">
        <v>76</v>
      </c>
      <c r="Q9" s="1" t="s">
        <v>53</v>
      </c>
      <c r="R9" s="1" t="s">
        <v>44</v>
      </c>
      <c r="S9" s="1" t="s">
        <v>45</v>
      </c>
      <c r="T9" s="14">
        <v>47849</v>
      </c>
      <c r="U9" s="1" t="s">
        <v>77</v>
      </c>
      <c r="V9" s="1" t="s">
        <v>36</v>
      </c>
      <c r="W9" s="3" t="str">
        <f t="shared" si="0"/>
        <v>51 tahun</v>
      </c>
      <c r="X9" s="1" t="s">
        <v>78</v>
      </c>
      <c r="Y9" s="1" t="s">
        <v>48</v>
      </c>
      <c r="Z9" s="2">
        <v>35034</v>
      </c>
      <c r="AA9" s="2">
        <v>35400</v>
      </c>
      <c r="AB9" s="2" t="s">
        <v>79</v>
      </c>
    </row>
    <row r="10" spans="1:28" x14ac:dyDescent="0.35">
      <c r="A10" s="12">
        <v>4900</v>
      </c>
      <c r="B10" s="12">
        <v>7395272</v>
      </c>
      <c r="C10" s="12" t="s">
        <v>50</v>
      </c>
      <c r="D10" s="12">
        <v>50065450</v>
      </c>
      <c r="E10" s="16" t="s">
        <v>80</v>
      </c>
      <c r="F10" s="1" t="str">
        <f>VLOOKUP(A10,[1]Sheet1!$A$2:$E$1141,5,0)</f>
        <v>Internal audit Officer</v>
      </c>
      <c r="G10" s="16" t="str">
        <f>VLOOKUP(A10,[1]Sheet1!$A$2:$F$1141,6,0)</f>
        <v>Manager</v>
      </c>
      <c r="H10" s="1" t="s">
        <v>41</v>
      </c>
      <c r="I10" s="1" t="s">
        <v>28</v>
      </c>
      <c r="J10" s="1" t="str">
        <f>VLOOKUP(A10,[1]Sheet1!$A$2:$H$1141,8,0)</f>
        <v>Department of Internal Audit</v>
      </c>
      <c r="K10" s="1" t="str">
        <f>VLOOKUP(A10,[1]Sheet1!$A$2:$I$1141,9,0)</f>
        <v>Staff of Internal Audit</v>
      </c>
      <c r="L10" s="1" t="e">
        <f>VLOOKUP(A10,[1]Sheet1!$A$2:$J$1141,10,0)</f>
        <v>#REF!</v>
      </c>
      <c r="M10" s="2">
        <v>26696</v>
      </c>
      <c r="N10" s="1" t="s">
        <v>59</v>
      </c>
      <c r="O10" s="1" t="s">
        <v>30</v>
      </c>
      <c r="P10" s="1" t="s">
        <v>81</v>
      </c>
      <c r="Q10" s="1" t="s">
        <v>53</v>
      </c>
      <c r="R10" s="1" t="s">
        <v>72</v>
      </c>
      <c r="S10" s="1" t="s">
        <v>45</v>
      </c>
      <c r="T10" s="14">
        <v>47178</v>
      </c>
      <c r="U10" s="1" t="s">
        <v>82</v>
      </c>
      <c r="V10" s="1" t="s">
        <v>36</v>
      </c>
      <c r="W10" s="3" t="str">
        <f t="shared" si="0"/>
        <v>53 tahun</v>
      </c>
      <c r="X10" s="1" t="s">
        <v>83</v>
      </c>
      <c r="Y10" s="1" t="s">
        <v>38</v>
      </c>
      <c r="Z10" s="2">
        <v>35034</v>
      </c>
      <c r="AA10" s="2">
        <v>35400</v>
      </c>
      <c r="AB10" s="2" t="s">
        <v>84</v>
      </c>
    </row>
    <row r="11" spans="1:28" x14ac:dyDescent="0.35">
      <c r="A11" s="12">
        <v>5159</v>
      </c>
      <c r="B11" s="12">
        <v>7595063</v>
      </c>
      <c r="C11" s="12" t="s">
        <v>50</v>
      </c>
      <c r="D11" s="12">
        <v>50054255</v>
      </c>
      <c r="E11" s="16" t="s">
        <v>85</v>
      </c>
      <c r="F11" s="1" t="str">
        <f>VLOOKUP(A11,[1]Sheet1!$A$2:$E$1141,5,0)</f>
        <v>Internal Audit Officer</v>
      </c>
      <c r="G11" s="16" t="str">
        <f>VLOOKUP(A11,[1]Sheet1!$A$2:$F$1141,6,0)</f>
        <v>Manager</v>
      </c>
      <c r="H11" s="1" t="s">
        <v>41</v>
      </c>
      <c r="I11" s="1" t="s">
        <v>28</v>
      </c>
      <c r="J11" s="1" t="str">
        <f>VLOOKUP(A11,[1]Sheet1!$A$2:$H$1141,8,0)</f>
        <v>Department of Internal Audit</v>
      </c>
      <c r="K11" s="1" t="str">
        <f>VLOOKUP(A11,[1]Sheet1!$A$2:$I$1141,9,0)</f>
        <v>Staff of Internal Audit</v>
      </c>
      <c r="L11" s="1" t="e">
        <f>VLOOKUP(A11,[1]Sheet1!$A$2:$J$1141,10,0)</f>
        <v>#REF!</v>
      </c>
      <c r="M11" s="2">
        <v>27640</v>
      </c>
      <c r="N11" s="1" t="s">
        <v>29</v>
      </c>
      <c r="O11" s="1" t="s">
        <v>30</v>
      </c>
      <c r="P11" s="1" t="s">
        <v>86</v>
      </c>
      <c r="Q11" s="1" t="s">
        <v>53</v>
      </c>
      <c r="R11" s="1" t="s">
        <v>44</v>
      </c>
      <c r="S11" s="1" t="s">
        <v>45</v>
      </c>
      <c r="T11" s="14">
        <v>48122</v>
      </c>
      <c r="U11" s="1" t="s">
        <v>87</v>
      </c>
      <c r="V11" s="1" t="s">
        <v>36</v>
      </c>
      <c r="W11" s="3" t="str">
        <f t="shared" si="0"/>
        <v>50 tahun</v>
      </c>
      <c r="X11" s="1" t="s">
        <v>55</v>
      </c>
      <c r="Y11" s="1" t="s">
        <v>38</v>
      </c>
      <c r="Z11" s="2">
        <v>34897</v>
      </c>
      <c r="AA11" s="2">
        <v>35278</v>
      </c>
      <c r="AB11" s="2" t="s">
        <v>84</v>
      </c>
    </row>
    <row r="12" spans="1:28" x14ac:dyDescent="0.35">
      <c r="A12" s="12">
        <v>5201</v>
      </c>
      <c r="B12" s="12">
        <v>7695248</v>
      </c>
      <c r="C12" s="12" t="s">
        <v>50</v>
      </c>
      <c r="D12" s="12">
        <v>50063900</v>
      </c>
      <c r="E12" s="16" t="s">
        <v>88</v>
      </c>
      <c r="F12" s="1" t="str">
        <f>VLOOKUP(A12,[1]Sheet1!$A$2:$E$1141,5,0)</f>
        <v>Internal Audit Officer</v>
      </c>
      <c r="G12" s="16" t="str">
        <f>VLOOKUP(A12,[1]Sheet1!$A$2:$F$1141,6,0)</f>
        <v>Manager</v>
      </c>
      <c r="H12" s="1" t="s">
        <v>41</v>
      </c>
      <c r="I12" s="1" t="s">
        <v>28</v>
      </c>
      <c r="J12" s="1" t="str">
        <f>VLOOKUP(A12,[1]Sheet1!$A$2:$H$1141,8,0)</f>
        <v>Department of Internal Audit</v>
      </c>
      <c r="K12" s="1" t="str">
        <f>VLOOKUP(A12,[1]Sheet1!$A$2:$I$1141,9,0)</f>
        <v>Staff of Internal Audit</v>
      </c>
      <c r="L12" s="1" t="e">
        <f>VLOOKUP(A12,[1]Sheet1!$A$2:$J$1141,10,0)</f>
        <v>#REF!</v>
      </c>
      <c r="M12" s="2">
        <v>27884</v>
      </c>
      <c r="N12" s="1" t="s">
        <v>29</v>
      </c>
      <c r="O12" s="1" t="s">
        <v>30</v>
      </c>
      <c r="P12" s="1" t="s">
        <v>89</v>
      </c>
      <c r="Q12" s="1" t="s">
        <v>53</v>
      </c>
      <c r="R12" s="1" t="s">
        <v>44</v>
      </c>
      <c r="S12" s="1" t="s">
        <v>45</v>
      </c>
      <c r="T12" s="14">
        <v>48366</v>
      </c>
      <c r="U12" s="1" t="s">
        <v>90</v>
      </c>
      <c r="V12" s="1" t="s">
        <v>36</v>
      </c>
      <c r="W12" s="3" t="str">
        <f t="shared" si="0"/>
        <v>50 tahun</v>
      </c>
      <c r="X12" s="1" t="s">
        <v>91</v>
      </c>
      <c r="Y12" s="1" t="s">
        <v>48</v>
      </c>
      <c r="Z12" s="2">
        <v>35002</v>
      </c>
      <c r="AA12" s="2">
        <v>35370</v>
      </c>
      <c r="AB12" s="2" t="s">
        <v>92</v>
      </c>
    </row>
    <row r="13" spans="1:28" x14ac:dyDescent="0.35">
      <c r="A13" s="12">
        <v>5281</v>
      </c>
      <c r="B13" s="12">
        <v>8308055</v>
      </c>
      <c r="C13" s="12" t="s">
        <v>25</v>
      </c>
      <c r="D13" s="12">
        <v>50065630</v>
      </c>
      <c r="E13" s="16" t="s">
        <v>93</v>
      </c>
      <c r="F13" s="1" t="str">
        <f>VLOOKUP(A13,[1]Sheet1!$A$2:$E$1141,5,0)</f>
        <v>Internal audit Officer</v>
      </c>
      <c r="G13" s="16" t="str">
        <f>VLOOKUP(A13,[1]Sheet1!$A$2:$F$1141,6,0)</f>
        <v>Manager</v>
      </c>
      <c r="H13" s="1" t="s">
        <v>41</v>
      </c>
      <c r="I13" s="1" t="s">
        <v>28</v>
      </c>
      <c r="J13" s="1" t="str">
        <f>VLOOKUP(A13,[1]Sheet1!$A$2:$H$1141,8,0)</f>
        <v>Department of Internal Audit</v>
      </c>
      <c r="K13" s="1" t="str">
        <f>VLOOKUP(A13,[1]Sheet1!$A$2:$I$1141,9,0)</f>
        <v>Staff of Internal Audit</v>
      </c>
      <c r="L13" s="1" t="e">
        <f>VLOOKUP(A13,[1]Sheet1!$A$2:$J$1141,10,0)</f>
        <v>#REF!</v>
      </c>
      <c r="M13" s="2">
        <v>30349</v>
      </c>
      <c r="N13" s="1" t="s">
        <v>29</v>
      </c>
      <c r="O13" s="1" t="s">
        <v>30</v>
      </c>
      <c r="P13" s="1" t="s">
        <v>94</v>
      </c>
      <c r="Q13" s="1" t="s">
        <v>53</v>
      </c>
      <c r="R13" s="1" t="s">
        <v>72</v>
      </c>
      <c r="S13" s="1" t="s">
        <v>45</v>
      </c>
      <c r="T13" s="14">
        <v>50830</v>
      </c>
      <c r="U13" s="1" t="s">
        <v>95</v>
      </c>
      <c r="V13" s="1" t="s">
        <v>36</v>
      </c>
      <c r="W13" s="3" t="str">
        <f t="shared" si="0"/>
        <v>43 tahun</v>
      </c>
      <c r="X13" s="1" t="s">
        <v>96</v>
      </c>
      <c r="Y13" s="1" t="s">
        <v>48</v>
      </c>
      <c r="Z13" s="2">
        <v>39814</v>
      </c>
      <c r="AA13" s="2">
        <v>39965</v>
      </c>
      <c r="AB13" s="2" t="s">
        <v>97</v>
      </c>
    </row>
    <row r="14" spans="1:28" x14ac:dyDescent="0.35">
      <c r="A14" s="12">
        <v>5149</v>
      </c>
      <c r="B14" s="12">
        <v>7595060</v>
      </c>
      <c r="C14" s="12" t="s">
        <v>50</v>
      </c>
      <c r="D14" s="12">
        <v>50064702</v>
      </c>
      <c r="E14" s="1" t="s">
        <v>98</v>
      </c>
      <c r="F14" s="1" t="str">
        <f>VLOOKUP(A14,[1]Sheet1!$A$2:$E$1141,5,0)</f>
        <v>Internal Audit Jr Officer</v>
      </c>
      <c r="G14" s="17" t="str">
        <f>VLOOKUP(A14,[1]Sheet1!$A$2:$F$1141,6,0)</f>
        <v>Supervisor</v>
      </c>
      <c r="H14" s="1" t="s">
        <v>41</v>
      </c>
      <c r="I14" s="1" t="s">
        <v>28</v>
      </c>
      <c r="J14" s="1" t="str">
        <f>VLOOKUP(A14,[1]Sheet1!$A$2:$H$1141,8,0)</f>
        <v>Department of Internal Audit</v>
      </c>
      <c r="K14" s="1" t="str">
        <f>VLOOKUP(A14,[1]Sheet1!$A$2:$I$1141,9,0)</f>
        <v>Staff of Internal Audit</v>
      </c>
      <c r="L14" s="1" t="e">
        <f>VLOOKUP(A14,[1]Sheet1!$A$2:$J$1141,10,0)</f>
        <v>#REF!</v>
      </c>
      <c r="M14" s="2">
        <v>27584</v>
      </c>
      <c r="N14" s="1" t="s">
        <v>29</v>
      </c>
      <c r="O14" s="1" t="s">
        <v>30</v>
      </c>
      <c r="P14" s="1" t="s">
        <v>99</v>
      </c>
      <c r="Q14" s="1" t="s">
        <v>53</v>
      </c>
      <c r="R14" s="1" t="s">
        <v>44</v>
      </c>
      <c r="S14" s="1" t="s">
        <v>45</v>
      </c>
      <c r="T14" s="14">
        <v>48061</v>
      </c>
      <c r="U14" s="1" t="s">
        <v>100</v>
      </c>
      <c r="V14" s="1" t="s">
        <v>36</v>
      </c>
      <c r="W14" s="3" t="str">
        <f t="shared" si="0"/>
        <v>51 tahun</v>
      </c>
      <c r="X14" s="1" t="s">
        <v>101</v>
      </c>
      <c r="Y14" s="1" t="s">
        <v>48</v>
      </c>
      <c r="Z14" s="2">
        <v>34897</v>
      </c>
      <c r="AA14" s="2">
        <v>35278</v>
      </c>
      <c r="AB14" s="2" t="s">
        <v>102</v>
      </c>
    </row>
    <row r="15" spans="1:28" x14ac:dyDescent="0.35">
      <c r="A15" s="12">
        <v>5854</v>
      </c>
      <c r="B15" s="12">
        <v>8512020</v>
      </c>
      <c r="C15" s="12" t="s">
        <v>103</v>
      </c>
      <c r="D15" s="12">
        <v>50063640</v>
      </c>
      <c r="E15" s="1" t="s">
        <v>104</v>
      </c>
      <c r="F15" s="1" t="str">
        <f>VLOOKUP(A15,[1]Sheet1!$A$2:$E$1141,5,0)</f>
        <v>Internal Audit Jr Officer</v>
      </c>
      <c r="G15" s="17" t="str">
        <f>VLOOKUP(A15,[1]Sheet1!$A$2:$F$1141,6,0)</f>
        <v>Supervisor</v>
      </c>
      <c r="H15" s="1" t="s">
        <v>41</v>
      </c>
      <c r="I15" s="1" t="s">
        <v>28</v>
      </c>
      <c r="J15" s="1" t="str">
        <f>VLOOKUP(A15,[1]Sheet1!$A$2:$H$1141,8,0)</f>
        <v>Department of Internal Audit</v>
      </c>
      <c r="K15" s="1" t="str">
        <f>VLOOKUP(A15,[1]Sheet1!$A$2:$I$1141,9,0)</f>
        <v>Staff of Internal Audit</v>
      </c>
      <c r="L15" s="1" t="e">
        <f>VLOOKUP(A15,[1]Sheet1!$A$2:$J$1141,10,0)</f>
        <v>#REF!</v>
      </c>
      <c r="M15" s="2">
        <v>31311</v>
      </c>
      <c r="N15" s="1" t="s">
        <v>29</v>
      </c>
      <c r="O15" s="1" t="s">
        <v>30</v>
      </c>
      <c r="P15" s="1" t="s">
        <v>105</v>
      </c>
      <c r="Q15" s="1" t="s">
        <v>53</v>
      </c>
      <c r="R15" s="1" t="s">
        <v>44</v>
      </c>
      <c r="S15" s="1" t="s">
        <v>45</v>
      </c>
      <c r="T15" s="14">
        <v>51775</v>
      </c>
      <c r="U15" s="1" t="s">
        <v>106</v>
      </c>
      <c r="V15" s="1" t="s">
        <v>36</v>
      </c>
      <c r="W15" s="3" t="str">
        <f t="shared" si="0"/>
        <v>40 tahun</v>
      </c>
      <c r="X15" s="1" t="s">
        <v>107</v>
      </c>
      <c r="Y15" s="1" t="s">
        <v>48</v>
      </c>
      <c r="Z15" s="2">
        <v>41275</v>
      </c>
      <c r="AA15" s="2">
        <v>41395</v>
      </c>
      <c r="AB15" s="2" t="s">
        <v>108</v>
      </c>
    </row>
    <row r="16" spans="1:28" x14ac:dyDescent="0.35">
      <c r="A16" s="12">
        <v>5976</v>
      </c>
      <c r="B16" s="12">
        <v>8812144</v>
      </c>
      <c r="C16" s="12" t="s">
        <v>103</v>
      </c>
      <c r="D16" s="12">
        <v>50066601</v>
      </c>
      <c r="E16" s="1" t="s">
        <v>109</v>
      </c>
      <c r="F16" s="1" t="str">
        <f>VLOOKUP(A16,[1]Sheet1!$A$2:$E$1141,5,0)</f>
        <v>Internal Audit Jr Officer</v>
      </c>
      <c r="G16" s="17" t="str">
        <f>VLOOKUP(A16,[1]Sheet1!$A$2:$F$1141,6,0)</f>
        <v>Supervisor</v>
      </c>
      <c r="H16" s="1" t="s">
        <v>41</v>
      </c>
      <c r="I16" s="1" t="s">
        <v>28</v>
      </c>
      <c r="J16" s="1" t="str">
        <f>VLOOKUP(A16,[1]Sheet1!$A$2:$H$1141,8,0)</f>
        <v>Department of Internal Audit</v>
      </c>
      <c r="K16" s="1" t="str">
        <f>VLOOKUP(A16,[1]Sheet1!$A$2:$I$1141,9,0)</f>
        <v>Staff of Internal Audit</v>
      </c>
      <c r="L16" s="1" t="e">
        <f>VLOOKUP(A16,[1]Sheet1!$A$2:$J$1141,10,0)</f>
        <v>#REF!</v>
      </c>
      <c r="M16" s="2">
        <v>32388</v>
      </c>
      <c r="N16" s="1" t="s">
        <v>29</v>
      </c>
      <c r="O16" s="1" t="s">
        <v>30</v>
      </c>
      <c r="P16" s="1" t="s">
        <v>110</v>
      </c>
      <c r="Q16" s="1" t="s">
        <v>53</v>
      </c>
      <c r="R16" s="1" t="s">
        <v>44</v>
      </c>
      <c r="S16" s="1" t="s">
        <v>45</v>
      </c>
      <c r="T16" s="14">
        <v>52871</v>
      </c>
      <c r="U16" s="1" t="s">
        <v>111</v>
      </c>
      <c r="V16" s="1" t="s">
        <v>36</v>
      </c>
      <c r="W16" s="3" t="str">
        <f t="shared" si="0"/>
        <v>37 tahun</v>
      </c>
      <c r="X16" s="1" t="s">
        <v>112</v>
      </c>
      <c r="Y16" s="1" t="s">
        <v>48</v>
      </c>
      <c r="Z16" s="2">
        <v>41275</v>
      </c>
      <c r="AA16" s="2">
        <v>41395</v>
      </c>
      <c r="AB16" s="2" t="s">
        <v>113</v>
      </c>
    </row>
    <row r="17" spans="1:28" x14ac:dyDescent="0.35">
      <c r="A17" s="12">
        <v>5272</v>
      </c>
      <c r="B17" s="12">
        <v>8208024</v>
      </c>
      <c r="C17" s="12" t="s">
        <v>25</v>
      </c>
      <c r="D17" s="12">
        <v>50007206</v>
      </c>
      <c r="E17" s="13" t="s">
        <v>114</v>
      </c>
      <c r="F17" s="1" t="str">
        <f>VLOOKUP(A17,[1]Sheet1!$A$2:$E$1141,5,0)</f>
        <v>GM of Communication, Legal &amp; GA</v>
      </c>
      <c r="G17" s="13" t="str">
        <f>VLOOKUP(A17,[1]Sheet1!$A$2:$F$1141,6,0)</f>
        <v>General Manager</v>
      </c>
      <c r="H17" s="1" t="s">
        <v>115</v>
      </c>
      <c r="I17" s="1" t="s">
        <v>28</v>
      </c>
      <c r="J17" s="1" t="str">
        <f>VLOOKUP(A17,[1]Sheet1!$A$2:$H$1141,8,0)</f>
        <v>Dept. of Communication, Legal &amp; GA</v>
      </c>
      <c r="K17" s="1" t="e">
        <f>VLOOKUP(A17,[1]Sheet1!$A$2:$I$1141,9,0)</f>
        <v>#REF!</v>
      </c>
      <c r="L17" s="1" t="e">
        <f>VLOOKUP(A17,[1]Sheet1!$A$2:$J$1141,10,0)</f>
        <v>#REF!</v>
      </c>
      <c r="M17" s="2">
        <v>30106</v>
      </c>
      <c r="N17" s="1" t="s">
        <v>29</v>
      </c>
      <c r="O17" s="1" t="s">
        <v>30</v>
      </c>
      <c r="P17" s="1" t="s">
        <v>116</v>
      </c>
      <c r="Q17" s="1" t="s">
        <v>117</v>
      </c>
      <c r="R17" s="1" t="s">
        <v>118</v>
      </c>
      <c r="S17" s="1" t="s">
        <v>119</v>
      </c>
      <c r="T17" s="14">
        <v>50587</v>
      </c>
      <c r="U17" s="1" t="s">
        <v>120</v>
      </c>
      <c r="V17" s="1" t="s">
        <v>36</v>
      </c>
      <c r="W17" s="3" t="str">
        <f t="shared" si="0"/>
        <v>44 tahun</v>
      </c>
      <c r="X17" s="1" t="s">
        <v>121</v>
      </c>
      <c r="Y17" s="1" t="s">
        <v>38</v>
      </c>
      <c r="Z17" s="2">
        <v>39814</v>
      </c>
      <c r="AA17" s="2">
        <v>39934</v>
      </c>
      <c r="AB17" s="2" t="s">
        <v>122</v>
      </c>
    </row>
    <row r="18" spans="1:28" x14ac:dyDescent="0.35">
      <c r="A18" s="12">
        <v>6167</v>
      </c>
      <c r="B18" s="12">
        <v>9112334</v>
      </c>
      <c r="C18" s="12" t="s">
        <v>103</v>
      </c>
      <c r="D18" s="12">
        <v>50007208</v>
      </c>
      <c r="E18" s="1" t="s">
        <v>123</v>
      </c>
      <c r="F18" s="1" t="str">
        <f>VLOOKUP(A18,[1]Sheet1!$A$2:$E$1141,5,0)</f>
        <v>Secretary of BOD</v>
      </c>
      <c r="G18" s="17" t="str">
        <f>VLOOKUP(A18,[1]Sheet1!$A$2:$F$1141,6,0)</f>
        <v>Supervisor</v>
      </c>
      <c r="H18" s="1" t="s">
        <v>115</v>
      </c>
      <c r="I18" s="1" t="s">
        <v>28</v>
      </c>
      <c r="J18" s="1" t="str">
        <f>VLOOKUP(A18,[1]Sheet1!$A$2:$H$1141,8,0)</f>
        <v>Dept. of Communication, Legal &amp; GA</v>
      </c>
      <c r="K18" s="1" t="e">
        <f>VLOOKUP(A18,[1]Sheet1!$A$2:$I$1141,9,0)</f>
        <v>#REF!</v>
      </c>
      <c r="L18" s="1" t="e">
        <f>VLOOKUP(A18,[1]Sheet1!$A$2:$J$1141,10,0)</f>
        <v>#REF!</v>
      </c>
      <c r="M18" s="2">
        <v>33323</v>
      </c>
      <c r="N18" s="1" t="s">
        <v>59</v>
      </c>
      <c r="O18" s="1" t="s">
        <v>30</v>
      </c>
      <c r="P18" s="1" t="s">
        <v>124</v>
      </c>
      <c r="Q18" s="1" t="s">
        <v>125</v>
      </c>
      <c r="R18" s="1" t="s">
        <v>126</v>
      </c>
      <c r="S18" s="1" t="s">
        <v>119</v>
      </c>
      <c r="T18" s="14">
        <v>53783</v>
      </c>
      <c r="U18" s="1" t="s">
        <v>127</v>
      </c>
      <c r="V18" s="1" t="s">
        <v>36</v>
      </c>
      <c r="W18" s="3" t="str">
        <f t="shared" si="0"/>
        <v>35 tahun</v>
      </c>
      <c r="X18" s="1" t="s">
        <v>121</v>
      </c>
      <c r="Y18" s="1" t="s">
        <v>48</v>
      </c>
      <c r="Z18" s="2">
        <v>41275</v>
      </c>
      <c r="AA18" s="2">
        <v>41426</v>
      </c>
      <c r="AB18" s="2" t="s">
        <v>128</v>
      </c>
    </row>
    <row r="19" spans="1:28" x14ac:dyDescent="0.35">
      <c r="A19" s="12">
        <v>5197</v>
      </c>
      <c r="B19" s="12">
        <v>7695302</v>
      </c>
      <c r="C19" s="12" t="s">
        <v>50</v>
      </c>
      <c r="D19" s="12">
        <v>50007210</v>
      </c>
      <c r="E19" s="1" t="s">
        <v>129</v>
      </c>
      <c r="F19" s="1" t="str">
        <f>VLOOKUP(A19,[1]Sheet1!$A$2:$E$1141,5,0)</f>
        <v>Secretary of BOD</v>
      </c>
      <c r="G19" s="17" t="str">
        <f>VLOOKUP(A19,[1]Sheet1!$A$2:$F$1141,6,0)</f>
        <v>Supervisor</v>
      </c>
      <c r="H19" s="1" t="s">
        <v>115</v>
      </c>
      <c r="I19" s="1" t="s">
        <v>28</v>
      </c>
      <c r="J19" s="1" t="str">
        <f>VLOOKUP(A19,[1]Sheet1!$A$2:$H$1141,8,0)</f>
        <v>Dept. of Communication, Legal &amp; GA</v>
      </c>
      <c r="K19" s="1" t="e">
        <f>VLOOKUP(A19,[1]Sheet1!$A$2:$I$1141,9,0)</f>
        <v>#REF!</v>
      </c>
      <c r="L19" s="1" t="e">
        <f>VLOOKUP(A19,[1]Sheet1!$A$2:$J$1141,10,0)</f>
        <v>#REF!</v>
      </c>
      <c r="M19" s="2">
        <v>27860</v>
      </c>
      <c r="N19" s="1" t="s">
        <v>59</v>
      </c>
      <c r="O19" s="1" t="s">
        <v>30</v>
      </c>
      <c r="P19" s="1" t="s">
        <v>130</v>
      </c>
      <c r="Q19" s="1" t="s">
        <v>125</v>
      </c>
      <c r="R19" s="1" t="s">
        <v>126</v>
      </c>
      <c r="S19" s="1" t="s">
        <v>119</v>
      </c>
      <c r="T19" s="14">
        <v>48335</v>
      </c>
      <c r="U19" s="1" t="s">
        <v>131</v>
      </c>
      <c r="V19" s="1" t="s">
        <v>36</v>
      </c>
      <c r="W19" s="3" t="str">
        <f t="shared" si="0"/>
        <v>50 tahun</v>
      </c>
      <c r="X19" s="1" t="s">
        <v>132</v>
      </c>
      <c r="Y19" s="1" t="s">
        <v>48</v>
      </c>
      <c r="Z19" s="2">
        <v>35034</v>
      </c>
      <c r="AA19" s="2">
        <v>35400</v>
      </c>
      <c r="AB19" s="2" t="s">
        <v>133</v>
      </c>
    </row>
    <row r="20" spans="1:28" x14ac:dyDescent="0.35">
      <c r="A20" s="12">
        <v>6040</v>
      </c>
      <c r="B20" s="12">
        <v>8912207</v>
      </c>
      <c r="C20" s="12" t="s">
        <v>103</v>
      </c>
      <c r="D20" s="12">
        <v>50021277</v>
      </c>
      <c r="E20" s="1" t="s">
        <v>134</v>
      </c>
      <c r="F20" s="1" t="str">
        <f>VLOOKUP(A20,[1]Sheet1!$A$2:$E$1141,5,0)</f>
        <v>Secretary of BOD</v>
      </c>
      <c r="G20" s="17" t="str">
        <f>VLOOKUP(A20,[1]Sheet1!$A$2:$F$1141,6,0)</f>
        <v>Supervisor</v>
      </c>
      <c r="H20" s="1" t="s">
        <v>115</v>
      </c>
      <c r="I20" s="1" t="s">
        <v>28</v>
      </c>
      <c r="J20" s="1" t="str">
        <f>VLOOKUP(A20,[1]Sheet1!$A$2:$H$1141,8,0)</f>
        <v>Dept. of Communication, Legal &amp; GA</v>
      </c>
      <c r="K20" s="1" t="e">
        <f>VLOOKUP(A20,[1]Sheet1!$A$2:$I$1141,9,0)</f>
        <v>#REF!</v>
      </c>
      <c r="L20" s="1" t="e">
        <f>VLOOKUP(A20,[1]Sheet1!$A$2:$J$1141,10,0)</f>
        <v>#REF!</v>
      </c>
      <c r="M20" s="2">
        <v>32731</v>
      </c>
      <c r="N20" s="1" t="s">
        <v>59</v>
      </c>
      <c r="O20" s="1" t="s">
        <v>30</v>
      </c>
      <c r="P20" s="1" t="s">
        <v>135</v>
      </c>
      <c r="Q20" s="1" t="s">
        <v>125</v>
      </c>
      <c r="R20" s="1" t="s">
        <v>126</v>
      </c>
      <c r="S20" s="1" t="s">
        <v>119</v>
      </c>
      <c r="T20" s="14">
        <v>53206</v>
      </c>
      <c r="U20" s="1" t="s">
        <v>136</v>
      </c>
      <c r="V20" s="1" t="s">
        <v>36</v>
      </c>
      <c r="W20" s="3" t="str">
        <f t="shared" si="0"/>
        <v>37 tahun</v>
      </c>
      <c r="X20" s="1" t="s">
        <v>137</v>
      </c>
      <c r="Y20" s="1" t="s">
        <v>56</v>
      </c>
      <c r="Z20" s="2">
        <v>41275</v>
      </c>
      <c r="AA20" s="2">
        <v>41395</v>
      </c>
      <c r="AB20" s="2" t="s">
        <v>138</v>
      </c>
    </row>
    <row r="21" spans="1:28" x14ac:dyDescent="0.35">
      <c r="A21" s="12">
        <v>5402</v>
      </c>
      <c r="B21" s="12">
        <v>8710057</v>
      </c>
      <c r="C21" s="12" t="s">
        <v>139</v>
      </c>
      <c r="D21" s="12">
        <v>50007330</v>
      </c>
      <c r="E21" s="15" t="s">
        <v>140</v>
      </c>
      <c r="F21" s="1" t="str">
        <f>VLOOKUP(A21,[1]Sheet1!$A$2:$E$1141,5,0)</f>
        <v>SM of Legal</v>
      </c>
      <c r="G21" s="15" t="str">
        <f>VLOOKUP(A21,[1]Sheet1!$A$2:$F$1141,6,0)</f>
        <v>Senior Manager</v>
      </c>
      <c r="H21" s="1" t="s">
        <v>141</v>
      </c>
      <c r="I21" s="1" t="s">
        <v>28</v>
      </c>
      <c r="J21" s="1" t="str">
        <f>VLOOKUP(A21,[1]Sheet1!$A$2:$H$1141,8,0)</f>
        <v>Dept. of Communication, Legal &amp; GA</v>
      </c>
      <c r="K21" s="1" t="str">
        <f>VLOOKUP(A21,[1]Sheet1!$A$2:$I$1141,9,0)</f>
        <v>Unit of Legal</v>
      </c>
      <c r="L21" s="1" t="e">
        <f>VLOOKUP(A21,[1]Sheet1!$A$2:$J$1141,10,0)</f>
        <v>#REF!</v>
      </c>
      <c r="M21" s="2">
        <v>32015</v>
      </c>
      <c r="N21" s="1" t="s">
        <v>59</v>
      </c>
      <c r="O21" s="1" t="s">
        <v>30</v>
      </c>
      <c r="P21" s="1" t="s">
        <v>142</v>
      </c>
      <c r="Q21" s="1" t="s">
        <v>143</v>
      </c>
      <c r="R21" s="1" t="s">
        <v>144</v>
      </c>
      <c r="S21" s="1" t="s">
        <v>145</v>
      </c>
      <c r="T21" s="14">
        <v>52475</v>
      </c>
      <c r="U21" s="1" t="s">
        <v>146</v>
      </c>
      <c r="V21" s="1" t="s">
        <v>36</v>
      </c>
      <c r="W21" s="3" t="str">
        <f t="shared" si="0"/>
        <v>39 tahun</v>
      </c>
      <c r="X21" s="1" t="s">
        <v>147</v>
      </c>
      <c r="Y21" s="1" t="s">
        <v>48</v>
      </c>
      <c r="Z21" s="2">
        <v>40544</v>
      </c>
      <c r="AA21" s="2">
        <v>40664</v>
      </c>
      <c r="AB21" s="2" t="s">
        <v>148</v>
      </c>
    </row>
    <row r="22" spans="1:28" x14ac:dyDescent="0.35">
      <c r="A22" s="12">
        <v>4824</v>
      </c>
      <c r="B22" s="12">
        <v>7296341</v>
      </c>
      <c r="C22" s="12" t="s">
        <v>149</v>
      </c>
      <c r="D22" s="12">
        <v>50061781</v>
      </c>
      <c r="E22" s="16" t="s">
        <v>150</v>
      </c>
      <c r="F22" s="1" t="str">
        <f>VLOOKUP(A22,[1]Sheet1!$A$2:$E$1141,5,0)</f>
        <v>Legal Officer (Jkt)</v>
      </c>
      <c r="G22" s="16" t="str">
        <f>VLOOKUP(A22,[1]Sheet1!$A$2:$F$1141,6,0)</f>
        <v>Manager</v>
      </c>
      <c r="H22" s="1" t="s">
        <v>151</v>
      </c>
      <c r="I22" s="1" t="s">
        <v>28</v>
      </c>
      <c r="J22" s="1" t="str">
        <f>VLOOKUP(A22,[1]Sheet1!$A$2:$H$1141,8,0)</f>
        <v>Dept. of Communication, Legal &amp; GA</v>
      </c>
      <c r="K22" s="1" t="str">
        <f>VLOOKUP(A22,[1]Sheet1!$A$2:$I$1141,9,0)</f>
        <v>Unit of Legal</v>
      </c>
      <c r="L22" s="1" t="str">
        <f>VLOOKUP(A22,[1]Sheet1!$A$2:$J$1141,10,0)</f>
        <v>Staff of legal</v>
      </c>
      <c r="M22" s="2">
        <v>26404</v>
      </c>
      <c r="N22" s="1" t="s">
        <v>59</v>
      </c>
      <c r="O22" s="1" t="s">
        <v>30</v>
      </c>
      <c r="P22" s="1" t="s">
        <v>152</v>
      </c>
      <c r="Q22" s="1" t="s">
        <v>153</v>
      </c>
      <c r="R22" s="1" t="s">
        <v>154</v>
      </c>
      <c r="S22" s="1" t="s">
        <v>155</v>
      </c>
      <c r="T22" s="14">
        <v>46874</v>
      </c>
      <c r="U22" s="1" t="s">
        <v>156</v>
      </c>
      <c r="V22" s="1" t="s">
        <v>36</v>
      </c>
      <c r="W22" s="3" t="str">
        <f t="shared" si="0"/>
        <v>54 tahun</v>
      </c>
      <c r="X22" s="1" t="s">
        <v>157</v>
      </c>
      <c r="Y22" s="1" t="s">
        <v>38</v>
      </c>
      <c r="Z22" s="2">
        <v>35125</v>
      </c>
      <c r="AA22" s="2">
        <v>35977</v>
      </c>
      <c r="AB22" s="2" t="s">
        <v>84</v>
      </c>
    </row>
    <row r="23" spans="1:28" x14ac:dyDescent="0.35">
      <c r="A23" s="12">
        <v>8180</v>
      </c>
      <c r="B23" s="12">
        <v>9923001</v>
      </c>
      <c r="C23" s="12" t="s">
        <v>158</v>
      </c>
      <c r="D23" s="12">
        <v>50065740</v>
      </c>
      <c r="E23" s="1" t="s">
        <v>159</v>
      </c>
      <c r="F23" s="1" t="str">
        <f>VLOOKUP(A23,[1]Sheet1!$A$2:$E$1141,5,0)</f>
        <v>Legal Jr Officer</v>
      </c>
      <c r="G23" s="17" t="str">
        <f>VLOOKUP(A23,[1]Sheet1!$A$2:$F$1141,6,0)</f>
        <v>Supervisor</v>
      </c>
      <c r="H23" s="1" t="s">
        <v>151</v>
      </c>
      <c r="I23" s="1" t="s">
        <v>28</v>
      </c>
      <c r="J23" s="1" t="str">
        <f>VLOOKUP(A23,[1]Sheet1!$A$2:$H$1141,8,0)</f>
        <v>Dept. of Communication, Legal &amp; GA</v>
      </c>
      <c r="K23" s="1" t="str">
        <f>VLOOKUP(A23,[1]Sheet1!$A$2:$I$1141,9,0)</f>
        <v>Unit of Legal</v>
      </c>
      <c r="L23" s="1" t="str">
        <f>VLOOKUP(A23,[1]Sheet1!$A$2:$J$1141,10,0)</f>
        <v>Staff of legal</v>
      </c>
      <c r="M23" s="2">
        <v>36475</v>
      </c>
      <c r="N23" s="1" t="s">
        <v>59</v>
      </c>
      <c r="O23" s="1" t="s">
        <v>30</v>
      </c>
      <c r="P23" s="1" t="s">
        <v>160</v>
      </c>
      <c r="Q23" s="1" t="s">
        <v>153</v>
      </c>
      <c r="R23" s="1" t="s">
        <v>154</v>
      </c>
      <c r="S23" s="1" t="s">
        <v>155</v>
      </c>
      <c r="T23" s="14">
        <v>56949</v>
      </c>
      <c r="U23" s="1" t="s">
        <v>161</v>
      </c>
      <c r="V23" s="1" t="s">
        <v>36</v>
      </c>
      <c r="W23" s="3" t="str">
        <f t="shared" si="0"/>
        <v>26 tahun</v>
      </c>
      <c r="X23" s="1" t="s">
        <v>162</v>
      </c>
      <c r="Y23" s="1" t="s">
        <v>48</v>
      </c>
      <c r="Z23" s="2">
        <v>44986</v>
      </c>
      <c r="AA23" s="2">
        <v>45352</v>
      </c>
      <c r="AB23" s="2" t="s">
        <v>163</v>
      </c>
    </row>
    <row r="24" spans="1:28" x14ac:dyDescent="0.35">
      <c r="A24" s="12">
        <v>4956</v>
      </c>
      <c r="B24" s="12">
        <v>7302220</v>
      </c>
      <c r="C24" s="12" t="s">
        <v>164</v>
      </c>
      <c r="D24" s="12">
        <v>50007332</v>
      </c>
      <c r="E24" s="1" t="s">
        <v>165</v>
      </c>
      <c r="F24" s="1" t="str">
        <f>VLOOKUP(A24,[1]Sheet1!$A$2:$E$1141,5,0)</f>
        <v>D Legal Jr Officer</v>
      </c>
      <c r="G24" s="17" t="str">
        <f>VLOOKUP(A24,[1]Sheet1!$A$2:$F$1141,6,0)</f>
        <v>Supervisor</v>
      </c>
      <c r="H24" s="1" t="s">
        <v>151</v>
      </c>
      <c r="I24" s="1" t="s">
        <v>28</v>
      </c>
      <c r="J24" s="1" t="str">
        <f>VLOOKUP(A24,[1]Sheet1!$A$2:$H$1141,8,0)</f>
        <v>Dept. of Communication, Legal &amp; GA</v>
      </c>
      <c r="K24" s="1" t="str">
        <f>VLOOKUP(A24,[1]Sheet1!$A$2:$I$1141,9,0)</f>
        <v>Unit of Legal</v>
      </c>
      <c r="L24" s="1" t="str">
        <f>VLOOKUP(A24,[1]Sheet1!$A$2:$J$1141,10,0)</f>
        <v>Staff of legal</v>
      </c>
      <c r="M24" s="2">
        <v>26912</v>
      </c>
      <c r="N24" s="1" t="s">
        <v>29</v>
      </c>
      <c r="O24" s="1" t="s">
        <v>30</v>
      </c>
      <c r="P24" s="1" t="s">
        <v>166</v>
      </c>
      <c r="Q24" s="1" t="s">
        <v>153</v>
      </c>
      <c r="R24" s="1" t="s">
        <v>154</v>
      </c>
      <c r="S24" s="1" t="s">
        <v>155</v>
      </c>
      <c r="T24" s="14">
        <v>47392</v>
      </c>
      <c r="U24" s="1" t="s">
        <v>167</v>
      </c>
      <c r="V24" s="1" t="s">
        <v>36</v>
      </c>
      <c r="W24" s="3" t="str">
        <f t="shared" si="0"/>
        <v>52 tahun</v>
      </c>
      <c r="X24" s="1" t="s">
        <v>168</v>
      </c>
      <c r="Y24" s="1" t="s">
        <v>48</v>
      </c>
      <c r="Z24" s="2">
        <v>37469</v>
      </c>
      <c r="AA24" s="2">
        <v>38718</v>
      </c>
      <c r="AB24" s="2" t="s">
        <v>169</v>
      </c>
    </row>
    <row r="25" spans="1:28" x14ac:dyDescent="0.35">
      <c r="A25" s="12">
        <v>6044</v>
      </c>
      <c r="B25" s="12">
        <v>8912212</v>
      </c>
      <c r="C25" s="12" t="s">
        <v>103</v>
      </c>
      <c r="D25" s="12">
        <v>50063881</v>
      </c>
      <c r="E25" s="1" t="s">
        <v>170</v>
      </c>
      <c r="F25" s="1" t="str">
        <f>VLOOKUP(A25,[1]Sheet1!$A$2:$E$1141,5,0)</f>
        <v>D Legal Jr Officer</v>
      </c>
      <c r="G25" s="17" t="str">
        <f>VLOOKUP(A25,[1]Sheet1!$A$2:$F$1141,6,0)</f>
        <v>Supervisor</v>
      </c>
      <c r="H25" s="1" t="s">
        <v>151</v>
      </c>
      <c r="I25" s="1" t="s">
        <v>28</v>
      </c>
      <c r="J25" s="1" t="str">
        <f>VLOOKUP(A25,[1]Sheet1!$A$2:$H$1141,8,0)</f>
        <v>Dept. of Communication, Legal &amp; GA</v>
      </c>
      <c r="K25" s="1" t="str">
        <f>VLOOKUP(A25,[1]Sheet1!$A$2:$I$1141,9,0)</f>
        <v>Unit of Legal</v>
      </c>
      <c r="L25" s="1" t="str">
        <f>VLOOKUP(A25,[1]Sheet1!$A$2:$J$1141,10,0)</f>
        <v>Staff of legal</v>
      </c>
      <c r="M25" s="2">
        <v>32752</v>
      </c>
      <c r="N25" s="1" t="s">
        <v>29</v>
      </c>
      <c r="O25" s="1" t="s">
        <v>30</v>
      </c>
      <c r="P25" s="1" t="s">
        <v>171</v>
      </c>
      <c r="Q25" s="1" t="s">
        <v>153</v>
      </c>
      <c r="R25" s="1" t="s">
        <v>154</v>
      </c>
      <c r="S25" s="1" t="s">
        <v>155</v>
      </c>
      <c r="T25" s="14">
        <v>53236</v>
      </c>
      <c r="U25" s="1" t="s">
        <v>172</v>
      </c>
      <c r="V25" s="1" t="s">
        <v>36</v>
      </c>
      <c r="W25" s="3" t="str">
        <f t="shared" si="0"/>
        <v>36 tahun</v>
      </c>
      <c r="X25" s="1" t="s">
        <v>173</v>
      </c>
      <c r="Y25" s="1" t="s">
        <v>48</v>
      </c>
      <c r="Z25" s="2">
        <v>41275</v>
      </c>
      <c r="AA25" s="2">
        <v>41426</v>
      </c>
      <c r="AB25" s="2" t="s">
        <v>174</v>
      </c>
    </row>
    <row r="26" spans="1:28" x14ac:dyDescent="0.35">
      <c r="A26" s="12">
        <v>6052</v>
      </c>
      <c r="B26" s="12">
        <v>8912220</v>
      </c>
      <c r="C26" s="12" t="s">
        <v>103</v>
      </c>
      <c r="D26" s="12">
        <v>50007334</v>
      </c>
      <c r="E26" s="1" t="s">
        <v>175</v>
      </c>
      <c r="F26" s="1" t="str">
        <f>VLOOKUP(A26,[1]Sheet1!$A$2:$E$1141,5,0)</f>
        <v>Legal Jr Officer</v>
      </c>
      <c r="G26" s="17" t="str">
        <f>VLOOKUP(A26,[1]Sheet1!$A$2:$F$1141,6,0)</f>
        <v>Supervisor</v>
      </c>
      <c r="H26" s="1" t="s">
        <v>151</v>
      </c>
      <c r="I26" s="1" t="s">
        <v>28</v>
      </c>
      <c r="J26" s="1" t="str">
        <f>VLOOKUP(A26,[1]Sheet1!$A$2:$H$1141,8,0)</f>
        <v>Dept. of Communication, Legal &amp; GA</v>
      </c>
      <c r="K26" s="1" t="str">
        <f>VLOOKUP(A26,[1]Sheet1!$A$2:$I$1141,9,0)</f>
        <v>Unit of Legal</v>
      </c>
      <c r="L26" s="1" t="str">
        <f>VLOOKUP(A26,[1]Sheet1!$A$2:$J$1141,10,0)</f>
        <v>Staff of legal</v>
      </c>
      <c r="M26" s="2">
        <v>32784</v>
      </c>
      <c r="N26" s="1" t="s">
        <v>29</v>
      </c>
      <c r="O26" s="1" t="s">
        <v>30</v>
      </c>
      <c r="P26" s="1" t="s">
        <v>176</v>
      </c>
      <c r="Q26" s="1" t="s">
        <v>153</v>
      </c>
      <c r="R26" s="1" t="s">
        <v>154</v>
      </c>
      <c r="S26" s="1" t="s">
        <v>155</v>
      </c>
      <c r="T26" s="14">
        <v>53267</v>
      </c>
      <c r="U26" s="1" t="s">
        <v>177</v>
      </c>
      <c r="V26" s="1" t="s">
        <v>36</v>
      </c>
      <c r="W26" s="3" t="str">
        <f t="shared" si="0"/>
        <v>36 tahun</v>
      </c>
      <c r="X26" s="1" t="s">
        <v>121</v>
      </c>
      <c r="Y26" s="1" t="s">
        <v>48</v>
      </c>
      <c r="Z26" s="2">
        <v>41275</v>
      </c>
      <c r="AA26" s="2">
        <v>41426</v>
      </c>
      <c r="AB26" s="2" t="s">
        <v>178</v>
      </c>
    </row>
    <row r="27" spans="1:28" x14ac:dyDescent="0.35">
      <c r="A27" s="12">
        <v>5134</v>
      </c>
      <c r="B27" s="12">
        <v>7595126</v>
      </c>
      <c r="C27" s="12" t="s">
        <v>50</v>
      </c>
      <c r="D27" s="12">
        <v>50007298</v>
      </c>
      <c r="E27" s="15" t="s">
        <v>179</v>
      </c>
      <c r="F27" s="1" t="str">
        <f>VLOOKUP(A27,[1]Sheet1!$A$2:$E$1141,5,0)</f>
        <v>SM of Communication &amp; Secretariate</v>
      </c>
      <c r="G27" s="15" t="str">
        <f>VLOOKUP(A27,[1]Sheet1!$A$2:$F$1141,6,0)</f>
        <v>Senior Manager</v>
      </c>
      <c r="H27" s="1" t="s">
        <v>180</v>
      </c>
      <c r="I27" s="1" t="s">
        <v>28</v>
      </c>
      <c r="J27" s="1" t="str">
        <f>VLOOKUP(A27,[1]Sheet1!$A$2:$H$1141,8,0)</f>
        <v>Dept. of Communication, Legal &amp; GA</v>
      </c>
      <c r="K27" s="1" t="str">
        <f>VLOOKUP(A27,[1]Sheet1!$A$2:$I$1141,9,0)</f>
        <v>Unit of Communication &amp; Secretariate</v>
      </c>
      <c r="L27" s="1" t="e">
        <f>VLOOKUP(A27,[1]Sheet1!$A$2:$J$1141,10,0)</f>
        <v>#REF!</v>
      </c>
      <c r="M27" s="2">
        <v>27523</v>
      </c>
      <c r="N27" s="1" t="s">
        <v>29</v>
      </c>
      <c r="O27" s="1" t="s">
        <v>30</v>
      </c>
      <c r="P27" s="1" t="s">
        <v>181</v>
      </c>
      <c r="Q27" s="1" t="s">
        <v>182</v>
      </c>
      <c r="R27" s="1" t="s">
        <v>183</v>
      </c>
      <c r="S27" s="1" t="s">
        <v>184</v>
      </c>
      <c r="T27" s="14">
        <v>48000</v>
      </c>
      <c r="U27" s="1" t="s">
        <v>185</v>
      </c>
      <c r="V27" s="1" t="s">
        <v>186</v>
      </c>
      <c r="W27" s="3" t="str">
        <f t="shared" si="0"/>
        <v>51 tahun</v>
      </c>
      <c r="X27" s="1" t="s">
        <v>55</v>
      </c>
      <c r="Y27" s="1" t="s">
        <v>48</v>
      </c>
      <c r="Z27" s="2">
        <v>34932</v>
      </c>
      <c r="AA27" s="2">
        <v>35309</v>
      </c>
      <c r="AB27" s="2" t="s">
        <v>187</v>
      </c>
    </row>
    <row r="28" spans="1:28" x14ac:dyDescent="0.35">
      <c r="A28" s="12">
        <v>6078</v>
      </c>
      <c r="B28" s="12">
        <v>9012245</v>
      </c>
      <c r="C28" s="12" t="s">
        <v>103</v>
      </c>
      <c r="D28" s="12">
        <v>50007316</v>
      </c>
      <c r="E28" s="1" t="s">
        <v>188</v>
      </c>
      <c r="F28" s="1" t="str">
        <f>VLOOKUP(A28,[1]Sheet1!$A$2:$E$1141,5,0)</f>
        <v>Comm. &amp; Public Relations Jr Officer</v>
      </c>
      <c r="G28" s="17" t="str">
        <f>VLOOKUP(A28,[1]Sheet1!$A$2:$F$1141,6,0)</f>
        <v>Supervisor</v>
      </c>
      <c r="H28" s="1" t="s">
        <v>189</v>
      </c>
      <c r="I28" s="1" t="s">
        <v>28</v>
      </c>
      <c r="J28" s="1" t="str">
        <f>VLOOKUP(A28,[1]Sheet1!$A$2:$H$1141,8,0)</f>
        <v>Dept. of Communication, Legal &amp; GA</v>
      </c>
      <c r="K28" s="1" t="str">
        <f>VLOOKUP(A28,[1]Sheet1!$A$2:$I$1141,9,0)</f>
        <v>Unit of Communication &amp; Secretariate</v>
      </c>
      <c r="L28" s="1" t="str">
        <f>VLOOKUP(A28,[1]Sheet1!$A$2:$J$1141,10,0)</f>
        <v>Staff of Communication &amp; Public Relation</v>
      </c>
      <c r="M28" s="2">
        <v>32950</v>
      </c>
      <c r="N28" s="1" t="s">
        <v>29</v>
      </c>
      <c r="O28" s="1" t="s">
        <v>30</v>
      </c>
      <c r="P28" s="1" t="s">
        <v>190</v>
      </c>
      <c r="Q28" s="1" t="s">
        <v>191</v>
      </c>
      <c r="R28" s="1" t="s">
        <v>192</v>
      </c>
      <c r="S28" s="1" t="s">
        <v>193</v>
      </c>
      <c r="T28" s="14">
        <v>53418</v>
      </c>
      <c r="U28" s="1" t="s">
        <v>194</v>
      </c>
      <c r="V28" s="1" t="s">
        <v>36</v>
      </c>
      <c r="W28" s="3" t="str">
        <f t="shared" si="0"/>
        <v>36 tahun</v>
      </c>
      <c r="X28" s="1" t="s">
        <v>37</v>
      </c>
      <c r="Y28" s="1" t="s">
        <v>56</v>
      </c>
      <c r="Z28" s="2">
        <v>41275</v>
      </c>
      <c r="AA28" s="2">
        <v>41395</v>
      </c>
      <c r="AB28" s="2" t="s">
        <v>195</v>
      </c>
    </row>
    <row r="29" spans="1:28" x14ac:dyDescent="0.35">
      <c r="A29" s="12">
        <v>6186</v>
      </c>
      <c r="B29" s="12">
        <v>9112352</v>
      </c>
      <c r="C29" s="12" t="s">
        <v>103</v>
      </c>
      <c r="D29" s="12">
        <v>50007313</v>
      </c>
      <c r="E29" s="1" t="s">
        <v>196</v>
      </c>
      <c r="F29" s="1" t="str">
        <f>VLOOKUP(A29,[1]Sheet1!$A$2:$E$1141,5,0)</f>
        <v>Comm. &amp; Public Relations Jr Officer</v>
      </c>
      <c r="G29" s="17" t="str">
        <f>VLOOKUP(A29,[1]Sheet1!$A$2:$F$1141,6,0)</f>
        <v>Supervisor</v>
      </c>
      <c r="H29" s="1" t="s">
        <v>189</v>
      </c>
      <c r="I29" s="1" t="s">
        <v>28</v>
      </c>
      <c r="J29" s="1" t="str">
        <f>VLOOKUP(A29,[1]Sheet1!$A$2:$H$1141,8,0)</f>
        <v>Dept. of Communication, Legal &amp; GA</v>
      </c>
      <c r="K29" s="1" t="str">
        <f>VLOOKUP(A29,[1]Sheet1!$A$2:$I$1141,9,0)</f>
        <v>Unit of Communication &amp; Secretariate</v>
      </c>
      <c r="L29" s="1" t="str">
        <f>VLOOKUP(A29,[1]Sheet1!$A$2:$J$1141,10,0)</f>
        <v>Staff of Communication &amp; Public Relation</v>
      </c>
      <c r="M29" s="2">
        <v>33417</v>
      </c>
      <c r="N29" s="1" t="s">
        <v>29</v>
      </c>
      <c r="O29" s="1" t="s">
        <v>30</v>
      </c>
      <c r="P29" s="1" t="s">
        <v>197</v>
      </c>
      <c r="Q29" s="1" t="s">
        <v>191</v>
      </c>
      <c r="R29" s="1" t="s">
        <v>192</v>
      </c>
      <c r="S29" s="1" t="s">
        <v>193</v>
      </c>
      <c r="T29" s="14">
        <v>53874</v>
      </c>
      <c r="U29" s="1" t="s">
        <v>198</v>
      </c>
      <c r="V29" s="1" t="s">
        <v>36</v>
      </c>
      <c r="W29" s="3" t="str">
        <f t="shared" si="0"/>
        <v>35 tahun</v>
      </c>
      <c r="X29" s="1" t="s">
        <v>199</v>
      </c>
      <c r="Y29" s="1" t="s">
        <v>48</v>
      </c>
      <c r="Z29" s="2">
        <v>41275</v>
      </c>
      <c r="AA29" s="2">
        <v>41365</v>
      </c>
      <c r="AB29" s="2" t="s">
        <v>200</v>
      </c>
    </row>
    <row r="30" spans="1:28" x14ac:dyDescent="0.35">
      <c r="A30" s="12">
        <v>5991</v>
      </c>
      <c r="B30" s="12">
        <v>8812158</v>
      </c>
      <c r="C30" s="12" t="s">
        <v>103</v>
      </c>
      <c r="D30" s="12">
        <v>50069276</v>
      </c>
      <c r="E30" s="1" t="s">
        <v>201</v>
      </c>
      <c r="F30" s="1" t="str">
        <f>VLOOKUP(A30,[1]Sheet1!$A$2:$E$1141,5,0)</f>
        <v>Comm. &amp; Public Relations Jr Officer</v>
      </c>
      <c r="G30" s="17" t="str">
        <f>VLOOKUP(A30,[1]Sheet1!$A$2:$F$1141,6,0)</f>
        <v>Supervisor</v>
      </c>
      <c r="H30" s="1" t="s">
        <v>189</v>
      </c>
      <c r="I30" s="1" t="s">
        <v>28</v>
      </c>
      <c r="J30" s="1" t="str">
        <f>VLOOKUP(A30,[1]Sheet1!$A$2:$H$1141,8,0)</f>
        <v>Dept. of Communication, Legal &amp; GA</v>
      </c>
      <c r="K30" s="1" t="str">
        <f>VLOOKUP(A30,[1]Sheet1!$A$2:$I$1141,9,0)</f>
        <v>Unit of Communication &amp; Secretariate</v>
      </c>
      <c r="L30" s="1" t="str">
        <f>VLOOKUP(A30,[1]Sheet1!$A$2:$J$1141,10,0)</f>
        <v>Staff of Communication &amp; Public Relation</v>
      </c>
      <c r="M30" s="2">
        <v>32476</v>
      </c>
      <c r="N30" s="1" t="s">
        <v>29</v>
      </c>
      <c r="O30" s="1" t="s">
        <v>30</v>
      </c>
      <c r="P30" s="1" t="s">
        <v>202</v>
      </c>
      <c r="Q30" s="1" t="s">
        <v>191</v>
      </c>
      <c r="R30" s="1" t="s">
        <v>192</v>
      </c>
      <c r="S30" s="1" t="s">
        <v>193</v>
      </c>
      <c r="T30" s="14">
        <v>52932</v>
      </c>
      <c r="U30" s="1" t="s">
        <v>203</v>
      </c>
      <c r="V30" s="1" t="s">
        <v>36</v>
      </c>
      <c r="W30" s="3" t="str">
        <f t="shared" si="0"/>
        <v>37 tahun</v>
      </c>
      <c r="X30" s="1" t="s">
        <v>204</v>
      </c>
      <c r="Y30" s="1" t="s">
        <v>68</v>
      </c>
      <c r="Z30" s="2">
        <v>41275</v>
      </c>
      <c r="AA30" s="2">
        <v>41395</v>
      </c>
      <c r="AB30" s="2" t="s">
        <v>205</v>
      </c>
    </row>
    <row r="31" spans="1:28" x14ac:dyDescent="0.35">
      <c r="A31" s="12">
        <v>5158</v>
      </c>
      <c r="B31" s="12">
        <v>7595293</v>
      </c>
      <c r="C31" s="12" t="s">
        <v>50</v>
      </c>
      <c r="D31" s="12">
        <v>50066713</v>
      </c>
      <c r="E31" s="16" t="s">
        <v>206</v>
      </c>
      <c r="F31" s="1" t="str">
        <f>VLOOKUP(A31,[1]Sheet1!$A$2:$E$1141,5,0)</f>
        <v>Secretariate &amp; Protocol Officer</v>
      </c>
      <c r="G31" s="16" t="str">
        <f>VLOOKUP(A31,[1]Sheet1!$A$2:$F$1141,6,0)</f>
        <v>Manager</v>
      </c>
      <c r="H31" s="1" t="s">
        <v>207</v>
      </c>
      <c r="I31" s="1" t="s">
        <v>28</v>
      </c>
      <c r="J31" s="1" t="str">
        <f>VLOOKUP(A31,[1]Sheet1!$A$2:$H$1141,8,0)</f>
        <v>Dept. of Communication, Legal &amp; GA</v>
      </c>
      <c r="K31" s="1" t="str">
        <f>VLOOKUP(A31,[1]Sheet1!$A$2:$I$1141,9,0)</f>
        <v>Unit of Communication &amp; Secretariate</v>
      </c>
      <c r="L31" s="1" t="str">
        <f>VLOOKUP(A31,[1]Sheet1!$A$2:$J$1141,10,0)</f>
        <v>Staff of Secretariate &amp; Protocol</v>
      </c>
      <c r="M31" s="2">
        <v>27637</v>
      </c>
      <c r="N31" s="1" t="s">
        <v>59</v>
      </c>
      <c r="O31" s="1" t="s">
        <v>30</v>
      </c>
      <c r="P31" s="1" t="s">
        <v>208</v>
      </c>
      <c r="Q31" s="1" t="s">
        <v>209</v>
      </c>
      <c r="R31" s="1" t="s">
        <v>210</v>
      </c>
      <c r="S31" s="1" t="s">
        <v>211</v>
      </c>
      <c r="T31" s="14">
        <v>48092</v>
      </c>
      <c r="U31" s="1" t="s">
        <v>212</v>
      </c>
      <c r="V31" s="1" t="s">
        <v>36</v>
      </c>
      <c r="W31" s="3" t="str">
        <f t="shared" si="0"/>
        <v>51 tahun</v>
      </c>
      <c r="X31" s="1" t="s">
        <v>55</v>
      </c>
      <c r="Y31" s="1" t="s">
        <v>48</v>
      </c>
      <c r="Z31" s="2">
        <v>35034</v>
      </c>
      <c r="AA31" s="2">
        <v>35400</v>
      </c>
      <c r="AB31" s="2" t="s">
        <v>213</v>
      </c>
    </row>
    <row r="32" spans="1:28" x14ac:dyDescent="0.35">
      <c r="A32" s="12">
        <v>4946</v>
      </c>
      <c r="B32" s="12">
        <v>7395276</v>
      </c>
      <c r="C32" s="12" t="s">
        <v>50</v>
      </c>
      <c r="D32" s="12">
        <v>50007320</v>
      </c>
      <c r="E32" s="1" t="s">
        <v>214</v>
      </c>
      <c r="F32" s="1" t="str">
        <f>VLOOKUP(A32,[1]Sheet1!$A$2:$E$1141,5,0)</f>
        <v>Secretariate &amp; Protocol Jr Officer</v>
      </c>
      <c r="G32" s="17" t="str">
        <f>VLOOKUP(A32,[1]Sheet1!$A$2:$F$1141,6,0)</f>
        <v>Supervisor</v>
      </c>
      <c r="H32" s="1" t="s">
        <v>207</v>
      </c>
      <c r="I32" s="1" t="s">
        <v>28</v>
      </c>
      <c r="J32" s="1" t="str">
        <f>VLOOKUP(A32,[1]Sheet1!$A$2:$H$1141,8,0)</f>
        <v>Dept. of Communication, Legal &amp; GA</v>
      </c>
      <c r="K32" s="1" t="str">
        <f>VLOOKUP(A32,[1]Sheet1!$A$2:$I$1141,9,0)</f>
        <v>Unit of Communication &amp; Secretariate</v>
      </c>
      <c r="L32" s="1" t="str">
        <f>VLOOKUP(A32,[1]Sheet1!$A$2:$J$1141,10,0)</f>
        <v>Staff of Secretariate &amp; Protocol</v>
      </c>
      <c r="M32" s="2">
        <v>26854</v>
      </c>
      <c r="N32" s="1" t="s">
        <v>59</v>
      </c>
      <c r="O32" s="1" t="s">
        <v>30</v>
      </c>
      <c r="P32" s="1" t="s">
        <v>215</v>
      </c>
      <c r="Q32" s="1" t="s">
        <v>209</v>
      </c>
      <c r="R32" s="1" t="s">
        <v>210</v>
      </c>
      <c r="S32" s="1" t="s">
        <v>211</v>
      </c>
      <c r="T32" s="14">
        <v>47331</v>
      </c>
      <c r="U32" s="1" t="s">
        <v>216</v>
      </c>
      <c r="V32" s="1" t="s">
        <v>186</v>
      </c>
      <c r="W32" s="3" t="str">
        <f t="shared" si="0"/>
        <v>53 tahun</v>
      </c>
      <c r="X32" s="1" t="s">
        <v>217</v>
      </c>
      <c r="Y32" s="1" t="s">
        <v>56</v>
      </c>
      <c r="Z32" s="2">
        <v>35034</v>
      </c>
      <c r="AA32" s="2">
        <v>35400</v>
      </c>
      <c r="AB32" s="2" t="s">
        <v>218</v>
      </c>
    </row>
    <row r="33" spans="1:28" x14ac:dyDescent="0.35">
      <c r="A33" s="12">
        <v>4549</v>
      </c>
      <c r="B33" s="12">
        <v>7306426</v>
      </c>
      <c r="C33" s="12" t="s">
        <v>219</v>
      </c>
      <c r="D33" s="12">
        <v>50061952</v>
      </c>
      <c r="E33" s="1" t="s">
        <v>220</v>
      </c>
      <c r="F33" s="1" t="str">
        <f>VLOOKUP(A33,[1]Sheet1!$A$2:$E$1141,5,0)</f>
        <v>Secretariate &amp; Protocol Jr Officer</v>
      </c>
      <c r="G33" s="17" t="str">
        <f>VLOOKUP(A33,[1]Sheet1!$A$2:$F$1141,6,0)</f>
        <v>Supervisor</v>
      </c>
      <c r="H33" s="1" t="s">
        <v>207</v>
      </c>
      <c r="I33" s="1" t="s">
        <v>28</v>
      </c>
      <c r="J33" s="1" t="str">
        <f>VLOOKUP(A33,[1]Sheet1!$A$2:$H$1141,8,0)</f>
        <v>Dept. of Communication, Legal &amp; GA</v>
      </c>
      <c r="K33" s="1" t="str">
        <f>VLOOKUP(A33,[1]Sheet1!$A$2:$I$1141,9,0)</f>
        <v>Unit of Communication &amp; Secretariate</v>
      </c>
      <c r="L33" s="1" t="str">
        <f>VLOOKUP(A33,[1]Sheet1!$A$2:$J$1141,10,0)</f>
        <v>Staff of Secretariate &amp; Protocol</v>
      </c>
      <c r="M33" s="2">
        <v>26999</v>
      </c>
      <c r="N33" s="1" t="s">
        <v>29</v>
      </c>
      <c r="O33" s="1" t="s">
        <v>30</v>
      </c>
      <c r="P33" s="1" t="s">
        <v>221</v>
      </c>
      <c r="Q33" s="1" t="s">
        <v>209</v>
      </c>
      <c r="R33" s="1" t="s">
        <v>210</v>
      </c>
      <c r="S33" s="1" t="s">
        <v>211</v>
      </c>
      <c r="T33" s="14">
        <v>47484</v>
      </c>
      <c r="U33" s="1" t="s">
        <v>222</v>
      </c>
      <c r="V33" s="1" t="s">
        <v>36</v>
      </c>
      <c r="W33" s="3" t="str">
        <f t="shared" si="0"/>
        <v>52 tahun</v>
      </c>
      <c r="X33" s="1" t="s">
        <v>37</v>
      </c>
      <c r="Y33" s="1" t="s">
        <v>56</v>
      </c>
      <c r="Z33" s="2">
        <v>38718</v>
      </c>
      <c r="AA33" s="2">
        <v>41030</v>
      </c>
      <c r="AB33" s="2" t="s">
        <v>223</v>
      </c>
    </row>
    <row r="34" spans="1:28" x14ac:dyDescent="0.35">
      <c r="A34" s="12">
        <v>4735</v>
      </c>
      <c r="B34" s="12">
        <v>7106331</v>
      </c>
      <c r="C34" s="12" t="s">
        <v>219</v>
      </c>
      <c r="D34" s="12">
        <v>50062550</v>
      </c>
      <c r="E34" s="1" t="s">
        <v>224</v>
      </c>
      <c r="F34" s="1" t="str">
        <f>VLOOKUP(A34,[1]Sheet1!$A$2:$E$1141,5,0)</f>
        <v>Secretariate &amp; Protocol Jr Officer</v>
      </c>
      <c r="G34" s="17" t="str">
        <f>VLOOKUP(A34,[1]Sheet1!$A$2:$F$1141,6,0)</f>
        <v>Supervisor</v>
      </c>
      <c r="H34" s="1" t="s">
        <v>207</v>
      </c>
      <c r="I34" s="1" t="s">
        <v>28</v>
      </c>
      <c r="J34" s="1" t="str">
        <f>VLOOKUP(A34,[1]Sheet1!$A$2:$H$1141,8,0)</f>
        <v>Dept. of Communication, Legal &amp; GA</v>
      </c>
      <c r="K34" s="1" t="str">
        <f>VLOOKUP(A34,[1]Sheet1!$A$2:$I$1141,9,0)</f>
        <v>Unit of Communication &amp; Secretariate</v>
      </c>
      <c r="L34" s="1" t="str">
        <f>VLOOKUP(A34,[1]Sheet1!$A$2:$J$1141,10,0)</f>
        <v>Staff of Secretariate &amp; Protocol</v>
      </c>
      <c r="M34" s="2">
        <v>26197</v>
      </c>
      <c r="N34" s="1" t="s">
        <v>29</v>
      </c>
      <c r="O34" s="1" t="s">
        <v>30</v>
      </c>
      <c r="P34" s="1" t="s">
        <v>225</v>
      </c>
      <c r="Q34" s="1" t="s">
        <v>209</v>
      </c>
      <c r="R34" s="1" t="s">
        <v>210</v>
      </c>
      <c r="S34" s="1" t="s">
        <v>211</v>
      </c>
      <c r="T34" s="14">
        <v>46661</v>
      </c>
      <c r="U34" s="1" t="s">
        <v>226</v>
      </c>
      <c r="V34" s="1" t="s">
        <v>36</v>
      </c>
      <c r="W34" s="3" t="str">
        <f t="shared" si="0"/>
        <v>54 tahun</v>
      </c>
      <c r="X34" s="1" t="s">
        <v>204</v>
      </c>
      <c r="Y34" s="1" t="s">
        <v>48</v>
      </c>
      <c r="Z34" s="2">
        <v>38718</v>
      </c>
      <c r="AA34" s="2">
        <v>41030</v>
      </c>
      <c r="AB34" s="2" t="s">
        <v>84</v>
      </c>
    </row>
    <row r="35" spans="1:28" x14ac:dyDescent="0.35">
      <c r="A35" s="12">
        <v>4448</v>
      </c>
      <c r="B35" s="12">
        <v>7106328</v>
      </c>
      <c r="C35" s="12" t="s">
        <v>219</v>
      </c>
      <c r="D35" s="12">
        <v>50066714</v>
      </c>
      <c r="E35" s="1" t="s">
        <v>227</v>
      </c>
      <c r="F35" s="1" t="str">
        <f>VLOOKUP(A35,[1]Sheet1!$A$2:$E$1141,5,0)</f>
        <v>Secretariate &amp; Protocol Jr Officer</v>
      </c>
      <c r="G35" s="17" t="str">
        <f>VLOOKUP(A35,[1]Sheet1!$A$2:$F$1141,6,0)</f>
        <v>Supervisor</v>
      </c>
      <c r="H35" s="1" t="s">
        <v>207</v>
      </c>
      <c r="I35" s="1" t="s">
        <v>28</v>
      </c>
      <c r="J35" s="1" t="str">
        <f>VLOOKUP(A35,[1]Sheet1!$A$2:$H$1141,8,0)</f>
        <v>Dept. of Communication, Legal &amp; GA</v>
      </c>
      <c r="K35" s="1" t="str">
        <f>VLOOKUP(A35,[1]Sheet1!$A$2:$I$1141,9,0)</f>
        <v>Unit of Communication &amp; Secretariate</v>
      </c>
      <c r="L35" s="1" t="str">
        <f>VLOOKUP(A35,[1]Sheet1!$A$2:$J$1141,10,0)</f>
        <v>Staff of Secretariate &amp; Protocol</v>
      </c>
      <c r="M35" s="2">
        <v>26182</v>
      </c>
      <c r="N35" s="1" t="s">
        <v>29</v>
      </c>
      <c r="O35" s="1" t="s">
        <v>30</v>
      </c>
      <c r="P35" s="1" t="s">
        <v>228</v>
      </c>
      <c r="Q35" s="1" t="s">
        <v>209</v>
      </c>
      <c r="R35" s="1" t="s">
        <v>210</v>
      </c>
      <c r="S35" s="1" t="s">
        <v>211</v>
      </c>
      <c r="T35" s="14">
        <v>46661</v>
      </c>
      <c r="U35" s="1" t="s">
        <v>229</v>
      </c>
      <c r="V35" s="1" t="s">
        <v>36</v>
      </c>
      <c r="W35" s="3" t="str">
        <f t="shared" si="0"/>
        <v>54 tahun</v>
      </c>
      <c r="X35" s="1" t="s">
        <v>230</v>
      </c>
      <c r="Y35" s="1" t="s">
        <v>56</v>
      </c>
      <c r="Z35" s="2">
        <v>38718</v>
      </c>
      <c r="AA35" s="2">
        <v>41030</v>
      </c>
      <c r="AB35" s="2" t="s">
        <v>231</v>
      </c>
    </row>
    <row r="36" spans="1:28" x14ac:dyDescent="0.35">
      <c r="A36" s="12">
        <v>7701</v>
      </c>
      <c r="B36" s="12">
        <v>9907701</v>
      </c>
      <c r="C36" s="12" t="s">
        <v>232</v>
      </c>
      <c r="D36" s="12">
        <v>50066715</v>
      </c>
      <c r="E36" s="1" t="s">
        <v>233</v>
      </c>
      <c r="F36" s="1" t="str">
        <f>VLOOKUP(A36,[1]Sheet1!$A$2:$E$1141,5,0)</f>
        <v>E Secretariate &amp; Protocol Adm Officer</v>
      </c>
      <c r="G36" s="17" t="str">
        <f>VLOOKUP(A36,[1]Sheet1!$A$2:$F$1141,6,0)</f>
        <v>Associate</v>
      </c>
      <c r="H36" s="1" t="s">
        <v>207</v>
      </c>
      <c r="I36" s="1" t="s">
        <v>28</v>
      </c>
      <c r="J36" s="1" t="str">
        <f>VLOOKUP(A36,[1]Sheet1!$A$2:$H$1141,8,0)</f>
        <v>Dept. of Communication, Legal &amp; GA</v>
      </c>
      <c r="K36" s="1" t="str">
        <f>VLOOKUP(A36,[1]Sheet1!$A$2:$I$1141,9,0)</f>
        <v>Unit of Communication &amp; Secretariate</v>
      </c>
      <c r="L36" s="1" t="str">
        <f>VLOOKUP(A36,[1]Sheet1!$A$2:$J$1141,10,0)</f>
        <v>Staff of Secretariate &amp; Protocol</v>
      </c>
      <c r="M36" s="2">
        <v>34771</v>
      </c>
      <c r="N36" s="1" t="s">
        <v>29</v>
      </c>
      <c r="O36" s="1" t="s">
        <v>30</v>
      </c>
      <c r="P36" s="1" t="s">
        <v>234</v>
      </c>
      <c r="Q36" s="1" t="s">
        <v>209</v>
      </c>
      <c r="R36" s="1" t="s">
        <v>210</v>
      </c>
      <c r="S36" s="1" t="s">
        <v>211</v>
      </c>
      <c r="T36" s="14">
        <v>55244</v>
      </c>
      <c r="U36" s="1" t="s">
        <v>235</v>
      </c>
      <c r="V36" s="1" t="s">
        <v>36</v>
      </c>
      <c r="W36" s="3" t="str">
        <f t="shared" si="0"/>
        <v>31 tahun</v>
      </c>
      <c r="X36" s="1" t="s">
        <v>121</v>
      </c>
      <c r="Y36" s="1" t="s">
        <v>56</v>
      </c>
      <c r="Z36" s="2">
        <v>43709</v>
      </c>
      <c r="AA36" s="2">
        <v>45536</v>
      </c>
      <c r="AB36" s="2" t="e">
        <v>#VALUE!</v>
      </c>
    </row>
    <row r="37" spans="1:28" x14ac:dyDescent="0.35">
      <c r="A37" s="12">
        <v>5151</v>
      </c>
      <c r="B37" s="12">
        <v>7595129</v>
      </c>
      <c r="C37" s="12" t="s">
        <v>50</v>
      </c>
      <c r="D37" s="12">
        <v>50070786</v>
      </c>
      <c r="E37" s="16" t="s">
        <v>236</v>
      </c>
      <c r="F37" s="1" t="str">
        <f>VLOOKUP(A37,[1]Sheet1!$A$2:$E$1141,5,0)</f>
        <v>Institution Relation Officer</v>
      </c>
      <c r="G37" s="16" t="str">
        <f>VLOOKUP(A37,[1]Sheet1!$A$2:$F$1141,6,0)</f>
        <v>Manager</v>
      </c>
      <c r="H37" s="1" t="s">
        <v>237</v>
      </c>
      <c r="I37" s="1" t="s">
        <v>28</v>
      </c>
      <c r="J37" s="1" t="str">
        <f>VLOOKUP(A37,[1]Sheet1!$A$2:$H$1141,8,0)</f>
        <v>Dept. of Communication, Legal &amp; GA</v>
      </c>
      <c r="K37" s="1" t="str">
        <f>VLOOKUP(A37,[1]Sheet1!$A$2:$I$1141,9,0)</f>
        <v>Unit of Communication &amp; Secretariate</v>
      </c>
      <c r="L37" s="1" t="str">
        <f>VLOOKUP(A37,[1]Sheet1!$A$2:$J$1141,10,0)</f>
        <v>Staff of Institution Relation</v>
      </c>
      <c r="M37" s="2">
        <v>27600</v>
      </c>
      <c r="N37" s="1" t="s">
        <v>29</v>
      </c>
      <c r="O37" s="1" t="s">
        <v>30</v>
      </c>
      <c r="P37" s="1" t="s">
        <v>238</v>
      </c>
      <c r="Q37" s="1" t="s">
        <v>239</v>
      </c>
      <c r="R37" s="1" t="s">
        <v>240</v>
      </c>
      <c r="S37" s="1" t="s">
        <v>241</v>
      </c>
      <c r="T37" s="14">
        <v>48061</v>
      </c>
      <c r="U37" s="1" t="s">
        <v>242</v>
      </c>
      <c r="V37" s="1" t="s">
        <v>36</v>
      </c>
      <c r="W37" s="3" t="str">
        <f t="shared" si="0"/>
        <v>51 tahun</v>
      </c>
      <c r="X37" s="1" t="s">
        <v>243</v>
      </c>
      <c r="Y37" s="1" t="s">
        <v>56</v>
      </c>
      <c r="Z37" s="2">
        <v>34932</v>
      </c>
      <c r="AA37" s="2">
        <v>35309</v>
      </c>
      <c r="AB37" s="2" t="s">
        <v>244</v>
      </c>
    </row>
    <row r="38" spans="1:28" x14ac:dyDescent="0.35">
      <c r="A38" s="12">
        <v>5216</v>
      </c>
      <c r="B38" s="12">
        <v>7695254</v>
      </c>
      <c r="C38" s="12" t="s">
        <v>50</v>
      </c>
      <c r="D38" s="12">
        <v>50070921</v>
      </c>
      <c r="E38" s="1" t="s">
        <v>245</v>
      </c>
      <c r="F38" s="1" t="str">
        <f>VLOOKUP(A38,[1]Sheet1!$A$2:$E$1141,5,0)</f>
        <v>D Institution Relation Jr Officer</v>
      </c>
      <c r="G38" s="17" t="str">
        <f>VLOOKUP(A38,[1]Sheet1!$A$2:$F$1141,6,0)</f>
        <v>Supervisor</v>
      </c>
      <c r="H38" s="1" t="s">
        <v>237</v>
      </c>
      <c r="I38" s="1" t="s">
        <v>28</v>
      </c>
      <c r="J38" s="1" t="str">
        <f>VLOOKUP(A38,[1]Sheet1!$A$2:$H$1141,8,0)</f>
        <v>Dept. of Communication, Legal &amp; GA</v>
      </c>
      <c r="K38" s="1" t="str">
        <f>VLOOKUP(A38,[1]Sheet1!$A$2:$I$1141,9,0)</f>
        <v>Unit of Communication &amp; Secretariate</v>
      </c>
      <c r="L38" s="1" t="str">
        <f>VLOOKUP(A38,[1]Sheet1!$A$2:$J$1141,10,0)</f>
        <v>Staff of Institution Relation</v>
      </c>
      <c r="M38" s="2">
        <v>28034</v>
      </c>
      <c r="N38" s="1" t="s">
        <v>29</v>
      </c>
      <c r="O38" s="1" t="s">
        <v>30</v>
      </c>
      <c r="P38" s="1" t="s">
        <v>246</v>
      </c>
      <c r="Q38" s="1" t="s">
        <v>239</v>
      </c>
      <c r="R38" s="1" t="s">
        <v>240</v>
      </c>
      <c r="S38" s="1" t="s">
        <v>241</v>
      </c>
      <c r="T38" s="14">
        <v>48519</v>
      </c>
      <c r="U38" s="1" t="s">
        <v>247</v>
      </c>
      <c r="V38" s="1" t="s">
        <v>36</v>
      </c>
      <c r="W38" s="3" t="str">
        <f t="shared" si="0"/>
        <v>49 tahun</v>
      </c>
      <c r="X38" s="1" t="s">
        <v>248</v>
      </c>
      <c r="Y38" s="1" t="s">
        <v>56</v>
      </c>
      <c r="Z38" s="2">
        <v>35002</v>
      </c>
      <c r="AA38" s="2">
        <v>35370</v>
      </c>
      <c r="AB38" s="2" t="s">
        <v>249</v>
      </c>
    </row>
    <row r="39" spans="1:28" x14ac:dyDescent="0.35">
      <c r="A39" s="12">
        <v>5066</v>
      </c>
      <c r="B39" s="12">
        <v>7495114</v>
      </c>
      <c r="C39" s="12" t="s">
        <v>50</v>
      </c>
      <c r="D39" s="12">
        <v>50007345</v>
      </c>
      <c r="E39" s="15" t="s">
        <v>250</v>
      </c>
      <c r="F39" s="1" t="str">
        <f>VLOOKUP(A39,[1]Sheet1!$A$2:$E$1141,5,0)</f>
        <v>SM of TJSL</v>
      </c>
      <c r="G39" s="15" t="str">
        <f>VLOOKUP(A39,[1]Sheet1!$A$2:$F$1141,6,0)</f>
        <v>Senior Manager</v>
      </c>
      <c r="H39" s="1" t="s">
        <v>251</v>
      </c>
      <c r="I39" s="1" t="s">
        <v>28</v>
      </c>
      <c r="J39" s="1" t="str">
        <f>VLOOKUP(A39,[1]Sheet1!$A$2:$H$1141,8,0)</f>
        <v>Dept. of Communication, Legal &amp; GA</v>
      </c>
      <c r="K39" s="1" t="str">
        <f>VLOOKUP(A39,[1]Sheet1!$A$2:$I$1141,9,0)</f>
        <v>Unit of TJSL</v>
      </c>
      <c r="L39" s="1" t="e">
        <f>VLOOKUP(A39,[1]Sheet1!$A$2:$J$1141,10,0)</f>
        <v>#REF!</v>
      </c>
      <c r="M39" s="2">
        <v>27258</v>
      </c>
      <c r="N39" s="1" t="s">
        <v>29</v>
      </c>
      <c r="O39" s="1" t="s">
        <v>30</v>
      </c>
      <c r="P39" s="1" t="s">
        <v>252</v>
      </c>
      <c r="Q39" s="1" t="s">
        <v>253</v>
      </c>
      <c r="R39" s="1" t="s">
        <v>254</v>
      </c>
      <c r="S39" s="1" t="s">
        <v>254</v>
      </c>
      <c r="T39" s="14">
        <v>47727</v>
      </c>
      <c r="U39" s="1" t="s">
        <v>255</v>
      </c>
      <c r="V39" s="1" t="s">
        <v>36</v>
      </c>
      <c r="W39" s="3" t="str">
        <f t="shared" si="0"/>
        <v>52 tahun</v>
      </c>
      <c r="X39" s="1" t="s">
        <v>256</v>
      </c>
      <c r="Y39" s="1" t="s">
        <v>48</v>
      </c>
      <c r="Z39" s="2">
        <v>34932</v>
      </c>
      <c r="AA39" s="2">
        <v>35309</v>
      </c>
      <c r="AB39" s="2" t="s">
        <v>84</v>
      </c>
    </row>
    <row r="40" spans="1:28" x14ac:dyDescent="0.35">
      <c r="A40" s="12">
        <v>5058</v>
      </c>
      <c r="B40" s="12">
        <v>7495037</v>
      </c>
      <c r="C40" s="12" t="s">
        <v>50</v>
      </c>
      <c r="D40" s="12">
        <v>50007353</v>
      </c>
      <c r="E40" s="16" t="s">
        <v>257</v>
      </c>
      <c r="F40" s="1" t="str">
        <f>VLOOKUP(A40,[1]Sheet1!$A$2:$E$1141,5,0)</f>
        <v>TJSL &amp; Com. Dev. Officer</v>
      </c>
      <c r="G40" s="16" t="str">
        <f>VLOOKUP(A40,[1]Sheet1!$A$2:$F$1141,6,0)</f>
        <v>Manager</v>
      </c>
      <c r="H40" s="1" t="s">
        <v>258</v>
      </c>
      <c r="I40" s="1" t="s">
        <v>28</v>
      </c>
      <c r="J40" s="1" t="str">
        <f>VLOOKUP(A40,[1]Sheet1!$A$2:$H$1141,8,0)</f>
        <v>Dept. of Communication, Legal &amp; GA</v>
      </c>
      <c r="K40" s="1" t="str">
        <f>VLOOKUP(A40,[1]Sheet1!$A$2:$I$1141,9,0)</f>
        <v>Unit of TJSL</v>
      </c>
      <c r="L40" s="1" t="str">
        <f>VLOOKUP(A40,[1]Sheet1!$A$2:$J$1141,10,0)</f>
        <v>Staff of TJSL &amp; Community Development</v>
      </c>
      <c r="M40" s="2">
        <v>27217</v>
      </c>
      <c r="N40" s="1" t="s">
        <v>29</v>
      </c>
      <c r="O40" s="1" t="s">
        <v>30</v>
      </c>
      <c r="P40" s="1" t="s">
        <v>259</v>
      </c>
      <c r="Q40" s="1" t="s">
        <v>260</v>
      </c>
      <c r="R40" s="1" t="s">
        <v>261</v>
      </c>
      <c r="S40" s="1" t="s">
        <v>262</v>
      </c>
      <c r="T40" s="14">
        <v>47696</v>
      </c>
      <c r="U40" s="1" t="s">
        <v>263</v>
      </c>
      <c r="V40" s="1" t="s">
        <v>36</v>
      </c>
      <c r="W40" s="3" t="str">
        <f t="shared" si="0"/>
        <v>52 tahun</v>
      </c>
      <c r="X40" s="1" t="s">
        <v>55</v>
      </c>
      <c r="Y40" s="1" t="s">
        <v>56</v>
      </c>
      <c r="Z40" s="2">
        <v>34897</v>
      </c>
      <c r="AA40" s="2">
        <v>35278</v>
      </c>
      <c r="AB40" s="2" t="s">
        <v>84</v>
      </c>
    </row>
    <row r="41" spans="1:28" x14ac:dyDescent="0.35">
      <c r="A41" s="12">
        <v>4808</v>
      </c>
      <c r="B41" s="12">
        <v>7295175</v>
      </c>
      <c r="C41" s="12" t="s">
        <v>50</v>
      </c>
      <c r="D41" s="12">
        <v>50007354</v>
      </c>
      <c r="E41" s="1" t="s">
        <v>264</v>
      </c>
      <c r="F41" s="1" t="str">
        <f>VLOOKUP(A41,[1]Sheet1!$A$2:$E$1141,5,0)</f>
        <v>TJSL &amp; Community Development Jr Officer</v>
      </c>
      <c r="G41" s="17" t="str">
        <f>VLOOKUP(A41,[1]Sheet1!$A$2:$F$1141,6,0)</f>
        <v>Supervisor</v>
      </c>
      <c r="H41" s="1" t="s">
        <v>258</v>
      </c>
      <c r="I41" s="1" t="s">
        <v>28</v>
      </c>
      <c r="J41" s="1" t="str">
        <f>VLOOKUP(A41,[1]Sheet1!$A$2:$H$1141,8,0)</f>
        <v>Dept. of Communication, Legal &amp; GA</v>
      </c>
      <c r="K41" s="1" t="str">
        <f>VLOOKUP(A41,[1]Sheet1!$A$2:$I$1141,9,0)</f>
        <v>Unit of TJSL</v>
      </c>
      <c r="L41" s="1" t="str">
        <f>VLOOKUP(A41,[1]Sheet1!$A$2:$J$1141,10,0)</f>
        <v>Staff of TJSL &amp; Community Development</v>
      </c>
      <c r="M41" s="2">
        <v>26359</v>
      </c>
      <c r="N41" s="1" t="s">
        <v>29</v>
      </c>
      <c r="O41" s="1" t="s">
        <v>30</v>
      </c>
      <c r="P41" s="1" t="s">
        <v>265</v>
      </c>
      <c r="Q41" s="1" t="s">
        <v>260</v>
      </c>
      <c r="R41" s="1" t="s">
        <v>261</v>
      </c>
      <c r="S41" s="1" t="s">
        <v>262</v>
      </c>
      <c r="T41" s="14">
        <v>46844</v>
      </c>
      <c r="U41" s="1" t="s">
        <v>266</v>
      </c>
      <c r="V41" s="1" t="s">
        <v>36</v>
      </c>
      <c r="W41" s="3" t="str">
        <f t="shared" si="0"/>
        <v>54 tahun</v>
      </c>
      <c r="X41" s="1" t="s">
        <v>248</v>
      </c>
      <c r="Y41" s="1" t="s">
        <v>48</v>
      </c>
      <c r="Z41" s="2">
        <v>35002</v>
      </c>
      <c r="AA41" s="2">
        <v>35370</v>
      </c>
      <c r="AB41" s="2" t="s">
        <v>267</v>
      </c>
    </row>
    <row r="42" spans="1:28" x14ac:dyDescent="0.35">
      <c r="A42" s="12">
        <v>6168</v>
      </c>
      <c r="B42" s="12">
        <v>9112335</v>
      </c>
      <c r="C42" s="12" t="s">
        <v>103</v>
      </c>
      <c r="D42" s="12">
        <v>50064512</v>
      </c>
      <c r="E42" s="1" t="s">
        <v>268</v>
      </c>
      <c r="F42" s="1" t="str">
        <f>VLOOKUP(A42,[1]Sheet1!$A$2:$E$1141,5,0)</f>
        <v>TJSL &amp; Community Development Jr Officer</v>
      </c>
      <c r="G42" s="17" t="str">
        <f>VLOOKUP(A42,[1]Sheet1!$A$2:$F$1141,6,0)</f>
        <v>Supervisor</v>
      </c>
      <c r="H42" s="1" t="s">
        <v>258</v>
      </c>
      <c r="I42" s="1" t="s">
        <v>28</v>
      </c>
      <c r="J42" s="1" t="str">
        <f>VLOOKUP(A42,[1]Sheet1!$A$2:$H$1141,8,0)</f>
        <v>Dept. of Communication, Legal &amp; GA</v>
      </c>
      <c r="K42" s="1" t="str">
        <f>VLOOKUP(A42,[1]Sheet1!$A$2:$I$1141,9,0)</f>
        <v>Unit of TJSL</v>
      </c>
      <c r="L42" s="1" t="str">
        <f>VLOOKUP(A42,[1]Sheet1!$A$2:$J$1141,10,0)</f>
        <v>Staff of TJSL &amp; Community Development</v>
      </c>
      <c r="M42" s="2">
        <v>33323</v>
      </c>
      <c r="N42" s="1" t="s">
        <v>29</v>
      </c>
      <c r="O42" s="1" t="s">
        <v>30</v>
      </c>
      <c r="P42" s="1" t="s">
        <v>269</v>
      </c>
      <c r="Q42" s="1" t="s">
        <v>260</v>
      </c>
      <c r="R42" s="1" t="s">
        <v>261</v>
      </c>
      <c r="S42" s="1" t="s">
        <v>262</v>
      </c>
      <c r="T42" s="14">
        <v>53783</v>
      </c>
      <c r="U42" s="1" t="s">
        <v>270</v>
      </c>
      <c r="V42" s="1" t="s">
        <v>36</v>
      </c>
      <c r="W42" s="3" t="str">
        <f t="shared" si="0"/>
        <v>35 tahun</v>
      </c>
      <c r="X42" s="1" t="s">
        <v>55</v>
      </c>
      <c r="Y42" s="1" t="s">
        <v>38</v>
      </c>
      <c r="Z42" s="2">
        <v>41275</v>
      </c>
      <c r="AA42" s="2">
        <v>41426</v>
      </c>
      <c r="AB42" s="2" t="s">
        <v>271</v>
      </c>
    </row>
    <row r="43" spans="1:28" x14ac:dyDescent="0.35">
      <c r="A43" s="12">
        <v>5054</v>
      </c>
      <c r="B43" s="12">
        <v>7402254</v>
      </c>
      <c r="C43" s="12" t="s">
        <v>164</v>
      </c>
      <c r="D43" s="12">
        <v>50007357</v>
      </c>
      <c r="E43" s="1" t="s">
        <v>272</v>
      </c>
      <c r="F43" s="1" t="str">
        <f>VLOOKUP(A43,[1]Sheet1!$A$2:$E$1141,5,0)</f>
        <v>TJSL &amp; Community Development Jr Officer</v>
      </c>
      <c r="G43" s="17" t="str">
        <f>VLOOKUP(A43,[1]Sheet1!$A$2:$F$1141,6,0)</f>
        <v>Supervisor</v>
      </c>
      <c r="H43" s="1" t="s">
        <v>258</v>
      </c>
      <c r="I43" s="1" t="s">
        <v>28</v>
      </c>
      <c r="J43" s="1" t="str">
        <f>VLOOKUP(A43,[1]Sheet1!$A$2:$H$1141,8,0)</f>
        <v>Dept. of Communication, Legal &amp; GA</v>
      </c>
      <c r="K43" s="1" t="str">
        <f>VLOOKUP(A43,[1]Sheet1!$A$2:$I$1141,9,0)</f>
        <v>Unit of TJSL</v>
      </c>
      <c r="L43" s="1" t="str">
        <f>VLOOKUP(A43,[1]Sheet1!$A$2:$J$1141,10,0)</f>
        <v>Staff of TJSL &amp; Community Development</v>
      </c>
      <c r="M43" s="2">
        <v>27217</v>
      </c>
      <c r="N43" s="1" t="s">
        <v>29</v>
      </c>
      <c r="O43" s="1" t="s">
        <v>30</v>
      </c>
      <c r="P43" s="1" t="s">
        <v>273</v>
      </c>
      <c r="Q43" s="1" t="s">
        <v>260</v>
      </c>
      <c r="R43" s="1" t="s">
        <v>261</v>
      </c>
      <c r="S43" s="1" t="s">
        <v>262</v>
      </c>
      <c r="T43" s="14">
        <v>47696</v>
      </c>
      <c r="U43" s="1" t="s">
        <v>274</v>
      </c>
      <c r="V43" s="1" t="s">
        <v>36</v>
      </c>
      <c r="W43" s="3" t="str">
        <f t="shared" si="0"/>
        <v>52 tahun</v>
      </c>
      <c r="X43" s="1" t="s">
        <v>275</v>
      </c>
      <c r="Y43" s="1" t="s">
        <v>56</v>
      </c>
      <c r="Z43" s="2">
        <v>37469</v>
      </c>
      <c r="AA43" s="2">
        <v>38718</v>
      </c>
      <c r="AB43" s="2" t="s">
        <v>84</v>
      </c>
    </row>
    <row r="44" spans="1:28" x14ac:dyDescent="0.35">
      <c r="A44" s="12">
        <v>4918</v>
      </c>
      <c r="B44" s="12">
        <v>7395273</v>
      </c>
      <c r="C44" s="12" t="s">
        <v>50</v>
      </c>
      <c r="D44" s="12">
        <v>50007347</v>
      </c>
      <c r="E44" s="1" t="s">
        <v>276</v>
      </c>
      <c r="F44" s="1" t="str">
        <f>VLOOKUP(A44,[1]Sheet1!$A$2:$E$1141,5,0)</f>
        <v>Partnership Program Jr Officer</v>
      </c>
      <c r="G44" s="17" t="str">
        <f>VLOOKUP(A44,[1]Sheet1!$A$2:$F$1141,6,0)</f>
        <v>Supervisor</v>
      </c>
      <c r="H44" s="1" t="s">
        <v>277</v>
      </c>
      <c r="I44" s="1" t="s">
        <v>28</v>
      </c>
      <c r="J44" s="1" t="str">
        <f>VLOOKUP(A44,[1]Sheet1!$A$2:$H$1141,8,0)</f>
        <v>Dept. of Communication, Legal &amp; GA</v>
      </c>
      <c r="K44" s="1" t="str">
        <f>VLOOKUP(A44,[1]Sheet1!$A$2:$I$1141,9,0)</f>
        <v>Unit of TJSL</v>
      </c>
      <c r="L44" s="1" t="str">
        <f>VLOOKUP(A44,[1]Sheet1!$A$2:$J$1141,10,0)</f>
        <v>Staff of Partnership Program</v>
      </c>
      <c r="M44" s="2">
        <v>26747</v>
      </c>
      <c r="N44" s="1" t="s">
        <v>29</v>
      </c>
      <c r="O44" s="1" t="s">
        <v>30</v>
      </c>
      <c r="P44" s="1" t="s">
        <v>278</v>
      </c>
      <c r="Q44" s="1" t="s">
        <v>279</v>
      </c>
      <c r="R44" s="1" t="s">
        <v>280</v>
      </c>
      <c r="S44" s="1" t="s">
        <v>281</v>
      </c>
      <c r="T44" s="14">
        <v>47209</v>
      </c>
      <c r="U44" s="1" t="s">
        <v>282</v>
      </c>
      <c r="V44" s="1" t="s">
        <v>36</v>
      </c>
      <c r="W44" s="3" t="str">
        <f t="shared" si="0"/>
        <v>53 tahun</v>
      </c>
      <c r="X44" s="1" t="s">
        <v>55</v>
      </c>
      <c r="Y44" s="1" t="s">
        <v>56</v>
      </c>
      <c r="Z44" s="2">
        <v>35034</v>
      </c>
      <c r="AA44" s="2">
        <v>35400</v>
      </c>
      <c r="AB44" s="2" t="s">
        <v>283</v>
      </c>
    </row>
    <row r="45" spans="1:28" x14ac:dyDescent="0.35">
      <c r="A45" s="12">
        <v>5390</v>
      </c>
      <c r="B45" s="12">
        <v>8710052</v>
      </c>
      <c r="C45" s="12" t="s">
        <v>139</v>
      </c>
      <c r="D45" s="12">
        <v>50018523</v>
      </c>
      <c r="E45" s="16" t="s">
        <v>284</v>
      </c>
      <c r="F45" s="1" t="str">
        <f>VLOOKUP(A45,[1]Sheet1!$A$2:$E$1141,5,0)</f>
        <v>Administration &amp; Financial Officer</v>
      </c>
      <c r="G45" s="16" t="str">
        <f>VLOOKUP(A45,[1]Sheet1!$A$2:$F$1141,6,0)</f>
        <v>Manager</v>
      </c>
      <c r="H45" s="1" t="s">
        <v>285</v>
      </c>
      <c r="I45" s="1" t="s">
        <v>28</v>
      </c>
      <c r="J45" s="1" t="str">
        <f>VLOOKUP(A45,[1]Sheet1!$A$2:$H$1141,8,0)</f>
        <v>Dept. of Communication, Legal &amp; GA</v>
      </c>
      <c r="K45" s="1" t="str">
        <f>VLOOKUP(A45,[1]Sheet1!$A$2:$I$1141,9,0)</f>
        <v>Unit of TJSL</v>
      </c>
      <c r="L45" s="1" t="str">
        <f>VLOOKUP(A45,[1]Sheet1!$A$2:$J$1141,10,0)</f>
        <v>Staff of Administration &amp; Financial</v>
      </c>
      <c r="M45" s="2">
        <v>31855</v>
      </c>
      <c r="N45" s="1" t="s">
        <v>29</v>
      </c>
      <c r="O45" s="1" t="s">
        <v>30</v>
      </c>
      <c r="P45" s="1" t="s">
        <v>286</v>
      </c>
      <c r="Q45" s="1" t="s">
        <v>287</v>
      </c>
      <c r="R45" s="1" t="s">
        <v>288</v>
      </c>
      <c r="S45" s="1" t="s">
        <v>289</v>
      </c>
      <c r="T45" s="14">
        <v>52322</v>
      </c>
      <c r="U45" s="1" t="s">
        <v>290</v>
      </c>
      <c r="V45" s="1" t="s">
        <v>186</v>
      </c>
      <c r="W45" s="3" t="str">
        <f t="shared" si="0"/>
        <v>39 tahun</v>
      </c>
      <c r="X45" s="1" t="s">
        <v>55</v>
      </c>
      <c r="Y45" s="1" t="s">
        <v>48</v>
      </c>
      <c r="Z45" s="2">
        <v>40544</v>
      </c>
      <c r="AA45" s="2">
        <v>40909</v>
      </c>
      <c r="AB45" s="2" t="s">
        <v>291</v>
      </c>
    </row>
    <row r="46" spans="1:28" x14ac:dyDescent="0.35">
      <c r="A46" s="12">
        <v>4919</v>
      </c>
      <c r="B46" s="12">
        <v>7395274</v>
      </c>
      <c r="C46" s="12" t="s">
        <v>50</v>
      </c>
      <c r="D46" s="12">
        <v>50021010</v>
      </c>
      <c r="E46" s="1" t="s">
        <v>292</v>
      </c>
      <c r="F46" s="1" t="str">
        <f>VLOOKUP(A46,[1]Sheet1!$A$2:$E$1141,5,0)</f>
        <v>Administration &amp; Financial Jr Officer</v>
      </c>
      <c r="G46" s="17" t="str">
        <f>VLOOKUP(A46,[1]Sheet1!$A$2:$F$1141,6,0)</f>
        <v>Supervisor</v>
      </c>
      <c r="H46" s="1" t="s">
        <v>285</v>
      </c>
      <c r="I46" s="1" t="s">
        <v>28</v>
      </c>
      <c r="J46" s="1" t="str">
        <f>VLOOKUP(A46,[1]Sheet1!$A$2:$H$1141,8,0)</f>
        <v>Dept. of Communication, Legal &amp; GA</v>
      </c>
      <c r="K46" s="1" t="str">
        <f>VLOOKUP(A46,[1]Sheet1!$A$2:$I$1141,9,0)</f>
        <v>Unit of TJSL</v>
      </c>
      <c r="L46" s="1" t="str">
        <f>VLOOKUP(A46,[1]Sheet1!$A$2:$J$1141,10,0)</f>
        <v>Staff of Administration &amp; Financial</v>
      </c>
      <c r="M46" s="2">
        <v>26751</v>
      </c>
      <c r="N46" s="1" t="s">
        <v>59</v>
      </c>
      <c r="O46" s="1" t="s">
        <v>30</v>
      </c>
      <c r="P46" s="1" t="s">
        <v>293</v>
      </c>
      <c r="Q46" s="1" t="s">
        <v>287</v>
      </c>
      <c r="R46" s="1" t="s">
        <v>288</v>
      </c>
      <c r="S46" s="1" t="s">
        <v>289</v>
      </c>
      <c r="T46" s="14">
        <v>47209</v>
      </c>
      <c r="U46" s="1" t="s">
        <v>294</v>
      </c>
      <c r="V46" s="1" t="s">
        <v>36</v>
      </c>
      <c r="W46" s="3" t="str">
        <f t="shared" si="0"/>
        <v>53 tahun</v>
      </c>
      <c r="X46" s="1" t="s">
        <v>55</v>
      </c>
      <c r="Y46" s="1" t="s">
        <v>56</v>
      </c>
      <c r="Z46" s="2">
        <v>35034</v>
      </c>
      <c r="AA46" s="2">
        <v>35400</v>
      </c>
      <c r="AB46" s="2" t="s">
        <v>84</v>
      </c>
    </row>
    <row r="47" spans="1:28" x14ac:dyDescent="0.35">
      <c r="A47" s="12">
        <v>6267</v>
      </c>
      <c r="B47" s="12">
        <v>9212437</v>
      </c>
      <c r="C47" s="12" t="s">
        <v>103</v>
      </c>
      <c r="D47" s="12">
        <v>50064509</v>
      </c>
      <c r="E47" s="1" t="s">
        <v>295</v>
      </c>
      <c r="F47" s="1" t="str">
        <f>VLOOKUP(A47,[1]Sheet1!$A$2:$E$1141,5,0)</f>
        <v>Administration &amp; Financial Jr Officer</v>
      </c>
      <c r="G47" s="17" t="str">
        <f>VLOOKUP(A47,[1]Sheet1!$A$2:$F$1141,6,0)</f>
        <v>Supervisor</v>
      </c>
      <c r="H47" s="1" t="s">
        <v>285</v>
      </c>
      <c r="I47" s="1" t="s">
        <v>28</v>
      </c>
      <c r="J47" s="1" t="str">
        <f>VLOOKUP(A47,[1]Sheet1!$A$2:$H$1141,8,0)</f>
        <v>Dept. of Communication, Legal &amp; GA</v>
      </c>
      <c r="K47" s="1" t="str">
        <f>VLOOKUP(A47,[1]Sheet1!$A$2:$I$1141,9,0)</f>
        <v>Unit of TJSL</v>
      </c>
      <c r="L47" s="1" t="str">
        <f>VLOOKUP(A47,[1]Sheet1!$A$2:$J$1141,10,0)</f>
        <v>Staff of Administration &amp; Financial</v>
      </c>
      <c r="M47" s="2">
        <v>33861</v>
      </c>
      <c r="N47" s="1" t="s">
        <v>29</v>
      </c>
      <c r="O47" s="1" t="s">
        <v>30</v>
      </c>
      <c r="P47" s="1" t="s">
        <v>296</v>
      </c>
      <c r="Q47" s="1" t="s">
        <v>287</v>
      </c>
      <c r="R47" s="1" t="s">
        <v>288</v>
      </c>
      <c r="S47" s="1" t="s">
        <v>289</v>
      </c>
      <c r="T47" s="14">
        <v>54332</v>
      </c>
      <c r="U47" s="1" t="s">
        <v>297</v>
      </c>
      <c r="V47" s="1" t="s">
        <v>36</v>
      </c>
      <c r="W47" s="3" t="str">
        <f t="shared" si="0"/>
        <v>33 tahun</v>
      </c>
      <c r="X47" s="1" t="s">
        <v>121</v>
      </c>
      <c r="Y47" s="1" t="s">
        <v>56</v>
      </c>
      <c r="Z47" s="2">
        <v>41275</v>
      </c>
      <c r="AA47" s="2">
        <v>41395</v>
      </c>
      <c r="AB47" s="2" t="s">
        <v>298</v>
      </c>
    </row>
    <row r="48" spans="1:28" x14ac:dyDescent="0.35">
      <c r="A48" s="12">
        <v>8100</v>
      </c>
      <c r="B48" s="12">
        <v>9981001</v>
      </c>
      <c r="C48" s="12" t="s">
        <v>299</v>
      </c>
      <c r="D48" s="12">
        <v>50007341</v>
      </c>
      <c r="E48" s="15" t="s">
        <v>300</v>
      </c>
      <c r="F48" s="1" t="str">
        <f>VLOOKUP(A48,[1]Sheet1!$A$2:$E$1141,5,0)</f>
        <v>SM of Security</v>
      </c>
      <c r="G48" s="15" t="str">
        <f>VLOOKUP(A48,[1]Sheet1!$A$2:$F$1141,6,0)</f>
        <v>Non-Eselon</v>
      </c>
      <c r="H48" s="1" t="s">
        <v>301</v>
      </c>
      <c r="I48" s="1" t="s">
        <v>28</v>
      </c>
      <c r="J48" s="1" t="str">
        <f>VLOOKUP(A48,[1]Sheet1!$A$2:$H$1141,8,0)</f>
        <v>Dept. of Communication, Legal &amp; GA</v>
      </c>
      <c r="K48" s="1" t="str">
        <f>VLOOKUP(A48,[1]Sheet1!$A$2:$I$1141,9,0)</f>
        <v>Unit of Security</v>
      </c>
      <c r="L48" s="1" t="e">
        <f>VLOOKUP(A48,[1]Sheet1!$A$2:$J$1141,10,0)</f>
        <v>#REF!</v>
      </c>
      <c r="M48" s="2">
        <v>29869</v>
      </c>
      <c r="N48" s="1" t="s">
        <v>29</v>
      </c>
      <c r="O48" s="1" t="s">
        <v>30</v>
      </c>
      <c r="P48" s="1" t="s">
        <v>302</v>
      </c>
      <c r="Q48" s="1" t="s">
        <v>303</v>
      </c>
      <c r="R48" s="1" t="s">
        <v>304</v>
      </c>
      <c r="S48" s="1" t="s">
        <v>305</v>
      </c>
      <c r="T48" s="14">
        <v>46507</v>
      </c>
      <c r="U48" s="1" t="s">
        <v>306</v>
      </c>
      <c r="V48" s="1" t="s">
        <v>36</v>
      </c>
      <c r="W48" s="3" t="str">
        <f t="shared" si="0"/>
        <v>44 tahun</v>
      </c>
      <c r="X48" s="1" t="s">
        <v>307</v>
      </c>
      <c r="Y48" s="1" t="s">
        <v>56</v>
      </c>
      <c r="Z48" s="2">
        <v>44682</v>
      </c>
      <c r="AA48" s="2">
        <v>44682</v>
      </c>
      <c r="AB48" s="2" t="s">
        <v>308</v>
      </c>
    </row>
    <row r="49" spans="1:28" x14ac:dyDescent="0.35">
      <c r="A49" s="12">
        <v>5208</v>
      </c>
      <c r="B49" s="12">
        <v>7695251</v>
      </c>
      <c r="C49" s="12" t="s">
        <v>50</v>
      </c>
      <c r="D49" s="12">
        <v>50023473</v>
      </c>
      <c r="E49" s="16" t="s">
        <v>309</v>
      </c>
      <c r="F49" s="1" t="str">
        <f>VLOOKUP(A49,[1]Sheet1!$A$2:$E$1141,5,0)</f>
        <v>Security Officer</v>
      </c>
      <c r="G49" s="16" t="str">
        <f>VLOOKUP(A49,[1]Sheet1!$A$2:$F$1141,6,0)</f>
        <v>Manager</v>
      </c>
      <c r="H49" s="1" t="s">
        <v>310</v>
      </c>
      <c r="I49" s="1" t="s">
        <v>28</v>
      </c>
      <c r="J49" s="1" t="str">
        <f>VLOOKUP(A49,[1]Sheet1!$A$2:$H$1141,8,0)</f>
        <v>Dept. of Communication, Legal &amp; GA</v>
      </c>
      <c r="K49" s="1" t="str">
        <f>VLOOKUP(A49,[1]Sheet1!$A$2:$I$1141,9,0)</f>
        <v>Unit of Security</v>
      </c>
      <c r="L49" s="1" t="str">
        <f>VLOOKUP(A49,[1]Sheet1!$A$2:$J$1141,10,0)</f>
        <v>Staff of Security</v>
      </c>
      <c r="M49" s="2">
        <v>27947</v>
      </c>
      <c r="N49" s="1" t="s">
        <v>29</v>
      </c>
      <c r="O49" s="1" t="s">
        <v>30</v>
      </c>
      <c r="P49" s="1" t="s">
        <v>311</v>
      </c>
      <c r="Q49" s="1" t="s">
        <v>312</v>
      </c>
      <c r="R49" s="1" t="s">
        <v>313</v>
      </c>
      <c r="S49" s="1" t="s">
        <v>314</v>
      </c>
      <c r="T49" s="14">
        <v>48427</v>
      </c>
      <c r="U49" s="18" t="s">
        <v>315</v>
      </c>
      <c r="V49" s="1" t="s">
        <v>36</v>
      </c>
      <c r="W49" s="3" t="str">
        <f t="shared" si="0"/>
        <v>50 tahun</v>
      </c>
      <c r="X49" s="1" t="s">
        <v>55</v>
      </c>
      <c r="Y49" s="1" t="s">
        <v>48</v>
      </c>
      <c r="Z49" s="2">
        <v>35002</v>
      </c>
      <c r="AA49" s="2">
        <v>35370</v>
      </c>
      <c r="AB49" s="2" t="s">
        <v>84</v>
      </c>
    </row>
    <row r="50" spans="1:28" x14ac:dyDescent="0.35">
      <c r="A50" s="12">
        <v>4940</v>
      </c>
      <c r="B50" s="12">
        <v>7302216</v>
      </c>
      <c r="C50" s="12" t="s">
        <v>164</v>
      </c>
      <c r="D50" s="12">
        <v>50021723</v>
      </c>
      <c r="E50" s="1" t="s">
        <v>316</v>
      </c>
      <c r="F50" s="1" t="str">
        <f>VLOOKUP(A50,[1]Sheet1!$A$2:$E$1141,5,0)</f>
        <v>Security Jr Officer</v>
      </c>
      <c r="G50" s="17" t="str">
        <f>VLOOKUP(A50,[1]Sheet1!$A$2:$F$1141,6,0)</f>
        <v>Supervisor</v>
      </c>
      <c r="H50" s="1" t="s">
        <v>310</v>
      </c>
      <c r="I50" s="1" t="s">
        <v>28</v>
      </c>
      <c r="J50" s="1" t="str">
        <f>VLOOKUP(A50,[1]Sheet1!$A$2:$H$1141,8,0)</f>
        <v>Dept. of Communication, Legal &amp; GA</v>
      </c>
      <c r="K50" s="1" t="str">
        <f>VLOOKUP(A50,[1]Sheet1!$A$2:$I$1141,9,0)</f>
        <v>Unit of Security</v>
      </c>
      <c r="L50" s="1" t="str">
        <f>VLOOKUP(A50,[1]Sheet1!$A$2:$J$1141,10,0)</f>
        <v>Staff of Security</v>
      </c>
      <c r="M50" s="2">
        <v>26857</v>
      </c>
      <c r="N50" s="1" t="s">
        <v>29</v>
      </c>
      <c r="O50" s="1" t="s">
        <v>30</v>
      </c>
      <c r="P50" s="1" t="s">
        <v>317</v>
      </c>
      <c r="Q50" s="1" t="s">
        <v>312</v>
      </c>
      <c r="R50" s="1" t="s">
        <v>313</v>
      </c>
      <c r="S50" s="1" t="s">
        <v>314</v>
      </c>
      <c r="T50" s="14">
        <v>47331</v>
      </c>
      <c r="U50" s="1" t="s">
        <v>318</v>
      </c>
      <c r="V50" s="1" t="s">
        <v>36</v>
      </c>
      <c r="W50" s="3" t="str">
        <f t="shared" si="0"/>
        <v>53 tahun</v>
      </c>
      <c r="X50" s="1" t="s">
        <v>96</v>
      </c>
      <c r="Y50" s="1" t="s">
        <v>48</v>
      </c>
      <c r="Z50" s="2">
        <v>37469</v>
      </c>
      <c r="AA50" s="2">
        <v>38718</v>
      </c>
      <c r="AB50" s="2" t="s">
        <v>319</v>
      </c>
    </row>
    <row r="51" spans="1:28" x14ac:dyDescent="0.35">
      <c r="A51" s="12">
        <v>5325</v>
      </c>
      <c r="B51" s="12">
        <v>8408071</v>
      </c>
      <c r="C51" s="12" t="s">
        <v>25</v>
      </c>
      <c r="D51" s="12">
        <v>50066727</v>
      </c>
      <c r="E51" s="15" t="s">
        <v>320</v>
      </c>
      <c r="F51" s="1" t="str">
        <f>VLOOKUP(A51,[1]Sheet1!$A$2:$E$1141,5,0)</f>
        <v>SM of General Facility &amp; Asset</v>
      </c>
      <c r="G51" s="15" t="str">
        <f>VLOOKUP(A51,[1]Sheet1!$A$2:$F$1141,6,0)</f>
        <v>Senior Manager</v>
      </c>
      <c r="H51" s="1" t="s">
        <v>321</v>
      </c>
      <c r="I51" s="1" t="s">
        <v>28</v>
      </c>
      <c r="J51" s="1" t="str">
        <f>VLOOKUP(A51,[1]Sheet1!$A$2:$H$1141,8,0)</f>
        <v>Dept. of Communication, Legal &amp; GA</v>
      </c>
      <c r="K51" s="1" t="str">
        <f>VLOOKUP(A51,[1]Sheet1!$A$2:$I$1141,9,0)</f>
        <v>Unit of General Facility &amp; Asset</v>
      </c>
      <c r="L51" s="1" t="e">
        <f>VLOOKUP(A51,[1]Sheet1!$A$2:$J$1141,10,0)</f>
        <v>#REF!</v>
      </c>
      <c r="M51" s="2">
        <v>31004</v>
      </c>
      <c r="N51" s="1" t="s">
        <v>29</v>
      </c>
      <c r="O51" s="1" t="s">
        <v>30</v>
      </c>
      <c r="P51" s="1" t="s">
        <v>322</v>
      </c>
      <c r="Q51" s="1" t="s">
        <v>323</v>
      </c>
      <c r="R51" s="1" t="s">
        <v>324</v>
      </c>
      <c r="S51" s="1" t="s">
        <v>325</v>
      </c>
      <c r="T51" s="14">
        <v>51471</v>
      </c>
      <c r="U51" s="1" t="s">
        <v>326</v>
      </c>
      <c r="V51" s="1" t="s">
        <v>36</v>
      </c>
      <c r="W51" s="3" t="str">
        <f t="shared" si="0"/>
        <v>41 tahun</v>
      </c>
      <c r="X51" s="1" t="s">
        <v>37</v>
      </c>
      <c r="Y51" s="1" t="s">
        <v>48</v>
      </c>
      <c r="Z51" s="2">
        <v>39814</v>
      </c>
      <c r="AA51" s="2">
        <v>39965</v>
      </c>
      <c r="AB51" s="2" t="s">
        <v>327</v>
      </c>
    </row>
    <row r="52" spans="1:28" x14ac:dyDescent="0.35">
      <c r="A52" s="12">
        <v>4910</v>
      </c>
      <c r="B52" s="12">
        <v>7302209</v>
      </c>
      <c r="C52" s="12" t="s">
        <v>164</v>
      </c>
      <c r="D52" s="12">
        <v>50066689</v>
      </c>
      <c r="E52" s="16" t="s">
        <v>328</v>
      </c>
      <c r="F52" s="1" t="str">
        <f>VLOOKUP(A52,[1]Sheet1!$A$2:$E$1141,5,0)</f>
        <v>Mgr of Asset Management</v>
      </c>
      <c r="G52" s="16" t="str">
        <f>VLOOKUP(A52,[1]Sheet1!$A$2:$F$1141,6,0)</f>
        <v>Manager</v>
      </c>
      <c r="H52" s="1" t="s">
        <v>329</v>
      </c>
      <c r="I52" s="1" t="s">
        <v>28</v>
      </c>
      <c r="J52" s="1" t="str">
        <f>VLOOKUP(A52,[1]Sheet1!$A$2:$H$1141,8,0)</f>
        <v>Dept. of Communication, Legal &amp; GA</v>
      </c>
      <c r="K52" s="1" t="str">
        <f>VLOOKUP(A52,[1]Sheet1!$A$2:$I$1141,9,0)</f>
        <v>Unit of General Facility &amp; Asset</v>
      </c>
      <c r="L52" s="1" t="str">
        <f>VLOOKUP(A52,[1]Sheet1!$A$2:$J$1141,10,0)</f>
        <v>Section of Asset Management</v>
      </c>
      <c r="M52" s="2">
        <v>26746</v>
      </c>
      <c r="N52" s="1" t="s">
        <v>29</v>
      </c>
      <c r="O52" s="1" t="s">
        <v>30</v>
      </c>
      <c r="P52" s="1" t="s">
        <v>330</v>
      </c>
      <c r="Q52" s="1" t="s">
        <v>331</v>
      </c>
      <c r="R52" s="1" t="s">
        <v>332</v>
      </c>
      <c r="S52" s="1" t="s">
        <v>333</v>
      </c>
      <c r="T52" s="14">
        <v>47209</v>
      </c>
      <c r="U52" s="1" t="s">
        <v>334</v>
      </c>
      <c r="V52" s="1" t="s">
        <v>36</v>
      </c>
      <c r="W52" s="3" t="str">
        <f t="shared" si="0"/>
        <v>53 tahun</v>
      </c>
      <c r="X52" s="1" t="s">
        <v>96</v>
      </c>
      <c r="Y52" s="1" t="s">
        <v>48</v>
      </c>
      <c r="Z52" s="2">
        <v>37469</v>
      </c>
      <c r="AA52" s="2">
        <v>38718</v>
      </c>
      <c r="AB52" s="2" t="s">
        <v>335</v>
      </c>
    </row>
    <row r="53" spans="1:28" x14ac:dyDescent="0.35">
      <c r="A53" s="12">
        <v>4723</v>
      </c>
      <c r="B53" s="12">
        <v>7002136</v>
      </c>
      <c r="C53" s="12" t="s">
        <v>164</v>
      </c>
      <c r="D53" s="12">
        <v>50066691</v>
      </c>
      <c r="E53" s="1" t="s">
        <v>336</v>
      </c>
      <c r="F53" s="1" t="str">
        <f>VLOOKUP(A53,[1]Sheet1!$A$2:$E$1141,5,0)</f>
        <v>Asset Management Jr Officer</v>
      </c>
      <c r="G53" s="17" t="str">
        <f>VLOOKUP(A53,[1]Sheet1!$A$2:$F$1141,6,0)</f>
        <v>Supervisor</v>
      </c>
      <c r="H53" s="1" t="s">
        <v>329</v>
      </c>
      <c r="I53" s="1" t="s">
        <v>28</v>
      </c>
      <c r="J53" s="1" t="str">
        <f>VLOOKUP(A53,[1]Sheet1!$A$2:$H$1141,8,0)</f>
        <v>Dept. of Communication, Legal &amp; GA</v>
      </c>
      <c r="K53" s="1" t="str">
        <f>VLOOKUP(A53,[1]Sheet1!$A$2:$I$1141,9,0)</f>
        <v>Unit of General Facility &amp; Asset</v>
      </c>
      <c r="L53" s="1" t="str">
        <f>VLOOKUP(A53,[1]Sheet1!$A$2:$J$1141,10,0)</f>
        <v>Section of Asset Management</v>
      </c>
      <c r="M53" s="2">
        <v>25794</v>
      </c>
      <c r="N53" s="1" t="s">
        <v>59</v>
      </c>
      <c r="O53" s="1" t="s">
        <v>30</v>
      </c>
      <c r="P53" s="1" t="s">
        <v>337</v>
      </c>
      <c r="Q53" s="1" t="s">
        <v>331</v>
      </c>
      <c r="R53" s="1" t="s">
        <v>332</v>
      </c>
      <c r="S53" s="1" t="s">
        <v>333</v>
      </c>
      <c r="T53" s="14">
        <v>46266</v>
      </c>
      <c r="U53" s="1" t="s">
        <v>338</v>
      </c>
      <c r="V53" s="1" t="s">
        <v>36</v>
      </c>
      <c r="W53" s="3" t="str">
        <f t="shared" si="0"/>
        <v>56 tahun</v>
      </c>
      <c r="X53" s="1" t="s">
        <v>339</v>
      </c>
      <c r="Y53" s="1" t="s">
        <v>48</v>
      </c>
      <c r="Z53" s="2">
        <v>37469</v>
      </c>
      <c r="AA53" s="2">
        <v>38718</v>
      </c>
      <c r="AB53" s="2" t="s">
        <v>84</v>
      </c>
    </row>
    <row r="54" spans="1:28" x14ac:dyDescent="0.35">
      <c r="A54" s="12">
        <v>6210</v>
      </c>
      <c r="B54" s="12">
        <v>9112376</v>
      </c>
      <c r="C54" s="12" t="s">
        <v>103</v>
      </c>
      <c r="D54" s="12">
        <v>50066692</v>
      </c>
      <c r="E54" s="1" t="s">
        <v>340</v>
      </c>
      <c r="F54" s="1" t="s">
        <v>341</v>
      </c>
      <c r="G54" s="17" t="str">
        <f>VLOOKUP(A54,[1]Sheet1!$A$2:$F$1141,6,0)</f>
        <v>Supervisor</v>
      </c>
      <c r="H54" s="1" t="s">
        <v>329</v>
      </c>
      <c r="I54" s="1" t="s">
        <v>28</v>
      </c>
      <c r="J54" s="1" t="s">
        <v>118</v>
      </c>
      <c r="K54" s="1" t="s">
        <v>324</v>
      </c>
      <c r="L54" s="1" t="s">
        <v>332</v>
      </c>
      <c r="M54" s="2">
        <v>33494</v>
      </c>
      <c r="N54" s="1" t="s">
        <v>29</v>
      </c>
      <c r="O54" s="1" t="s">
        <v>30</v>
      </c>
      <c r="P54" s="1" t="s">
        <v>342</v>
      </c>
      <c r="Q54" s="1" t="s">
        <v>331</v>
      </c>
      <c r="R54" s="1" t="s">
        <v>332</v>
      </c>
      <c r="S54" s="1" t="s">
        <v>333</v>
      </c>
      <c r="T54" s="14">
        <v>53966</v>
      </c>
      <c r="U54" s="1" t="s">
        <v>343</v>
      </c>
      <c r="V54" s="1" t="s">
        <v>36</v>
      </c>
      <c r="W54" s="3" t="str">
        <f t="shared" si="0"/>
        <v>34 tahun</v>
      </c>
      <c r="X54" s="1" t="s">
        <v>121</v>
      </c>
      <c r="Y54" s="1" t="s">
        <v>48</v>
      </c>
      <c r="Z54" s="2">
        <v>41275</v>
      </c>
      <c r="AA54" s="2">
        <v>41395</v>
      </c>
      <c r="AB54" s="2" t="s">
        <v>344</v>
      </c>
    </row>
    <row r="55" spans="1:28" x14ac:dyDescent="0.35">
      <c r="A55" s="12">
        <v>5223</v>
      </c>
      <c r="B55" s="12">
        <v>7702286</v>
      </c>
      <c r="C55" s="12" t="s">
        <v>164</v>
      </c>
      <c r="D55" s="12">
        <v>50070922</v>
      </c>
      <c r="E55" s="1" t="s">
        <v>345</v>
      </c>
      <c r="F55" s="1" t="str">
        <f>VLOOKUP(A55,[1]Sheet1!$A$2:$E$1141,5,0)</f>
        <v>D Asset Management Jr Officer</v>
      </c>
      <c r="G55" s="17" t="str">
        <f>VLOOKUP(A55,[1]Sheet1!$A$2:$F$1141,6,0)</f>
        <v>Supervisor</v>
      </c>
      <c r="H55" s="1" t="s">
        <v>329</v>
      </c>
      <c r="I55" s="1" t="s">
        <v>28</v>
      </c>
      <c r="J55" s="1" t="str">
        <f>VLOOKUP(A55,[1]Sheet1!$A$2:$H$1141,8,0)</f>
        <v>Dept. of Communication, Legal &amp; GA</v>
      </c>
      <c r="K55" s="1" t="str">
        <f>VLOOKUP(A55,[1]Sheet1!$A$2:$I$1141,9,0)</f>
        <v>Unit of General Facility &amp; Asset</v>
      </c>
      <c r="L55" s="1" t="str">
        <f>VLOOKUP(A55,[1]Sheet1!$A$2:$J$1141,10,0)</f>
        <v>Section of Asset Management</v>
      </c>
      <c r="M55" s="2">
        <v>28177</v>
      </c>
      <c r="N55" s="1" t="s">
        <v>29</v>
      </c>
      <c r="O55" s="1" t="s">
        <v>30</v>
      </c>
      <c r="P55" s="1" t="s">
        <v>346</v>
      </c>
      <c r="Q55" s="1" t="s">
        <v>331</v>
      </c>
      <c r="R55" s="1" t="s">
        <v>332</v>
      </c>
      <c r="S55" s="1" t="s">
        <v>333</v>
      </c>
      <c r="T55" s="14">
        <v>48639</v>
      </c>
      <c r="U55" s="1" t="s">
        <v>347</v>
      </c>
      <c r="V55" s="1" t="s">
        <v>36</v>
      </c>
      <c r="W55" s="3" t="str">
        <f t="shared" si="0"/>
        <v>49 tahun</v>
      </c>
      <c r="X55" s="1" t="s">
        <v>248</v>
      </c>
      <c r="Y55" s="1" t="s">
        <v>56</v>
      </c>
      <c r="Z55" s="2">
        <v>37469</v>
      </c>
      <c r="AA55" s="2">
        <v>38718</v>
      </c>
      <c r="AB55" s="2" t="s">
        <v>348</v>
      </c>
    </row>
    <row r="56" spans="1:28" x14ac:dyDescent="0.35">
      <c r="A56" s="12">
        <v>4871</v>
      </c>
      <c r="B56" s="12">
        <v>7295009</v>
      </c>
      <c r="C56" s="12" t="s">
        <v>50</v>
      </c>
      <c r="D56" s="12">
        <v>50066694</v>
      </c>
      <c r="E56" s="16" t="s">
        <v>349</v>
      </c>
      <c r="F56" s="1" t="str">
        <f>VLOOKUP(A56,[1]Sheet1!$A$2:$E$1141,5,0)</f>
        <v>Mgr of General Facility 1 (Tonasa 1)</v>
      </c>
      <c r="G56" s="16" t="str">
        <f>VLOOKUP(A56,[1]Sheet1!$A$2:$F$1141,6,0)</f>
        <v>Manager</v>
      </c>
      <c r="H56" s="1" t="s">
        <v>350</v>
      </c>
      <c r="I56" s="1" t="s">
        <v>28</v>
      </c>
      <c r="J56" s="1" t="str">
        <f>VLOOKUP(A56,[1]Sheet1!$A$2:$H$1141,8,0)</f>
        <v>Dept. of Communication, Legal &amp; GA</v>
      </c>
      <c r="K56" s="1" t="str">
        <f>VLOOKUP(A56,[1]Sheet1!$A$2:$I$1141,9,0)</f>
        <v>Unit of General Facility &amp; Asset</v>
      </c>
      <c r="L56" s="1" t="str">
        <f>VLOOKUP(A56,[1]Sheet1!$A$2:$J$1141,10,0)</f>
        <v>Section of General Facility 1 (Tonasa 1)</v>
      </c>
      <c r="M56" s="2">
        <v>26557</v>
      </c>
      <c r="N56" s="1" t="s">
        <v>29</v>
      </c>
      <c r="O56" s="1" t="s">
        <v>30</v>
      </c>
      <c r="P56" s="1" t="s">
        <v>351</v>
      </c>
      <c r="Q56" s="1" t="s">
        <v>352</v>
      </c>
      <c r="R56" s="1" t="s">
        <v>353</v>
      </c>
      <c r="S56" s="1" t="s">
        <v>354</v>
      </c>
      <c r="T56" s="14">
        <v>47027</v>
      </c>
      <c r="U56" s="1" t="s">
        <v>355</v>
      </c>
      <c r="V56" s="1" t="s">
        <v>36</v>
      </c>
      <c r="W56" s="3" t="str">
        <f t="shared" si="0"/>
        <v>53 tahun</v>
      </c>
      <c r="X56" s="1" t="s">
        <v>356</v>
      </c>
      <c r="Y56" s="1" t="s">
        <v>56</v>
      </c>
      <c r="Z56" s="2">
        <v>34897</v>
      </c>
      <c r="AA56" s="2">
        <v>35278</v>
      </c>
      <c r="AB56" s="2" t="s">
        <v>357</v>
      </c>
    </row>
    <row r="57" spans="1:28" x14ac:dyDescent="0.35">
      <c r="A57" s="12">
        <v>5009</v>
      </c>
      <c r="B57" s="12">
        <v>7495106</v>
      </c>
      <c r="C57" s="12" t="s">
        <v>50</v>
      </c>
      <c r="D57" s="12">
        <v>50066695</v>
      </c>
      <c r="E57" s="1" t="s">
        <v>358</v>
      </c>
      <c r="F57" s="1" t="str">
        <f>VLOOKUP(A57,[1]Sheet1!$A$2:$E$1141,5,0)</f>
        <v>General Facility 1 (Tonasa 1) Jr Officer</v>
      </c>
      <c r="G57" s="17" t="str">
        <f>VLOOKUP(A57,[1]Sheet1!$A$2:$F$1141,6,0)</f>
        <v>Supervisor</v>
      </c>
      <c r="H57" s="1" t="s">
        <v>350</v>
      </c>
      <c r="I57" s="1" t="s">
        <v>28</v>
      </c>
      <c r="J57" s="1" t="str">
        <f>VLOOKUP(A57,[1]Sheet1!$A$2:$H$1141,8,0)</f>
        <v>Dept. of Communication, Legal &amp; GA</v>
      </c>
      <c r="K57" s="1" t="str">
        <f>VLOOKUP(A57,[1]Sheet1!$A$2:$I$1141,9,0)</f>
        <v>Unit of General Facility &amp; Asset</v>
      </c>
      <c r="L57" s="1" t="str">
        <f>VLOOKUP(A57,[1]Sheet1!$A$2:$J$1141,10,0)</f>
        <v>Section of General Facility 1 (Tonasa 1)</v>
      </c>
      <c r="M57" s="2">
        <v>27065</v>
      </c>
      <c r="N57" s="1" t="s">
        <v>29</v>
      </c>
      <c r="O57" s="1" t="s">
        <v>30</v>
      </c>
      <c r="P57" s="1" t="s">
        <v>359</v>
      </c>
      <c r="Q57" s="1" t="s">
        <v>352</v>
      </c>
      <c r="R57" s="1" t="s">
        <v>353</v>
      </c>
      <c r="S57" s="1" t="s">
        <v>354</v>
      </c>
      <c r="T57" s="14">
        <v>47543</v>
      </c>
      <c r="U57" s="1" t="s">
        <v>360</v>
      </c>
      <c r="V57" s="1" t="s">
        <v>36</v>
      </c>
      <c r="W57" s="3" t="str">
        <f t="shared" si="0"/>
        <v>52 tahun</v>
      </c>
      <c r="X57" s="1" t="s">
        <v>361</v>
      </c>
      <c r="Y57" s="1" t="s">
        <v>56</v>
      </c>
      <c r="Z57" s="2">
        <v>34932</v>
      </c>
      <c r="AA57" s="2">
        <v>35309</v>
      </c>
      <c r="AB57" s="2" t="s">
        <v>362</v>
      </c>
    </row>
    <row r="58" spans="1:28" x14ac:dyDescent="0.35">
      <c r="A58" s="12">
        <v>5041</v>
      </c>
      <c r="B58" s="12">
        <v>7506494</v>
      </c>
      <c r="C58" s="12" t="s">
        <v>219</v>
      </c>
      <c r="D58" s="12">
        <v>50066696</v>
      </c>
      <c r="E58" s="1" t="s">
        <v>363</v>
      </c>
      <c r="F58" s="1" t="str">
        <f>VLOOKUP(A58,[1]Sheet1!$A$2:$E$1141,5,0)</f>
        <v>General Facility 1 (Tonasa 1) Jr Officer</v>
      </c>
      <c r="G58" s="17" t="str">
        <f>VLOOKUP(A58,[1]Sheet1!$A$2:$F$1141,6,0)</f>
        <v>Supervisor</v>
      </c>
      <c r="H58" s="1" t="s">
        <v>350</v>
      </c>
      <c r="I58" s="1" t="s">
        <v>28</v>
      </c>
      <c r="J58" s="1" t="str">
        <f>VLOOKUP(A58,[1]Sheet1!$A$2:$H$1141,8,0)</f>
        <v>Dept. of Communication, Legal &amp; GA</v>
      </c>
      <c r="K58" s="1" t="str">
        <f>VLOOKUP(A58,[1]Sheet1!$A$2:$I$1141,9,0)</f>
        <v>Unit of General Facility &amp; Asset</v>
      </c>
      <c r="L58" s="1" t="str">
        <f>VLOOKUP(A58,[1]Sheet1!$A$2:$J$1141,10,0)</f>
        <v>Section of General Facility 1 (Tonasa 1)</v>
      </c>
      <c r="M58" s="2">
        <v>27522</v>
      </c>
      <c r="N58" s="1" t="s">
        <v>29</v>
      </c>
      <c r="O58" s="1" t="s">
        <v>30</v>
      </c>
      <c r="P58" s="1" t="s">
        <v>364</v>
      </c>
      <c r="Q58" s="1" t="s">
        <v>352</v>
      </c>
      <c r="R58" s="1" t="s">
        <v>353</v>
      </c>
      <c r="S58" s="1" t="s">
        <v>354</v>
      </c>
      <c r="T58" s="14">
        <v>48000</v>
      </c>
      <c r="U58" s="1" t="s">
        <v>365</v>
      </c>
      <c r="V58" s="1" t="s">
        <v>36</v>
      </c>
      <c r="W58" s="3" t="str">
        <f t="shared" si="0"/>
        <v>51 tahun</v>
      </c>
      <c r="X58" s="1" t="s">
        <v>248</v>
      </c>
      <c r="Y58" s="1" t="s">
        <v>56</v>
      </c>
      <c r="Z58" s="2">
        <v>38718</v>
      </c>
      <c r="AA58" s="2">
        <v>41030</v>
      </c>
      <c r="AB58" s="2" t="s">
        <v>366</v>
      </c>
    </row>
    <row r="59" spans="1:28" x14ac:dyDescent="0.35">
      <c r="A59" s="12">
        <v>4727</v>
      </c>
      <c r="B59" s="12">
        <v>7002138</v>
      </c>
      <c r="C59" s="12" t="s">
        <v>164</v>
      </c>
      <c r="D59" s="12">
        <v>50070923</v>
      </c>
      <c r="E59" s="1" t="s">
        <v>367</v>
      </c>
      <c r="F59" s="1" t="str">
        <f>VLOOKUP(A59,[1]Sheet1!$A$2:$E$1141,5,0)</f>
        <v>D General Facility 1 (Tonasa 1) Jr Ofc.</v>
      </c>
      <c r="G59" s="17" t="str">
        <f>VLOOKUP(A59,[1]Sheet1!$A$2:$F$1141,6,0)</f>
        <v>Supervisor</v>
      </c>
      <c r="H59" s="1" t="s">
        <v>350</v>
      </c>
      <c r="I59" s="1" t="s">
        <v>28</v>
      </c>
      <c r="J59" s="1" t="str">
        <f>VLOOKUP(A59,[1]Sheet1!$A$2:$H$1141,8,0)</f>
        <v>Dept. of Communication, Legal &amp; GA</v>
      </c>
      <c r="K59" s="1" t="str">
        <f>VLOOKUP(A59,[1]Sheet1!$A$2:$I$1141,9,0)</f>
        <v>Unit of General Facility &amp; Asset</v>
      </c>
      <c r="L59" s="1" t="str">
        <f>VLOOKUP(A59,[1]Sheet1!$A$2:$J$1141,10,0)</f>
        <v>Section of General Facility 1 (Tonasa 1)</v>
      </c>
      <c r="M59" s="2">
        <v>25813</v>
      </c>
      <c r="N59" s="1" t="s">
        <v>29</v>
      </c>
      <c r="O59" s="1" t="s">
        <v>30</v>
      </c>
      <c r="P59" s="1" t="s">
        <v>368</v>
      </c>
      <c r="Q59" s="1" t="s">
        <v>352</v>
      </c>
      <c r="R59" s="1" t="s">
        <v>353</v>
      </c>
      <c r="S59" s="1" t="s">
        <v>354</v>
      </c>
      <c r="T59" s="14">
        <v>46296</v>
      </c>
      <c r="U59" s="1" t="s">
        <v>369</v>
      </c>
      <c r="V59" s="1" t="s">
        <v>36</v>
      </c>
      <c r="W59" s="3" t="str">
        <f t="shared" si="0"/>
        <v>55 tahun</v>
      </c>
      <c r="X59" s="1" t="s">
        <v>248</v>
      </c>
      <c r="Y59" s="1" t="s">
        <v>56</v>
      </c>
      <c r="Z59" s="2">
        <v>37469</v>
      </c>
      <c r="AA59" s="2">
        <v>38718</v>
      </c>
      <c r="AB59" s="2" t="s">
        <v>370</v>
      </c>
    </row>
    <row r="60" spans="1:28" x14ac:dyDescent="0.35">
      <c r="A60" s="12">
        <v>4899</v>
      </c>
      <c r="B60" s="12">
        <v>7395271</v>
      </c>
      <c r="C60" s="12" t="s">
        <v>50</v>
      </c>
      <c r="D60" s="12">
        <v>50066697</v>
      </c>
      <c r="E60" s="16" t="s">
        <v>371</v>
      </c>
      <c r="F60" s="1" t="str">
        <f>VLOOKUP(A60,[1]Sheet1!$A$2:$E$1141,5,0)</f>
        <v>Mgr of General Affair &amp; Facility 2 (T.2)</v>
      </c>
      <c r="G60" s="16" t="str">
        <f>VLOOKUP(A60,[1]Sheet1!$A$2:$F$1141,6,0)</f>
        <v>Manager</v>
      </c>
      <c r="H60" s="1" t="s">
        <v>372</v>
      </c>
      <c r="I60" s="1" t="s">
        <v>28</v>
      </c>
      <c r="J60" s="1" t="str">
        <f>VLOOKUP(A60,[1]Sheet1!$A$2:$H$1141,8,0)</f>
        <v>Dept. of Communication, Legal &amp; GA</v>
      </c>
      <c r="K60" s="1" t="str">
        <f>VLOOKUP(A60,[1]Sheet1!$A$2:$I$1141,9,0)</f>
        <v>Unit of General Facility &amp; Asset</v>
      </c>
      <c r="L60" s="1" t="str">
        <f>VLOOKUP(A60,[1]Sheet1!$A$2:$J$1141,10,0)</f>
        <v>Section of General Affair &amp; Facility 2</v>
      </c>
      <c r="M60" s="2">
        <v>26685</v>
      </c>
      <c r="N60" s="1" t="s">
        <v>29</v>
      </c>
      <c r="O60" s="1" t="s">
        <v>30</v>
      </c>
      <c r="P60" s="1" t="s">
        <v>373</v>
      </c>
      <c r="Q60" s="1" t="s">
        <v>374</v>
      </c>
      <c r="R60" s="1" t="s">
        <v>375</v>
      </c>
      <c r="S60" s="1" t="s">
        <v>376</v>
      </c>
      <c r="T60" s="14">
        <v>47150</v>
      </c>
      <c r="U60" s="1" t="s">
        <v>377</v>
      </c>
      <c r="V60" s="1" t="s">
        <v>36</v>
      </c>
      <c r="W60" s="3" t="str">
        <f t="shared" si="0"/>
        <v>53 tahun</v>
      </c>
      <c r="X60" s="1" t="s">
        <v>248</v>
      </c>
      <c r="Y60" s="1" t="s">
        <v>48</v>
      </c>
      <c r="Z60" s="2">
        <v>35034</v>
      </c>
      <c r="AA60" s="2">
        <v>35400</v>
      </c>
      <c r="AB60" s="2" t="s">
        <v>84</v>
      </c>
    </row>
    <row r="61" spans="1:28" x14ac:dyDescent="0.35">
      <c r="A61" s="12">
        <v>4773</v>
      </c>
      <c r="B61" s="12">
        <v>7102169</v>
      </c>
      <c r="C61" s="12" t="s">
        <v>164</v>
      </c>
      <c r="D61" s="12">
        <v>50066698</v>
      </c>
      <c r="E61" s="1" t="s">
        <v>378</v>
      </c>
      <c r="F61" s="1" t="str">
        <f>VLOOKUP(A61,[1]Sheet1!$A$2:$E$1141,5,0)</f>
        <v>GA &amp; Facility 2 (Tonasa 2) Jr Officer</v>
      </c>
      <c r="G61" s="17" t="str">
        <f>VLOOKUP(A61,[1]Sheet1!$A$2:$F$1141,6,0)</f>
        <v>Supervisor</v>
      </c>
      <c r="H61" s="1" t="s">
        <v>372</v>
      </c>
      <c r="I61" s="1" t="s">
        <v>28</v>
      </c>
      <c r="J61" s="1" t="str">
        <f>VLOOKUP(A61,[1]Sheet1!$A$2:$H$1141,8,0)</f>
        <v>Dept. of Communication, Legal &amp; GA</v>
      </c>
      <c r="K61" s="1" t="str">
        <f>VLOOKUP(A61,[1]Sheet1!$A$2:$I$1141,9,0)</f>
        <v>Unit of General Facility &amp; Asset</v>
      </c>
      <c r="L61" s="1" t="str">
        <f>VLOOKUP(A61,[1]Sheet1!$A$2:$J$1141,10,0)</f>
        <v>Section of General Affair &amp; Facility 2</v>
      </c>
      <c r="M61" s="2">
        <v>26140</v>
      </c>
      <c r="N61" s="1" t="s">
        <v>29</v>
      </c>
      <c r="O61" s="1" t="s">
        <v>30</v>
      </c>
      <c r="P61" s="1" t="s">
        <v>379</v>
      </c>
      <c r="Q61" s="1" t="s">
        <v>374</v>
      </c>
      <c r="R61" s="1" t="s">
        <v>375</v>
      </c>
      <c r="S61" s="1" t="s">
        <v>376</v>
      </c>
      <c r="T61" s="14">
        <v>46600</v>
      </c>
      <c r="U61" s="1" t="s">
        <v>380</v>
      </c>
      <c r="V61" s="1" t="s">
        <v>36</v>
      </c>
      <c r="W61" s="3" t="str">
        <f t="shared" si="0"/>
        <v>55 tahun</v>
      </c>
      <c r="X61" s="1" t="s">
        <v>381</v>
      </c>
      <c r="Y61" s="1" t="s">
        <v>56</v>
      </c>
      <c r="Z61" s="2">
        <v>37469</v>
      </c>
      <c r="AA61" s="2">
        <v>38718</v>
      </c>
      <c r="AB61" s="2" t="s">
        <v>382</v>
      </c>
    </row>
    <row r="62" spans="1:28" x14ac:dyDescent="0.35">
      <c r="A62" s="12">
        <v>4926</v>
      </c>
      <c r="B62" s="12">
        <v>7395099</v>
      </c>
      <c r="C62" s="12" t="s">
        <v>50</v>
      </c>
      <c r="D62" s="12">
        <v>50066699</v>
      </c>
      <c r="E62" s="1" t="s">
        <v>383</v>
      </c>
      <c r="F62" s="1" t="str">
        <f>VLOOKUP(A62,[1]Sheet1!$A$2:$E$1141,5,0)</f>
        <v>GA &amp; Facility 2 (Tonasa 2) Jr Officer</v>
      </c>
      <c r="G62" s="17" t="str">
        <f>VLOOKUP(A62,[1]Sheet1!$A$2:$F$1141,6,0)</f>
        <v>Supervisor</v>
      </c>
      <c r="H62" s="1" t="s">
        <v>372</v>
      </c>
      <c r="I62" s="1" t="s">
        <v>28</v>
      </c>
      <c r="J62" s="1" t="str">
        <f>VLOOKUP(A62,[1]Sheet1!$A$2:$H$1141,8,0)</f>
        <v>Dept. of Communication, Legal &amp; GA</v>
      </c>
      <c r="K62" s="1" t="str">
        <f>VLOOKUP(A62,[1]Sheet1!$A$2:$I$1141,9,0)</f>
        <v>Unit of General Facility &amp; Asset</v>
      </c>
      <c r="L62" s="1" t="str">
        <f>VLOOKUP(A62,[1]Sheet1!$A$2:$J$1141,10,0)</f>
        <v>Section of General Affair &amp; Facility 2</v>
      </c>
      <c r="M62" s="2">
        <v>26797</v>
      </c>
      <c r="N62" s="1" t="s">
        <v>29</v>
      </c>
      <c r="O62" s="1" t="s">
        <v>30</v>
      </c>
      <c r="P62" s="1" t="s">
        <v>384</v>
      </c>
      <c r="Q62" s="1" t="s">
        <v>374</v>
      </c>
      <c r="R62" s="1" t="s">
        <v>375</v>
      </c>
      <c r="S62" s="1" t="s">
        <v>376</v>
      </c>
      <c r="T62" s="14">
        <v>47270</v>
      </c>
      <c r="U62" s="1" t="s">
        <v>385</v>
      </c>
      <c r="V62" s="1" t="s">
        <v>36</v>
      </c>
      <c r="W62" s="3" t="str">
        <f t="shared" si="0"/>
        <v>53 tahun</v>
      </c>
      <c r="X62" s="1" t="s">
        <v>55</v>
      </c>
      <c r="Y62" s="1" t="s">
        <v>56</v>
      </c>
      <c r="Z62" s="2">
        <v>34932</v>
      </c>
      <c r="AA62" s="2">
        <v>35309</v>
      </c>
      <c r="AB62" s="2" t="s">
        <v>84</v>
      </c>
    </row>
    <row r="63" spans="1:28" x14ac:dyDescent="0.35">
      <c r="A63" s="12">
        <v>4422</v>
      </c>
      <c r="B63" s="12">
        <v>7106299</v>
      </c>
      <c r="C63" s="12" t="s">
        <v>219</v>
      </c>
      <c r="D63" s="12">
        <v>50066700</v>
      </c>
      <c r="E63" s="1" t="s">
        <v>386</v>
      </c>
      <c r="F63" s="1" t="str">
        <f>VLOOKUP(A63,[1]Sheet1!$A$2:$E$1141,5,0)</f>
        <v>GA &amp; Facility 2 (Tonasa 2) Jr Officer</v>
      </c>
      <c r="G63" s="17" t="str">
        <f>VLOOKUP(A63,[1]Sheet1!$A$2:$F$1141,6,0)</f>
        <v>Supervisor</v>
      </c>
      <c r="H63" s="1" t="s">
        <v>372</v>
      </c>
      <c r="I63" s="1" t="s">
        <v>28</v>
      </c>
      <c r="J63" s="1" t="str">
        <f>VLOOKUP(A63,[1]Sheet1!$A$2:$H$1141,8,0)</f>
        <v>Dept. of Communication, Legal &amp; GA</v>
      </c>
      <c r="K63" s="1" t="str">
        <f>VLOOKUP(A63,[1]Sheet1!$A$2:$I$1141,9,0)</f>
        <v>Unit of General Facility &amp; Asset</v>
      </c>
      <c r="L63" s="1" t="str">
        <f>VLOOKUP(A63,[1]Sheet1!$A$2:$J$1141,10,0)</f>
        <v>Section of General Affair &amp; Facility 2</v>
      </c>
      <c r="M63" s="2">
        <v>25994</v>
      </c>
      <c r="N63" s="1" t="s">
        <v>29</v>
      </c>
      <c r="O63" s="1" t="s">
        <v>30</v>
      </c>
      <c r="P63" s="1" t="s">
        <v>387</v>
      </c>
      <c r="Q63" s="1" t="s">
        <v>374</v>
      </c>
      <c r="R63" s="1" t="s">
        <v>375</v>
      </c>
      <c r="S63" s="1" t="s">
        <v>376</v>
      </c>
      <c r="T63" s="14">
        <v>46478</v>
      </c>
      <c r="U63" s="1" t="s">
        <v>388</v>
      </c>
      <c r="V63" s="1" t="s">
        <v>36</v>
      </c>
      <c r="W63" s="3" t="str">
        <f t="shared" si="0"/>
        <v>55 tahun</v>
      </c>
      <c r="X63" s="1" t="s">
        <v>248</v>
      </c>
      <c r="Y63" s="1" t="s">
        <v>56</v>
      </c>
      <c r="Z63" s="2">
        <v>38718</v>
      </c>
      <c r="AA63" s="2">
        <v>41030</v>
      </c>
      <c r="AB63" s="2" t="s">
        <v>389</v>
      </c>
    </row>
    <row r="64" spans="1:28" x14ac:dyDescent="0.35">
      <c r="A64" s="12">
        <v>5015</v>
      </c>
      <c r="B64" s="12">
        <v>7402246</v>
      </c>
      <c r="C64" s="12" t="s">
        <v>164</v>
      </c>
      <c r="D64" s="12">
        <v>50066701</v>
      </c>
      <c r="E64" s="1" t="s">
        <v>390</v>
      </c>
      <c r="F64" s="1" t="str">
        <f>VLOOKUP(A64,[1]Sheet1!$A$2:$E$1141,5,0)</f>
        <v>GA &amp; Facility 2 (Tonasa 2) Jr Officer</v>
      </c>
      <c r="G64" s="17" t="str">
        <f>VLOOKUP(A64,[1]Sheet1!$A$2:$F$1141,6,0)</f>
        <v>Supervisor</v>
      </c>
      <c r="H64" s="1" t="s">
        <v>372</v>
      </c>
      <c r="I64" s="1" t="s">
        <v>28</v>
      </c>
      <c r="J64" s="1" t="str">
        <f>VLOOKUP(A64,[1]Sheet1!$A$2:$H$1141,8,0)</f>
        <v>Dept. of Communication, Legal &amp; GA</v>
      </c>
      <c r="K64" s="1" t="str">
        <f>VLOOKUP(A64,[1]Sheet1!$A$2:$I$1141,9,0)</f>
        <v>Unit of General Facility &amp; Asset</v>
      </c>
      <c r="L64" s="1" t="str">
        <f>VLOOKUP(A64,[1]Sheet1!$A$2:$J$1141,10,0)</f>
        <v>Section of General Affair &amp; Facility 2</v>
      </c>
      <c r="M64" s="2">
        <v>27095</v>
      </c>
      <c r="N64" s="1" t="s">
        <v>29</v>
      </c>
      <c r="O64" s="1" t="s">
        <v>30</v>
      </c>
      <c r="P64" s="1" t="s">
        <v>391</v>
      </c>
      <c r="Q64" s="1" t="s">
        <v>374</v>
      </c>
      <c r="R64" s="1" t="s">
        <v>375</v>
      </c>
      <c r="S64" s="1" t="s">
        <v>376</v>
      </c>
      <c r="T64" s="14">
        <v>47574</v>
      </c>
      <c r="U64" s="1" t="s">
        <v>392</v>
      </c>
      <c r="V64" s="1" t="s">
        <v>36</v>
      </c>
      <c r="W64" s="3" t="str">
        <f t="shared" si="0"/>
        <v>52 tahun</v>
      </c>
      <c r="X64" s="1" t="s">
        <v>96</v>
      </c>
      <c r="Y64" s="1" t="s">
        <v>48</v>
      </c>
      <c r="Z64" s="2">
        <v>37469</v>
      </c>
      <c r="AA64" s="2">
        <v>38718</v>
      </c>
      <c r="AB64" s="2" t="s">
        <v>393</v>
      </c>
    </row>
    <row r="65" spans="1:28" x14ac:dyDescent="0.35">
      <c r="A65" s="12">
        <v>5147</v>
      </c>
      <c r="B65" s="12">
        <v>7502271</v>
      </c>
      <c r="C65" s="12" t="s">
        <v>164</v>
      </c>
      <c r="D65" s="12">
        <v>50066702</v>
      </c>
      <c r="E65" s="1" t="s">
        <v>394</v>
      </c>
      <c r="F65" s="1" t="str">
        <f>VLOOKUP(A65,[1]Sheet1!$A$2:$E$1141,5,0)</f>
        <v>GA &amp; Facility 2 (Tonasa 2) Jr Officer</v>
      </c>
      <c r="G65" s="17" t="str">
        <f>VLOOKUP(A65,[1]Sheet1!$A$2:$F$1141,6,0)</f>
        <v>Supervisor</v>
      </c>
      <c r="H65" s="1" t="s">
        <v>372</v>
      </c>
      <c r="I65" s="1" t="s">
        <v>28</v>
      </c>
      <c r="J65" s="1" t="str">
        <f>VLOOKUP(A65,[1]Sheet1!$A$2:$H$1141,8,0)</f>
        <v>Dept. of Communication, Legal &amp; GA</v>
      </c>
      <c r="K65" s="1" t="str">
        <f>VLOOKUP(A65,[1]Sheet1!$A$2:$I$1141,9,0)</f>
        <v>Unit of General Facility &amp; Asset</v>
      </c>
      <c r="L65" s="1" t="str">
        <f>VLOOKUP(A65,[1]Sheet1!$A$2:$J$1141,10,0)</f>
        <v>Section of General Affair &amp; Facility 2</v>
      </c>
      <c r="M65" s="2">
        <v>27595</v>
      </c>
      <c r="N65" s="1" t="s">
        <v>29</v>
      </c>
      <c r="O65" s="1" t="s">
        <v>30</v>
      </c>
      <c r="P65" s="1" t="s">
        <v>395</v>
      </c>
      <c r="Q65" s="1" t="s">
        <v>374</v>
      </c>
      <c r="R65" s="1" t="s">
        <v>375</v>
      </c>
      <c r="S65" s="1" t="s">
        <v>376</v>
      </c>
      <c r="T65" s="14">
        <v>48061</v>
      </c>
      <c r="U65" s="1" t="s">
        <v>396</v>
      </c>
      <c r="V65" s="1" t="s">
        <v>36</v>
      </c>
      <c r="W65" s="3" t="str">
        <f t="shared" si="0"/>
        <v>51 tahun</v>
      </c>
      <c r="X65" s="1" t="s">
        <v>397</v>
      </c>
      <c r="Y65" s="1" t="s">
        <v>56</v>
      </c>
      <c r="Z65" s="2">
        <v>37469</v>
      </c>
      <c r="AA65" s="2">
        <v>38718</v>
      </c>
      <c r="AB65" s="2" t="s">
        <v>398</v>
      </c>
    </row>
    <row r="66" spans="1:28" x14ac:dyDescent="0.35">
      <c r="A66" s="12">
        <v>5140</v>
      </c>
      <c r="B66" s="12">
        <v>7595291</v>
      </c>
      <c r="C66" s="12" t="s">
        <v>50</v>
      </c>
      <c r="D66" s="12">
        <v>50066703</v>
      </c>
      <c r="E66" s="16" t="s">
        <v>399</v>
      </c>
      <c r="F66" s="1" t="str">
        <f>VLOOKUP(A66,[1]Sheet1!$A$2:$E$1141,5,0)</f>
        <v>Mgr of Household</v>
      </c>
      <c r="G66" s="16" t="str">
        <f>VLOOKUP(A66,[1]Sheet1!$A$2:$F$1141,6,0)</f>
        <v>Manager</v>
      </c>
      <c r="H66" s="1" t="s">
        <v>400</v>
      </c>
      <c r="I66" s="1" t="s">
        <v>28</v>
      </c>
      <c r="J66" s="1" t="str">
        <f>VLOOKUP(A66,[1]Sheet1!$A$2:$H$1141,8,0)</f>
        <v>Dept. of Communication, Legal &amp; GA</v>
      </c>
      <c r="K66" s="1" t="str">
        <f>VLOOKUP(A66,[1]Sheet1!$A$2:$I$1141,9,0)</f>
        <v>Unit of General Facility &amp; Asset</v>
      </c>
      <c r="L66" s="1" t="str">
        <f>VLOOKUP(A66,[1]Sheet1!$A$2:$J$1141,10,0)</f>
        <v>Section of Household</v>
      </c>
      <c r="M66" s="2">
        <v>27538</v>
      </c>
      <c r="N66" s="1" t="s">
        <v>59</v>
      </c>
      <c r="O66" s="1" t="s">
        <v>30</v>
      </c>
      <c r="P66" s="1" t="s">
        <v>401</v>
      </c>
      <c r="Q66" s="1" t="s">
        <v>402</v>
      </c>
      <c r="R66" s="1" t="s">
        <v>403</v>
      </c>
      <c r="S66" s="1" t="s">
        <v>404</v>
      </c>
      <c r="T66" s="14">
        <v>48000</v>
      </c>
      <c r="U66" s="1" t="s">
        <v>405</v>
      </c>
      <c r="V66" s="1" t="s">
        <v>36</v>
      </c>
      <c r="W66" s="3" t="str">
        <f t="shared" si="0"/>
        <v>51 tahun</v>
      </c>
      <c r="X66" s="1" t="s">
        <v>121</v>
      </c>
      <c r="Y66" s="1" t="s">
        <v>48</v>
      </c>
      <c r="Z66" s="2">
        <v>35034</v>
      </c>
      <c r="AA66" s="2">
        <v>35400</v>
      </c>
      <c r="AB66" s="2" t="s">
        <v>406</v>
      </c>
    </row>
    <row r="67" spans="1:28" x14ac:dyDescent="0.35">
      <c r="A67" s="12">
        <v>4986</v>
      </c>
      <c r="B67" s="12">
        <v>7302235</v>
      </c>
      <c r="C67" s="12" t="s">
        <v>164</v>
      </c>
      <c r="D67" s="12">
        <v>50066704</v>
      </c>
      <c r="E67" s="1" t="s">
        <v>407</v>
      </c>
      <c r="F67" s="1" t="str">
        <f>VLOOKUP(A67,[1]Sheet1!$A$2:$E$1141,5,0)</f>
        <v>Household Jr Officer</v>
      </c>
      <c r="G67" s="17" t="str">
        <f>VLOOKUP(A67,[1]Sheet1!$A$2:$F$1141,6,0)</f>
        <v>Supervisor</v>
      </c>
      <c r="H67" s="1" t="s">
        <v>400</v>
      </c>
      <c r="I67" s="1" t="s">
        <v>28</v>
      </c>
      <c r="J67" s="1" t="str">
        <f>VLOOKUP(A67,[1]Sheet1!$A$2:$H$1141,8,0)</f>
        <v>Dept. of Communication, Legal &amp; GA</v>
      </c>
      <c r="K67" s="1" t="str">
        <f>VLOOKUP(A67,[1]Sheet1!$A$2:$I$1141,9,0)</f>
        <v>Unit of General Facility &amp; Asset</v>
      </c>
      <c r="L67" s="1" t="str">
        <f>VLOOKUP(A67,[1]Sheet1!$A$2:$J$1141,10,0)</f>
        <v>Section of Household</v>
      </c>
      <c r="M67" s="2">
        <v>27014</v>
      </c>
      <c r="N67" s="1" t="s">
        <v>59</v>
      </c>
      <c r="O67" s="1" t="s">
        <v>30</v>
      </c>
      <c r="P67" s="1" t="s">
        <v>408</v>
      </c>
      <c r="Q67" s="1" t="s">
        <v>402</v>
      </c>
      <c r="R67" s="1" t="s">
        <v>403</v>
      </c>
      <c r="S67" s="1" t="s">
        <v>404</v>
      </c>
      <c r="T67" s="14">
        <v>47484</v>
      </c>
      <c r="U67" s="1" t="s">
        <v>409</v>
      </c>
      <c r="V67" s="1" t="s">
        <v>410</v>
      </c>
      <c r="W67" s="3" t="str">
        <f t="shared" ref="W67:W130" si="1">DATEDIF(M67,$W$1,"Y")&amp;" "&amp;"tahun"</f>
        <v>52 tahun</v>
      </c>
      <c r="X67" s="1" t="s">
        <v>217</v>
      </c>
      <c r="Y67" s="1" t="s">
        <v>56</v>
      </c>
      <c r="Z67" s="2">
        <v>37469</v>
      </c>
      <c r="AA67" s="2">
        <v>38718</v>
      </c>
      <c r="AB67" s="2" t="s">
        <v>84</v>
      </c>
    </row>
    <row r="68" spans="1:28" x14ac:dyDescent="0.35">
      <c r="A68" s="12">
        <v>4781</v>
      </c>
      <c r="B68" s="12">
        <v>7102174</v>
      </c>
      <c r="C68" s="12" t="s">
        <v>164</v>
      </c>
      <c r="D68" s="12">
        <v>50070792</v>
      </c>
      <c r="E68" s="1" t="s">
        <v>411</v>
      </c>
      <c r="F68" s="1" t="str">
        <f>VLOOKUP(A68,[1]Sheet1!$A$2:$E$1141,5,0)</f>
        <v>Household Jr Officer</v>
      </c>
      <c r="G68" s="17" t="str">
        <f>VLOOKUP(A68,[1]Sheet1!$A$2:$F$1141,6,0)</f>
        <v>Supervisor</v>
      </c>
      <c r="H68" s="1" t="s">
        <v>400</v>
      </c>
      <c r="I68" s="1" t="s">
        <v>28</v>
      </c>
      <c r="J68" s="1" t="str">
        <f>VLOOKUP(A68,[1]Sheet1!$A$2:$H$1141,8,0)</f>
        <v>Dept. of Communication, Legal &amp; GA</v>
      </c>
      <c r="K68" s="1" t="str">
        <f>VLOOKUP(A68,[1]Sheet1!$A$2:$I$1141,9,0)</f>
        <v>Unit of General Facility &amp; Asset</v>
      </c>
      <c r="L68" s="1" t="str">
        <f>VLOOKUP(A68,[1]Sheet1!$A$2:$J$1141,10,0)</f>
        <v>Section of Household</v>
      </c>
      <c r="M68" s="2">
        <v>26214</v>
      </c>
      <c r="N68" s="1" t="s">
        <v>59</v>
      </c>
      <c r="O68" s="1" t="s">
        <v>30</v>
      </c>
      <c r="P68" s="1" t="s">
        <v>412</v>
      </c>
      <c r="Q68" s="1" t="s">
        <v>402</v>
      </c>
      <c r="R68" s="1" t="s">
        <v>403</v>
      </c>
      <c r="S68" s="1" t="s">
        <v>404</v>
      </c>
      <c r="T68" s="14">
        <v>46692</v>
      </c>
      <c r="U68" s="1" t="s">
        <v>413</v>
      </c>
      <c r="V68" s="1" t="s">
        <v>36</v>
      </c>
      <c r="W68" s="3" t="str">
        <f t="shared" si="1"/>
        <v>54 tahun</v>
      </c>
      <c r="X68" s="1" t="s">
        <v>248</v>
      </c>
      <c r="Y68" s="1" t="s">
        <v>56</v>
      </c>
      <c r="Z68" s="2">
        <v>37469</v>
      </c>
      <c r="AA68" s="2">
        <v>38718</v>
      </c>
      <c r="AB68" s="2" t="s">
        <v>84</v>
      </c>
    </row>
    <row r="69" spans="1:28" x14ac:dyDescent="0.35">
      <c r="A69" s="12">
        <v>5246</v>
      </c>
      <c r="B69" s="12">
        <v>8010003</v>
      </c>
      <c r="C69" s="12" t="s">
        <v>139</v>
      </c>
      <c r="D69" s="12">
        <v>50067849</v>
      </c>
      <c r="E69" s="13" t="s">
        <v>414</v>
      </c>
      <c r="F69" s="1" t="str">
        <f>VLOOKUP(A69,[1]Sheet1!$A$2:$E$1141,5,0)</f>
        <v>GM of Market Planning &amp; Development</v>
      </c>
      <c r="G69" s="13" t="str">
        <f>VLOOKUP(A69,[1]Sheet1!$A$2:$F$1141,6,0)</f>
        <v>General Manager</v>
      </c>
      <c r="H69" s="1" t="s">
        <v>415</v>
      </c>
      <c r="I69" s="1" t="s">
        <v>28</v>
      </c>
      <c r="J69" s="1" t="str">
        <f>VLOOKUP(A69,[1]Sheet1!$A$2:$H$1141,8,0)</f>
        <v>Dept. of Market Planning &amp; Development</v>
      </c>
      <c r="K69" s="1" t="e">
        <f>VLOOKUP(A69,[1]Sheet1!$A$2:$I$1141,9,0)</f>
        <v>#REF!</v>
      </c>
      <c r="L69" s="1" t="e">
        <f>VLOOKUP(A69,[1]Sheet1!$A$2:$J$1141,10,0)</f>
        <v>#REF!</v>
      </c>
      <c r="M69" s="2">
        <v>29367</v>
      </c>
      <c r="N69" s="1" t="s">
        <v>29</v>
      </c>
      <c r="O69" s="1" t="s">
        <v>30</v>
      </c>
      <c r="P69" s="1" t="s">
        <v>416</v>
      </c>
      <c r="Q69" s="1" t="s">
        <v>417</v>
      </c>
      <c r="R69" s="1" t="s">
        <v>418</v>
      </c>
      <c r="S69" s="1" t="s">
        <v>419</v>
      </c>
      <c r="T69" s="14">
        <v>49827</v>
      </c>
      <c r="U69" s="1" t="s">
        <v>420</v>
      </c>
      <c r="V69" s="1" t="s">
        <v>36</v>
      </c>
      <c r="W69" s="3" t="str">
        <f t="shared" si="1"/>
        <v>46 tahun</v>
      </c>
      <c r="X69" s="1" t="s">
        <v>55</v>
      </c>
      <c r="Y69" s="1" t="s">
        <v>48</v>
      </c>
      <c r="Z69" s="2">
        <v>40544</v>
      </c>
      <c r="AA69" s="2">
        <v>40634</v>
      </c>
      <c r="AB69" s="2" t="s">
        <v>421</v>
      </c>
    </row>
    <row r="70" spans="1:28" x14ac:dyDescent="0.35">
      <c r="A70" s="12">
        <v>5419</v>
      </c>
      <c r="B70" s="12">
        <v>8810061</v>
      </c>
      <c r="C70" s="12" t="s">
        <v>139</v>
      </c>
      <c r="D70" s="12">
        <v>50068196</v>
      </c>
      <c r="E70" s="15" t="s">
        <v>422</v>
      </c>
      <c r="F70" s="1" t="str">
        <f>VLOOKUP(A70,[1]Sheet1!$A$2:$E$1141,5,0)</f>
        <v>SM of Product Pricing &amp; Promotion Mgmt</v>
      </c>
      <c r="G70" s="15" t="str">
        <f>VLOOKUP(A70,[1]Sheet1!$A$2:$F$1141,6,0)</f>
        <v>Senior Manager</v>
      </c>
      <c r="H70" s="1" t="s">
        <v>423</v>
      </c>
      <c r="I70" s="1" t="s">
        <v>28</v>
      </c>
      <c r="J70" s="1" t="str">
        <f>VLOOKUP(A70,[1]Sheet1!$A$2:$H$1141,8,0)</f>
        <v>Dept. of Market Planning &amp; Development</v>
      </c>
      <c r="K70" s="1" t="str">
        <f>VLOOKUP(A70,[1]Sheet1!$A$2:$I$1141,9,0)</f>
        <v>Unit of Product Pricing &amp; Promotion Mgmt</v>
      </c>
      <c r="L70" s="1" t="e">
        <f>VLOOKUP(A70,[1]Sheet1!$A$2:$J$1141,10,0)</f>
        <v>#REF!</v>
      </c>
      <c r="M70" s="2">
        <v>32388</v>
      </c>
      <c r="N70" s="1" t="s">
        <v>29</v>
      </c>
      <c r="O70" s="1" t="s">
        <v>30</v>
      </c>
      <c r="P70" s="1" t="s">
        <v>424</v>
      </c>
      <c r="Q70" s="1" t="s">
        <v>425</v>
      </c>
      <c r="R70" s="1" t="s">
        <v>426</v>
      </c>
      <c r="S70" s="1" t="s">
        <v>427</v>
      </c>
      <c r="T70" s="14">
        <v>52871</v>
      </c>
      <c r="U70" s="1" t="s">
        <v>428</v>
      </c>
      <c r="V70" s="1" t="s">
        <v>36</v>
      </c>
      <c r="W70" s="3" t="str">
        <f t="shared" si="1"/>
        <v>37 tahun</v>
      </c>
      <c r="X70" s="1" t="s">
        <v>55</v>
      </c>
      <c r="Y70" s="1" t="s">
        <v>38</v>
      </c>
      <c r="Z70" s="2">
        <v>40544</v>
      </c>
      <c r="AA70" s="2">
        <v>40909</v>
      </c>
      <c r="AB70" s="2" t="s">
        <v>429</v>
      </c>
    </row>
    <row r="71" spans="1:28" x14ac:dyDescent="0.35">
      <c r="A71" s="12">
        <v>6249</v>
      </c>
      <c r="B71" s="12">
        <v>9212417</v>
      </c>
      <c r="C71" s="12" t="s">
        <v>103</v>
      </c>
      <c r="D71" s="12">
        <v>50069278</v>
      </c>
      <c r="E71" s="16" t="s">
        <v>430</v>
      </c>
      <c r="F71" s="1" t="str">
        <f>VLOOKUP(A71,[1]Sheet1!$A$2:$E$1141,5,0)</f>
        <v>Trade Market. &amp; Promotion Mgmt. Officer</v>
      </c>
      <c r="G71" s="16" t="str">
        <f>VLOOKUP(A71,[1]Sheet1!$A$2:$F$1141,6,0)</f>
        <v>Manager</v>
      </c>
      <c r="H71" s="1" t="s">
        <v>431</v>
      </c>
      <c r="I71" s="1" t="s">
        <v>28</v>
      </c>
      <c r="J71" s="1" t="str">
        <f>VLOOKUP(A71,[1]Sheet1!$A$2:$H$1141,8,0)</f>
        <v>Dept. of Market Planning &amp; Development</v>
      </c>
      <c r="K71" s="1" t="str">
        <f>VLOOKUP(A71,[1]Sheet1!$A$2:$I$1141,9,0)</f>
        <v>Unit of Product Pricing &amp; Promotion Mgmt</v>
      </c>
      <c r="L71" s="1" t="str">
        <f>VLOOKUP(A71,[1]Sheet1!$A$2:$J$1141,10,0)</f>
        <v>Staff of Trade Market. &amp; Promotion Mgmt.</v>
      </c>
      <c r="M71" s="2">
        <v>33720</v>
      </c>
      <c r="N71" s="1" t="s">
        <v>29</v>
      </c>
      <c r="O71" s="1" t="s">
        <v>30</v>
      </c>
      <c r="P71" s="1" t="s">
        <v>432</v>
      </c>
      <c r="Q71" s="1" t="s">
        <v>433</v>
      </c>
      <c r="R71" s="1" t="s">
        <v>434</v>
      </c>
      <c r="S71" s="1" t="s">
        <v>435</v>
      </c>
      <c r="T71" s="14">
        <v>54179</v>
      </c>
      <c r="U71" s="1" t="s">
        <v>436</v>
      </c>
      <c r="V71" s="1" t="s">
        <v>36</v>
      </c>
      <c r="W71" s="3" t="str">
        <f t="shared" si="1"/>
        <v>34 tahun</v>
      </c>
      <c r="X71" s="1" t="s">
        <v>112</v>
      </c>
      <c r="Y71" s="1" t="s">
        <v>48</v>
      </c>
      <c r="Z71" s="2">
        <v>41275</v>
      </c>
      <c r="AA71" s="2">
        <v>41395</v>
      </c>
      <c r="AB71" s="2" t="s">
        <v>437</v>
      </c>
    </row>
    <row r="72" spans="1:28" x14ac:dyDescent="0.35">
      <c r="A72" s="12">
        <v>6002</v>
      </c>
      <c r="B72" s="12">
        <v>8912169</v>
      </c>
      <c r="C72" s="12" t="s">
        <v>103</v>
      </c>
      <c r="D72" s="12">
        <v>50070768</v>
      </c>
      <c r="E72" s="16" t="s">
        <v>438</v>
      </c>
      <c r="F72" s="1" t="str">
        <f>VLOOKUP(A72,[1]Sheet1!$A$2:$E$1141,5,0)</f>
        <v>Trade Market. &amp; Promotion Mgmt. Officer</v>
      </c>
      <c r="G72" s="16" t="str">
        <f>VLOOKUP(A72,[1]Sheet1!$A$2:$F$1141,6,0)</f>
        <v>Manager</v>
      </c>
      <c r="H72" s="1" t="s">
        <v>431</v>
      </c>
      <c r="I72" s="1" t="s">
        <v>28</v>
      </c>
      <c r="J72" s="1" t="str">
        <f>VLOOKUP(A72,[1]Sheet1!$A$2:$H$1141,8,0)</f>
        <v>Dept. of Market Planning &amp; Development</v>
      </c>
      <c r="K72" s="1" t="str">
        <f>VLOOKUP(A72,[1]Sheet1!$A$2:$I$1141,9,0)</f>
        <v>Unit of Product Pricing &amp; Promotion Mgmt</v>
      </c>
      <c r="L72" s="1" t="str">
        <f>VLOOKUP(A72,[1]Sheet1!$A$2:$J$1141,10,0)</f>
        <v>Staff of Trade Market. &amp; Promotion Mgmt.</v>
      </c>
      <c r="M72" s="2">
        <v>32557</v>
      </c>
      <c r="N72" s="1" t="s">
        <v>29</v>
      </c>
      <c r="O72" s="1" t="s">
        <v>30</v>
      </c>
      <c r="P72" s="1" t="s">
        <v>439</v>
      </c>
      <c r="Q72" s="1" t="s">
        <v>433</v>
      </c>
      <c r="R72" s="1" t="s">
        <v>434</v>
      </c>
      <c r="S72" s="1" t="s">
        <v>435</v>
      </c>
      <c r="T72" s="14">
        <v>53022</v>
      </c>
      <c r="U72" s="1" t="s">
        <v>440</v>
      </c>
      <c r="V72" s="1" t="s">
        <v>36</v>
      </c>
      <c r="W72" s="3" t="str">
        <f t="shared" si="1"/>
        <v>37 tahun</v>
      </c>
      <c r="X72" s="1" t="s">
        <v>121</v>
      </c>
      <c r="Y72" s="1" t="s">
        <v>48</v>
      </c>
      <c r="Z72" s="2">
        <v>41275</v>
      </c>
      <c r="AA72" s="2">
        <v>41426</v>
      </c>
      <c r="AB72" s="2" t="s">
        <v>441</v>
      </c>
    </row>
    <row r="73" spans="1:28" x14ac:dyDescent="0.35">
      <c r="A73" s="12">
        <v>6148</v>
      </c>
      <c r="B73" s="12">
        <v>9012317</v>
      </c>
      <c r="C73" s="12" t="s">
        <v>103</v>
      </c>
      <c r="D73" s="12">
        <v>50070769</v>
      </c>
      <c r="E73" s="16" t="s">
        <v>442</v>
      </c>
      <c r="F73" s="1" t="str">
        <f>VLOOKUP(A73,[1]Sheet1!$A$2:$E$1141,5,0)</f>
        <v>Trade Market. &amp; Promotion Mgmt. Officer</v>
      </c>
      <c r="G73" s="16" t="str">
        <f>VLOOKUP(A73,[1]Sheet1!$A$2:$F$1141,6,0)</f>
        <v>Manager</v>
      </c>
      <c r="H73" s="1" t="s">
        <v>431</v>
      </c>
      <c r="I73" s="1" t="s">
        <v>28</v>
      </c>
      <c r="J73" s="1" t="str">
        <f>VLOOKUP(A73,[1]Sheet1!$A$2:$H$1141,8,0)</f>
        <v>Dept. of Market Planning &amp; Development</v>
      </c>
      <c r="K73" s="1" t="str">
        <f>VLOOKUP(A73,[1]Sheet1!$A$2:$I$1141,9,0)</f>
        <v>Unit of Product Pricing &amp; Promotion Mgmt</v>
      </c>
      <c r="L73" s="1" t="str">
        <f>VLOOKUP(A73,[1]Sheet1!$A$2:$J$1141,10,0)</f>
        <v>Staff of Trade Market. &amp; Promotion Mgmt.</v>
      </c>
      <c r="M73" s="2">
        <v>33232</v>
      </c>
      <c r="N73" s="1" t="s">
        <v>59</v>
      </c>
      <c r="O73" s="1" t="s">
        <v>30</v>
      </c>
      <c r="P73" s="1" t="s">
        <v>443</v>
      </c>
      <c r="Q73" s="1" t="s">
        <v>433</v>
      </c>
      <c r="R73" s="1" t="s">
        <v>434</v>
      </c>
      <c r="S73" s="1" t="s">
        <v>435</v>
      </c>
      <c r="T73" s="14">
        <v>53693</v>
      </c>
      <c r="U73" s="1" t="s">
        <v>444</v>
      </c>
      <c r="V73" s="1" t="s">
        <v>36</v>
      </c>
      <c r="W73" s="3" t="str">
        <f t="shared" si="1"/>
        <v>35 tahun</v>
      </c>
      <c r="X73" s="1" t="s">
        <v>199</v>
      </c>
      <c r="Y73" s="1" t="s">
        <v>56</v>
      </c>
      <c r="Z73" s="2">
        <v>41275</v>
      </c>
      <c r="AA73" s="2">
        <v>41395</v>
      </c>
      <c r="AB73" s="2" t="s">
        <v>445</v>
      </c>
    </row>
    <row r="74" spans="1:28" x14ac:dyDescent="0.35">
      <c r="A74" s="12">
        <v>6099</v>
      </c>
      <c r="B74" s="12">
        <v>9012267</v>
      </c>
      <c r="C74" s="12" t="s">
        <v>103</v>
      </c>
      <c r="D74" s="12">
        <v>50069281</v>
      </c>
      <c r="E74" s="16" t="s">
        <v>446</v>
      </c>
      <c r="F74" s="1" t="str">
        <f>VLOOKUP(A74,[1]Sheet1!$A$2:$E$1141,5,0)</f>
        <v>Pricing Policy &amp; Revenue Mgmt Officer</v>
      </c>
      <c r="G74" s="16" t="str">
        <f>VLOOKUP(A74,[1]Sheet1!$A$2:$F$1141,6,0)</f>
        <v>Manager</v>
      </c>
      <c r="H74" s="1" t="s">
        <v>447</v>
      </c>
      <c r="I74" s="1" t="s">
        <v>28</v>
      </c>
      <c r="J74" s="1" t="str">
        <f>VLOOKUP(A74,[1]Sheet1!$A$2:$H$1141,8,0)</f>
        <v>Dept. of Market Planning &amp; Development</v>
      </c>
      <c r="K74" s="1" t="str">
        <f>VLOOKUP(A74,[1]Sheet1!$A$2:$I$1141,9,0)</f>
        <v>Unit of Product Pricing &amp; Promotion Mgmt</v>
      </c>
      <c r="L74" s="1" t="str">
        <f>VLOOKUP(A74,[1]Sheet1!$A$2:$J$1141,10,0)</f>
        <v>Staff of Pricing Policy &amp; Revenue Mgmt</v>
      </c>
      <c r="M74" s="2">
        <v>33029</v>
      </c>
      <c r="N74" s="1" t="s">
        <v>29</v>
      </c>
      <c r="O74" s="1" t="s">
        <v>30</v>
      </c>
      <c r="P74" s="1" t="s">
        <v>448</v>
      </c>
      <c r="Q74" s="1" t="s">
        <v>449</v>
      </c>
      <c r="R74" s="1" t="s">
        <v>450</v>
      </c>
      <c r="S74" s="1" t="s">
        <v>451</v>
      </c>
      <c r="T74" s="14">
        <v>53509</v>
      </c>
      <c r="U74" s="1" t="s">
        <v>452</v>
      </c>
      <c r="V74" s="1" t="s">
        <v>36</v>
      </c>
      <c r="W74" s="3" t="str">
        <f t="shared" si="1"/>
        <v>36 tahun</v>
      </c>
      <c r="X74" s="1" t="s">
        <v>67</v>
      </c>
      <c r="Y74" s="1" t="s">
        <v>56</v>
      </c>
      <c r="Z74" s="2">
        <v>41275</v>
      </c>
      <c r="AA74" s="2">
        <v>41395</v>
      </c>
      <c r="AB74" s="2" t="s">
        <v>453</v>
      </c>
    </row>
    <row r="75" spans="1:28" x14ac:dyDescent="0.35">
      <c r="A75" s="12">
        <v>6270</v>
      </c>
      <c r="B75" s="12">
        <v>9212439</v>
      </c>
      <c r="C75" s="12" t="s">
        <v>103</v>
      </c>
      <c r="D75" s="12">
        <v>50070767</v>
      </c>
      <c r="E75" s="16" t="s">
        <v>454</v>
      </c>
      <c r="F75" s="1" t="str">
        <f>VLOOKUP(A75,[1]Sheet1!$A$2:$E$1141,5,0)</f>
        <v>Pricing Policy &amp; Revenue Mgmt Officer</v>
      </c>
      <c r="G75" s="16" t="str">
        <f>VLOOKUP(A75,[1]Sheet1!$A$2:$F$1141,6,0)</f>
        <v>Manager</v>
      </c>
      <c r="H75" s="1" t="s">
        <v>447</v>
      </c>
      <c r="I75" s="1" t="s">
        <v>28</v>
      </c>
      <c r="J75" s="1" t="str">
        <f>VLOOKUP(A75,[1]Sheet1!$A$2:$H$1141,8,0)</f>
        <v>Dept. of Market Planning &amp; Development</v>
      </c>
      <c r="K75" s="1" t="str">
        <f>VLOOKUP(A75,[1]Sheet1!$A$2:$I$1141,9,0)</f>
        <v>Unit of Product Pricing &amp; Promotion Mgmt</v>
      </c>
      <c r="L75" s="1" t="str">
        <f>VLOOKUP(A75,[1]Sheet1!$A$2:$J$1141,10,0)</f>
        <v>Staff of Pricing Policy &amp; Revenue Mgmt</v>
      </c>
      <c r="M75" s="2">
        <v>33879</v>
      </c>
      <c r="N75" s="1" t="s">
        <v>29</v>
      </c>
      <c r="O75" s="1" t="s">
        <v>30</v>
      </c>
      <c r="P75" s="1" t="s">
        <v>455</v>
      </c>
      <c r="Q75" s="1" t="s">
        <v>449</v>
      </c>
      <c r="R75" s="1" t="s">
        <v>450</v>
      </c>
      <c r="S75" s="1" t="s">
        <v>451</v>
      </c>
      <c r="T75" s="14">
        <v>54363</v>
      </c>
      <c r="U75" s="1" t="s">
        <v>456</v>
      </c>
      <c r="V75" s="1" t="s">
        <v>36</v>
      </c>
      <c r="W75" s="3" t="str">
        <f t="shared" si="1"/>
        <v>33 tahun</v>
      </c>
      <c r="X75" s="1" t="s">
        <v>121</v>
      </c>
      <c r="Y75" s="1" t="s">
        <v>48</v>
      </c>
      <c r="Z75" s="2">
        <v>41275</v>
      </c>
      <c r="AA75" s="2">
        <v>41365</v>
      </c>
      <c r="AB75" s="2" t="s">
        <v>457</v>
      </c>
    </row>
    <row r="76" spans="1:28" x14ac:dyDescent="0.35">
      <c r="A76" s="12">
        <v>5221</v>
      </c>
      <c r="B76" s="12">
        <v>7695307</v>
      </c>
      <c r="C76" s="12" t="s">
        <v>50</v>
      </c>
      <c r="D76" s="12">
        <v>50071411</v>
      </c>
      <c r="E76" s="16" t="s">
        <v>458</v>
      </c>
      <c r="F76" s="1" t="str">
        <f>VLOOKUP(A76,[1]Sheet1!$A$2:$E$1141,5,0)</f>
        <v>Product Advocacy Officer</v>
      </c>
      <c r="G76" s="16" t="str">
        <f>VLOOKUP(A76,[1]Sheet1!$A$2:$F$1141,6,0)</f>
        <v>Manager</v>
      </c>
      <c r="H76" s="1" t="s">
        <v>459</v>
      </c>
      <c r="I76" s="1" t="s">
        <v>28</v>
      </c>
      <c r="J76" s="1" t="str">
        <f>VLOOKUP(A76,[1]Sheet1!$A$2:$H$1141,8,0)</f>
        <v>Dept. of Market Planning &amp; Development</v>
      </c>
      <c r="K76" s="1" t="str">
        <f>VLOOKUP(A76,[1]Sheet1!$A$2:$I$1141,9,0)</f>
        <v>Unit of Product Pricing &amp; Promotion Mgmt</v>
      </c>
      <c r="L76" s="1" t="str">
        <f>VLOOKUP(A76,[1]Sheet1!$A$2:$J$1141,10,0)</f>
        <v>Staff of Product Advocacy</v>
      </c>
      <c r="M76" s="2">
        <v>28119</v>
      </c>
      <c r="N76" s="1" t="s">
        <v>29</v>
      </c>
      <c r="O76" s="1" t="s">
        <v>30</v>
      </c>
      <c r="P76" s="1" t="s">
        <v>460</v>
      </c>
      <c r="Q76" s="1" t="s">
        <v>461</v>
      </c>
      <c r="R76" s="1" t="s">
        <v>462</v>
      </c>
      <c r="S76" s="1" t="s">
        <v>463</v>
      </c>
      <c r="T76" s="14">
        <v>48580</v>
      </c>
      <c r="U76" s="1" t="s">
        <v>464</v>
      </c>
      <c r="V76" s="1" t="s">
        <v>36</v>
      </c>
      <c r="W76" s="3" t="str">
        <f t="shared" si="1"/>
        <v>49 tahun</v>
      </c>
      <c r="X76" s="1" t="s">
        <v>173</v>
      </c>
      <c r="Y76" s="1" t="s">
        <v>48</v>
      </c>
      <c r="Z76" s="2">
        <v>35034</v>
      </c>
      <c r="AA76" s="2">
        <v>35400</v>
      </c>
      <c r="AB76" s="2" t="s">
        <v>465</v>
      </c>
    </row>
    <row r="77" spans="1:28" x14ac:dyDescent="0.35">
      <c r="A77" s="12">
        <v>5065</v>
      </c>
      <c r="B77" s="12">
        <v>7495113</v>
      </c>
      <c r="C77" s="12" t="s">
        <v>50</v>
      </c>
      <c r="D77" s="12">
        <v>50068306</v>
      </c>
      <c r="E77" s="15" t="s">
        <v>466</v>
      </c>
      <c r="F77" s="1" t="str">
        <f>VLOOKUP(A77,[1]Sheet1!$A$2:$E$1141,5,0)</f>
        <v>SM of Market Intel. Channel &amp; SF Mgmt</v>
      </c>
      <c r="G77" s="15" t="str">
        <f>VLOOKUP(A77,[1]Sheet1!$A$2:$F$1141,6,0)</f>
        <v>Senior Manager</v>
      </c>
      <c r="H77" s="1" t="s">
        <v>467</v>
      </c>
      <c r="I77" s="1" t="s">
        <v>28</v>
      </c>
      <c r="J77" s="1" t="str">
        <f>VLOOKUP(A77,[1]Sheet1!$A$2:$H$1141,8,0)</f>
        <v>Dept. of Market Planning &amp; Development</v>
      </c>
      <c r="K77" s="1" t="str">
        <f>VLOOKUP(A77,[1]Sheet1!$A$2:$I$1141,9,0)</f>
        <v>Unit of Market Intel. Channel &amp; SF Mgmt</v>
      </c>
      <c r="L77" s="1" t="e">
        <f>VLOOKUP(A77,[1]Sheet1!$A$2:$J$1141,10,0)</f>
        <v>#REF!</v>
      </c>
      <c r="M77" s="2">
        <v>27248</v>
      </c>
      <c r="N77" s="1" t="s">
        <v>29</v>
      </c>
      <c r="O77" s="1" t="s">
        <v>30</v>
      </c>
      <c r="P77" s="1" t="s">
        <v>468</v>
      </c>
      <c r="Q77" s="1" t="s">
        <v>469</v>
      </c>
      <c r="R77" s="1" t="s">
        <v>470</v>
      </c>
      <c r="S77" s="1" t="s">
        <v>471</v>
      </c>
      <c r="T77" s="14">
        <v>47727</v>
      </c>
      <c r="U77" s="1" t="s">
        <v>472</v>
      </c>
      <c r="V77" s="1" t="s">
        <v>36</v>
      </c>
      <c r="W77" s="3" t="str">
        <f t="shared" si="1"/>
        <v>52 tahun</v>
      </c>
      <c r="X77" s="1" t="s">
        <v>473</v>
      </c>
      <c r="Y77" s="1" t="s">
        <v>48</v>
      </c>
      <c r="Z77" s="2">
        <v>34932</v>
      </c>
      <c r="AA77" s="2">
        <v>35309</v>
      </c>
      <c r="AB77" s="2" t="s">
        <v>474</v>
      </c>
    </row>
    <row r="78" spans="1:28" x14ac:dyDescent="0.35">
      <c r="A78" s="12">
        <v>5951</v>
      </c>
      <c r="B78" s="12">
        <v>8812117</v>
      </c>
      <c r="C78" s="12" t="s">
        <v>103</v>
      </c>
      <c r="D78" s="12">
        <v>50068307</v>
      </c>
      <c r="E78" s="16" t="s">
        <v>475</v>
      </c>
      <c r="F78" s="1" t="str">
        <f>VLOOKUP(A78,[1]Sheet1!$A$2:$E$1141,5,0)</f>
        <v>MI, Sales Planning &amp; Evaluation Officer</v>
      </c>
      <c r="G78" s="16" t="str">
        <f>VLOOKUP(A78,[1]Sheet1!$A$2:$F$1141,6,0)</f>
        <v>Manager</v>
      </c>
      <c r="H78" s="1" t="s">
        <v>476</v>
      </c>
      <c r="I78" s="1" t="s">
        <v>28</v>
      </c>
      <c r="J78" s="1" t="str">
        <f>VLOOKUP(A78,[1]Sheet1!$A$2:$H$1141,8,0)</f>
        <v>Dept. of Market Planning &amp; Development</v>
      </c>
      <c r="K78" s="1" t="str">
        <f>VLOOKUP(A78,[1]Sheet1!$A$2:$I$1141,9,0)</f>
        <v>Unit of Market Intel. Channel &amp; SF Mgmt</v>
      </c>
      <c r="L78" s="1" t="str">
        <f>VLOOKUP(A78,[1]Sheet1!$A$2:$J$1141,10,0)</f>
        <v>Staff of MI, Sales Planning &amp; Evaluation</v>
      </c>
      <c r="M78" s="2">
        <v>32161</v>
      </c>
      <c r="N78" s="1" t="s">
        <v>29</v>
      </c>
      <c r="O78" s="1" t="s">
        <v>30</v>
      </c>
      <c r="P78" s="1" t="s">
        <v>477</v>
      </c>
      <c r="Q78" s="1" t="s">
        <v>478</v>
      </c>
      <c r="R78" s="1" t="s">
        <v>479</v>
      </c>
      <c r="S78" s="1" t="s">
        <v>480</v>
      </c>
      <c r="T78" s="14">
        <v>52628</v>
      </c>
      <c r="U78" s="1" t="s">
        <v>481</v>
      </c>
      <c r="V78" s="1" t="s">
        <v>36</v>
      </c>
      <c r="W78" s="3" t="str">
        <f t="shared" si="1"/>
        <v>38 tahun</v>
      </c>
      <c r="X78" s="1" t="s">
        <v>55</v>
      </c>
      <c r="Y78" s="1" t="s">
        <v>48</v>
      </c>
      <c r="Z78" s="2">
        <v>41275</v>
      </c>
      <c r="AA78" s="2">
        <v>41395</v>
      </c>
      <c r="AB78" s="2" t="s">
        <v>482</v>
      </c>
    </row>
    <row r="79" spans="1:28" x14ac:dyDescent="0.35">
      <c r="A79" s="12">
        <v>5933</v>
      </c>
      <c r="B79" s="12">
        <v>8712099</v>
      </c>
      <c r="C79" s="12" t="s">
        <v>103</v>
      </c>
      <c r="D79" s="12">
        <v>50070770</v>
      </c>
      <c r="E79" s="16" t="s">
        <v>483</v>
      </c>
      <c r="F79" s="1" t="str">
        <f>VLOOKUP(A79,[1]Sheet1!$A$2:$E$1141,5,0)</f>
        <v>MI, Sales Planning &amp; Evaluation Officer</v>
      </c>
      <c r="G79" s="16" t="str">
        <f>VLOOKUP(A79,[1]Sheet1!$A$2:$F$1141,6,0)</f>
        <v>Manager</v>
      </c>
      <c r="H79" s="1" t="s">
        <v>476</v>
      </c>
      <c r="I79" s="1" t="s">
        <v>28</v>
      </c>
      <c r="J79" s="1" t="str">
        <f>VLOOKUP(A79,[1]Sheet1!$A$2:$H$1141,8,0)</f>
        <v>Dept. of Market Planning &amp; Development</v>
      </c>
      <c r="K79" s="1" t="str">
        <f>VLOOKUP(A79,[1]Sheet1!$A$2:$I$1141,9,0)</f>
        <v>Unit of Market Intel. Channel &amp; SF Mgmt</v>
      </c>
      <c r="L79" s="1" t="str">
        <f>VLOOKUP(A79,[1]Sheet1!$A$2:$J$1141,10,0)</f>
        <v>Staff of MI, Sales Planning &amp; Evaluation</v>
      </c>
      <c r="M79" s="2">
        <v>32051</v>
      </c>
      <c r="N79" s="1" t="s">
        <v>29</v>
      </c>
      <c r="O79" s="1" t="s">
        <v>30</v>
      </c>
      <c r="P79" s="1" t="s">
        <v>484</v>
      </c>
      <c r="Q79" s="1" t="s">
        <v>478</v>
      </c>
      <c r="R79" s="1" t="s">
        <v>479</v>
      </c>
      <c r="S79" s="1" t="s">
        <v>480</v>
      </c>
      <c r="T79" s="14">
        <v>52536</v>
      </c>
      <c r="U79" s="1" t="s">
        <v>485</v>
      </c>
      <c r="V79" s="1" t="s">
        <v>186</v>
      </c>
      <c r="W79" s="3" t="str">
        <f t="shared" si="1"/>
        <v>38 tahun</v>
      </c>
      <c r="X79" s="1" t="s">
        <v>486</v>
      </c>
      <c r="Y79" s="1" t="s">
        <v>48</v>
      </c>
      <c r="Z79" s="2">
        <v>41275</v>
      </c>
      <c r="AA79" s="2">
        <v>41365</v>
      </c>
      <c r="AB79" s="2" t="s">
        <v>487</v>
      </c>
    </row>
    <row r="80" spans="1:28" x14ac:dyDescent="0.35">
      <c r="A80" s="12">
        <v>6012</v>
      </c>
      <c r="B80" s="12">
        <v>8912179</v>
      </c>
      <c r="C80" s="12" t="s">
        <v>103</v>
      </c>
      <c r="D80" s="12">
        <v>50070771</v>
      </c>
      <c r="E80" s="16" t="s">
        <v>488</v>
      </c>
      <c r="F80" s="1" t="str">
        <f>VLOOKUP(A80,[1]Sheet1!$A$2:$E$1141,5,0)</f>
        <v>MI, Sales Planning &amp; Evaluation Officer</v>
      </c>
      <c r="G80" s="16" t="str">
        <f>VLOOKUP(A80,[1]Sheet1!$A$2:$F$1141,6,0)</f>
        <v>Manager</v>
      </c>
      <c r="H80" s="1" t="s">
        <v>476</v>
      </c>
      <c r="I80" s="1" t="s">
        <v>28</v>
      </c>
      <c r="J80" s="1" t="str">
        <f>VLOOKUP(A80,[1]Sheet1!$A$2:$H$1141,8,0)</f>
        <v>Dept. of Market Planning &amp; Development</v>
      </c>
      <c r="K80" s="1" t="str">
        <f>VLOOKUP(A80,[1]Sheet1!$A$2:$I$1141,9,0)</f>
        <v>Unit of Market Intel. Channel &amp; SF Mgmt</v>
      </c>
      <c r="L80" s="1" t="str">
        <f>VLOOKUP(A80,[1]Sheet1!$A$2:$J$1141,10,0)</f>
        <v>Staff of MI, Sales Planning &amp; Evaluation</v>
      </c>
      <c r="M80" s="2">
        <v>32593</v>
      </c>
      <c r="N80" s="1" t="s">
        <v>29</v>
      </c>
      <c r="O80" s="1" t="s">
        <v>30</v>
      </c>
      <c r="P80" s="1" t="s">
        <v>489</v>
      </c>
      <c r="Q80" s="1" t="s">
        <v>478</v>
      </c>
      <c r="R80" s="1" t="s">
        <v>479</v>
      </c>
      <c r="S80" s="1" t="s">
        <v>480</v>
      </c>
      <c r="T80" s="14">
        <v>53053</v>
      </c>
      <c r="U80" s="1" t="s">
        <v>490</v>
      </c>
      <c r="V80" s="1" t="s">
        <v>36</v>
      </c>
      <c r="W80" s="3" t="str">
        <f t="shared" si="1"/>
        <v>37 tahun</v>
      </c>
      <c r="X80" s="1" t="s">
        <v>55</v>
      </c>
      <c r="Y80" s="1" t="s">
        <v>48</v>
      </c>
      <c r="Z80" s="2">
        <v>41275</v>
      </c>
      <c r="AA80" s="2">
        <v>41395</v>
      </c>
      <c r="AB80" s="2" t="s">
        <v>491</v>
      </c>
    </row>
    <row r="81" spans="1:28" x14ac:dyDescent="0.35">
      <c r="A81" s="12">
        <v>6258</v>
      </c>
      <c r="B81" s="12">
        <v>9212427</v>
      </c>
      <c r="C81" s="12" t="s">
        <v>103</v>
      </c>
      <c r="D81" s="12">
        <v>50070775</v>
      </c>
      <c r="E81" s="16" t="s">
        <v>492</v>
      </c>
      <c r="F81" s="1" t="str">
        <f>VLOOKUP(A81,[1]Sheet1!$A$2:$E$1141,5,0)</f>
        <v>Channel &amp; Sales Force Mgmt Officer</v>
      </c>
      <c r="G81" s="16" t="str">
        <f>VLOOKUP(A81,[1]Sheet1!$A$2:$F$1141,6,0)</f>
        <v>Manager</v>
      </c>
      <c r="H81" s="1" t="s">
        <v>459</v>
      </c>
      <c r="I81" s="1" t="s">
        <v>28</v>
      </c>
      <c r="J81" s="1" t="str">
        <f>VLOOKUP(A81,[1]Sheet1!$A$2:$H$1141,8,0)</f>
        <v>Dept. of Market Planning &amp; Development</v>
      </c>
      <c r="K81" s="1" t="str">
        <f>VLOOKUP(A81,[1]Sheet1!$A$2:$I$1141,9,0)</f>
        <v>Unit of Market Intel. Channel &amp; SF Mgmt</v>
      </c>
      <c r="L81" s="1" t="str">
        <f>VLOOKUP(A81,[1]Sheet1!$A$2:$J$1141,10,0)</f>
        <v>Staff of Channel &amp; Sales Force Mgmt</v>
      </c>
      <c r="M81" s="2">
        <v>33774</v>
      </c>
      <c r="N81" s="1" t="s">
        <v>29</v>
      </c>
      <c r="O81" s="1" t="s">
        <v>30</v>
      </c>
      <c r="P81" s="1" t="s">
        <v>493</v>
      </c>
      <c r="Q81" s="1" t="s">
        <v>461</v>
      </c>
      <c r="R81" s="1" t="s">
        <v>462</v>
      </c>
      <c r="S81" s="1" t="s">
        <v>463</v>
      </c>
      <c r="T81" s="14">
        <v>54240</v>
      </c>
      <c r="U81" s="1" t="s">
        <v>494</v>
      </c>
      <c r="V81" s="1" t="s">
        <v>36</v>
      </c>
      <c r="W81" s="3" t="str">
        <f t="shared" si="1"/>
        <v>34 tahun</v>
      </c>
      <c r="X81" s="1" t="s">
        <v>55</v>
      </c>
      <c r="Y81" s="1" t="s">
        <v>56</v>
      </c>
      <c r="Z81" s="2">
        <v>41275</v>
      </c>
      <c r="AA81" s="2">
        <v>41426</v>
      </c>
      <c r="AB81" s="2" t="s">
        <v>495</v>
      </c>
    </row>
    <row r="82" spans="1:28" x14ac:dyDescent="0.35">
      <c r="A82" s="12">
        <v>4917</v>
      </c>
      <c r="B82" s="12">
        <v>7395192</v>
      </c>
      <c r="C82" s="12" t="s">
        <v>50</v>
      </c>
      <c r="D82" s="12">
        <v>50070777</v>
      </c>
      <c r="E82" s="16" t="s">
        <v>496</v>
      </c>
      <c r="F82" s="1" t="str">
        <f>VLOOKUP(A82,[1]Sheet1!$A$2:$E$1141,5,0)</f>
        <v>Channel &amp; Sales Force Mgmt Officer</v>
      </c>
      <c r="G82" s="16" t="str">
        <f>VLOOKUP(A82,[1]Sheet1!$A$2:$F$1141,6,0)</f>
        <v>Manager</v>
      </c>
      <c r="H82" s="1" t="s">
        <v>459</v>
      </c>
      <c r="I82" s="1" t="s">
        <v>28</v>
      </c>
      <c r="J82" s="1" t="str">
        <f>VLOOKUP(A82,[1]Sheet1!$A$2:$H$1141,8,0)</f>
        <v>Dept. of Market Planning &amp; Development</v>
      </c>
      <c r="K82" s="1" t="str">
        <f>VLOOKUP(A82,[1]Sheet1!$A$2:$I$1141,9,0)</f>
        <v>Unit of Market Intel. Channel &amp; SF Mgmt</v>
      </c>
      <c r="L82" s="1" t="str">
        <f>VLOOKUP(A82,[1]Sheet1!$A$2:$J$1141,10,0)</f>
        <v>Staff of Channel &amp; Sales Force Mgmt</v>
      </c>
      <c r="M82" s="2">
        <v>26752</v>
      </c>
      <c r="N82" s="1" t="s">
        <v>29</v>
      </c>
      <c r="O82" s="1" t="s">
        <v>30</v>
      </c>
      <c r="P82" s="1" t="s">
        <v>497</v>
      </c>
      <c r="Q82" s="1" t="s">
        <v>461</v>
      </c>
      <c r="R82" s="1" t="s">
        <v>462</v>
      </c>
      <c r="S82" s="1" t="s">
        <v>463</v>
      </c>
      <c r="T82" s="14">
        <v>47209</v>
      </c>
      <c r="U82" s="1" t="s">
        <v>498</v>
      </c>
      <c r="V82" s="1" t="s">
        <v>36</v>
      </c>
      <c r="W82" s="3" t="str">
        <f t="shared" si="1"/>
        <v>53 tahun</v>
      </c>
      <c r="X82" s="1" t="s">
        <v>55</v>
      </c>
      <c r="Y82" s="1" t="s">
        <v>48</v>
      </c>
      <c r="Z82" s="2">
        <v>35002</v>
      </c>
      <c r="AA82" s="2">
        <v>35370</v>
      </c>
      <c r="AB82" s="2" t="s">
        <v>499</v>
      </c>
    </row>
    <row r="83" spans="1:28" x14ac:dyDescent="0.35">
      <c r="A83" s="12">
        <v>6225</v>
      </c>
      <c r="B83" s="12">
        <v>9112391</v>
      </c>
      <c r="C83" s="12" t="s">
        <v>103</v>
      </c>
      <c r="D83" s="12">
        <v>50070780</v>
      </c>
      <c r="E83" s="16" t="s">
        <v>500</v>
      </c>
      <c r="F83" s="1" t="str">
        <f>VLOOKUP(A83,[1]Sheet1!$A$2:$E$1141,5,0)</f>
        <v>Sales Process Management Officer</v>
      </c>
      <c r="G83" s="16" t="str">
        <f>VLOOKUP(A83,[1]Sheet1!$A$2:$F$1141,6,0)</f>
        <v>Manager</v>
      </c>
      <c r="H83" s="1" t="s">
        <v>501</v>
      </c>
      <c r="I83" s="1" t="s">
        <v>28</v>
      </c>
      <c r="J83" s="1" t="str">
        <f>VLOOKUP(A83,[1]Sheet1!$A$2:$H$1141,8,0)</f>
        <v>Dept. of Market Planning &amp; Development</v>
      </c>
      <c r="K83" s="1" t="str">
        <f>VLOOKUP(A83,[1]Sheet1!$A$2:$I$1141,9,0)</f>
        <v>Staff of Sales Process Management</v>
      </c>
      <c r="L83" s="1" t="e">
        <f>VLOOKUP(A83,[1]Sheet1!$A$2:$J$1141,10,0)</f>
        <v>#REF!</v>
      </c>
      <c r="M83" s="2">
        <v>33590</v>
      </c>
      <c r="N83" s="1" t="s">
        <v>29</v>
      </c>
      <c r="O83" s="1" t="s">
        <v>30</v>
      </c>
      <c r="P83" s="1" t="s">
        <v>502</v>
      </c>
      <c r="Q83" s="1" t="s">
        <v>503</v>
      </c>
      <c r="R83" s="1" t="s">
        <v>504</v>
      </c>
      <c r="S83" s="1" t="s">
        <v>505</v>
      </c>
      <c r="T83" s="14">
        <v>54058</v>
      </c>
      <c r="U83" s="1" t="s">
        <v>506</v>
      </c>
      <c r="V83" s="1" t="s">
        <v>36</v>
      </c>
      <c r="W83" s="3" t="str">
        <f t="shared" si="1"/>
        <v>34 tahun</v>
      </c>
      <c r="X83" s="1" t="s">
        <v>37</v>
      </c>
      <c r="Y83" s="1" t="s">
        <v>56</v>
      </c>
      <c r="Z83" s="2">
        <v>41275</v>
      </c>
      <c r="AA83" s="2">
        <v>41426</v>
      </c>
      <c r="AB83" s="2" t="s">
        <v>507</v>
      </c>
    </row>
    <row r="84" spans="1:28" x14ac:dyDescent="0.35">
      <c r="A84" s="12">
        <v>5906</v>
      </c>
      <c r="B84" s="12">
        <v>8712073</v>
      </c>
      <c r="C84" s="12" t="s">
        <v>103</v>
      </c>
      <c r="D84" s="12">
        <v>50070782</v>
      </c>
      <c r="E84" s="1" t="s">
        <v>508</v>
      </c>
      <c r="F84" s="1" t="str">
        <f>VLOOKUP(A84,[1]Sheet1!$A$2:$E$1141,5,0)</f>
        <v>Sales Process Management Jr Officer</v>
      </c>
      <c r="G84" s="17" t="str">
        <f>VLOOKUP(A84,[1]Sheet1!$A$2:$F$1141,6,0)</f>
        <v>Supervisor</v>
      </c>
      <c r="H84" s="1" t="s">
        <v>501</v>
      </c>
      <c r="I84" s="1" t="s">
        <v>28</v>
      </c>
      <c r="J84" s="1" t="str">
        <f>VLOOKUP(A84,[1]Sheet1!$A$2:$H$1141,8,0)</f>
        <v>Dept. of Market Planning &amp; Development</v>
      </c>
      <c r="K84" s="1" t="str">
        <f>VLOOKUP(A84,[1]Sheet1!$A$2:$I$1141,9,0)</f>
        <v>Staff of Sales Process Management</v>
      </c>
      <c r="L84" s="1" t="e">
        <f>VLOOKUP(A84,[1]Sheet1!$A$2:$J$1141,10,0)</f>
        <v>#REF!</v>
      </c>
      <c r="M84" s="2">
        <v>31842</v>
      </c>
      <c r="N84" s="1" t="s">
        <v>29</v>
      </c>
      <c r="O84" s="1" t="s">
        <v>30</v>
      </c>
      <c r="P84" s="1" t="s">
        <v>509</v>
      </c>
      <c r="Q84" s="1" t="s">
        <v>503</v>
      </c>
      <c r="R84" s="1" t="s">
        <v>504</v>
      </c>
      <c r="S84" s="1" t="s">
        <v>505</v>
      </c>
      <c r="T84" s="14">
        <v>52322</v>
      </c>
      <c r="U84" s="1" t="s">
        <v>510</v>
      </c>
      <c r="V84" s="1" t="s">
        <v>36</v>
      </c>
      <c r="W84" s="3" t="str">
        <f t="shared" si="1"/>
        <v>39 tahun</v>
      </c>
      <c r="X84" s="1" t="s">
        <v>55</v>
      </c>
      <c r="Y84" s="1" t="s">
        <v>56</v>
      </c>
      <c r="Z84" s="2">
        <v>41275</v>
      </c>
      <c r="AA84" s="2">
        <v>41395</v>
      </c>
      <c r="AB84" s="2" t="s">
        <v>511</v>
      </c>
    </row>
    <row r="85" spans="1:28" x14ac:dyDescent="0.35">
      <c r="A85" s="12">
        <v>5944</v>
      </c>
      <c r="B85" s="12" t="s">
        <v>512</v>
      </c>
      <c r="C85" s="12" t="s">
        <v>103</v>
      </c>
      <c r="D85" s="12">
        <v>50070782</v>
      </c>
      <c r="E85" s="1" t="s">
        <v>513</v>
      </c>
      <c r="F85" s="1" t="str">
        <f>VLOOKUP(A85,[1]Sheet1!$A$2:$E$1141,5,0)</f>
        <v>Sales Process Management Jr Officer</v>
      </c>
      <c r="G85" s="17" t="str">
        <f>VLOOKUP(A85,[1]Sheet1!$A$2:$F$1141,6,0)</f>
        <v>Supervisor</v>
      </c>
      <c r="H85" s="1" t="s">
        <v>501</v>
      </c>
      <c r="I85" s="1" t="s">
        <v>28</v>
      </c>
      <c r="J85" s="1" t="str">
        <f>VLOOKUP(A85,[1]Sheet1!$A$2:$H$1141,8,0)</f>
        <v>Dept. of Market Planning &amp; Development</v>
      </c>
      <c r="K85" s="1" t="str">
        <f>VLOOKUP(A85,[1]Sheet1!$A$2:$I$1141,9,0)</f>
        <v>Staff of Sales Process Management</v>
      </c>
      <c r="L85" s="1" t="e">
        <f>VLOOKUP(A85,[1]Sheet1!$A$2:$J$1141,10,0)</f>
        <v>#REF!</v>
      </c>
      <c r="M85" s="2">
        <v>32106</v>
      </c>
      <c r="N85" s="1" t="s">
        <v>29</v>
      </c>
      <c r="O85" s="1" t="s">
        <v>30</v>
      </c>
      <c r="P85" s="1" t="s">
        <v>502</v>
      </c>
      <c r="Q85" s="1" t="s">
        <v>503</v>
      </c>
      <c r="R85" s="18" t="s">
        <v>504</v>
      </c>
      <c r="S85" s="1" t="s">
        <v>505</v>
      </c>
      <c r="T85" s="19">
        <v>46203</v>
      </c>
      <c r="U85" s="18" t="s">
        <v>514</v>
      </c>
      <c r="V85" s="1" t="s">
        <v>36</v>
      </c>
      <c r="W85" s="3" t="str">
        <f t="shared" si="1"/>
        <v>38 tahun</v>
      </c>
      <c r="X85" s="1" t="s">
        <v>112</v>
      </c>
      <c r="Y85" s="1" t="s">
        <v>56</v>
      </c>
      <c r="Z85" s="2">
        <v>41395</v>
      </c>
      <c r="AA85" s="2">
        <v>41395</v>
      </c>
      <c r="AB85" s="2" t="s">
        <v>515</v>
      </c>
    </row>
    <row r="86" spans="1:28" x14ac:dyDescent="0.35">
      <c r="A86" s="12">
        <v>5904</v>
      </c>
      <c r="B86" s="12">
        <v>8712070</v>
      </c>
      <c r="C86" s="12" t="s">
        <v>103</v>
      </c>
      <c r="D86" s="12">
        <v>50070783</v>
      </c>
      <c r="E86" s="1" t="s">
        <v>516</v>
      </c>
      <c r="F86" s="1" t="str">
        <f>VLOOKUP(A86,[1]Sheet1!$A$2:$E$1141,5,0)</f>
        <v>Sales Process Management Jr Officer</v>
      </c>
      <c r="G86" s="17" t="str">
        <f>VLOOKUP(A86,[1]Sheet1!$A$2:$F$1141,6,0)</f>
        <v>Supervisor</v>
      </c>
      <c r="H86" s="1" t="s">
        <v>501</v>
      </c>
      <c r="I86" s="1" t="s">
        <v>28</v>
      </c>
      <c r="J86" s="1" t="str">
        <f>VLOOKUP(A86,[1]Sheet1!$A$2:$H$1141,8,0)</f>
        <v>Dept. of Market Planning &amp; Development</v>
      </c>
      <c r="K86" s="1" t="str">
        <f>VLOOKUP(A86,[1]Sheet1!$A$2:$I$1141,9,0)</f>
        <v>Staff of Sales Process Management</v>
      </c>
      <c r="L86" s="1" t="e">
        <f>VLOOKUP(A86,[1]Sheet1!$A$2:$J$1141,10,0)</f>
        <v>#REF!</v>
      </c>
      <c r="M86" s="2">
        <v>31820</v>
      </c>
      <c r="N86" s="1" t="s">
        <v>29</v>
      </c>
      <c r="O86" s="1" t="s">
        <v>30</v>
      </c>
      <c r="P86" s="1" t="s">
        <v>517</v>
      </c>
      <c r="Q86" s="1" t="s">
        <v>503</v>
      </c>
      <c r="R86" s="1" t="s">
        <v>504</v>
      </c>
      <c r="S86" s="1" t="s">
        <v>505</v>
      </c>
      <c r="T86" s="14">
        <v>52291</v>
      </c>
      <c r="U86" s="1" t="s">
        <v>518</v>
      </c>
      <c r="V86" s="1" t="s">
        <v>36</v>
      </c>
      <c r="W86" s="3" t="str">
        <f t="shared" si="1"/>
        <v>39 tahun</v>
      </c>
      <c r="X86" s="1" t="s">
        <v>112</v>
      </c>
      <c r="Y86" s="1" t="s">
        <v>56</v>
      </c>
      <c r="Z86" s="2">
        <v>41275</v>
      </c>
      <c r="AA86" s="2">
        <v>41395</v>
      </c>
      <c r="AB86" s="2" t="s">
        <v>519</v>
      </c>
    </row>
    <row r="87" spans="1:28" x14ac:dyDescent="0.35">
      <c r="A87" s="12">
        <v>5305</v>
      </c>
      <c r="B87" s="12">
        <v>8408041</v>
      </c>
      <c r="C87" s="12" t="s">
        <v>25</v>
      </c>
      <c r="D87" s="12">
        <v>50068488</v>
      </c>
      <c r="E87" s="13" t="s">
        <v>520</v>
      </c>
      <c r="F87" s="1" t="str">
        <f>VLOOKUP(A87,[1]Sheet1!$A$2:$E$1141,5,0)</f>
        <v>GM. of Sales</v>
      </c>
      <c r="G87" s="13" t="str">
        <f>VLOOKUP(A87,[1]Sheet1!$A$2:$F$1141,6,0)</f>
        <v>General Manager</v>
      </c>
      <c r="H87" s="1" t="s">
        <v>521</v>
      </c>
      <c r="I87" s="1" t="s">
        <v>28</v>
      </c>
      <c r="J87" s="1" t="str">
        <f>VLOOKUP(A87,[1]Sheet1!$A$2:$H$1141,8,0)</f>
        <v>Dept. of Sales</v>
      </c>
      <c r="K87" s="1" t="e">
        <f>VLOOKUP(A87,[1]Sheet1!$A$2:$I$1141,9,0)</f>
        <v>#REF!</v>
      </c>
      <c r="L87" s="1" t="e">
        <f>VLOOKUP(A87,[1]Sheet1!$A$2:$J$1141,10,0)</f>
        <v>#REF!</v>
      </c>
      <c r="M87" s="2">
        <v>30767</v>
      </c>
      <c r="N87" s="1" t="s">
        <v>29</v>
      </c>
      <c r="O87" s="1" t="s">
        <v>30</v>
      </c>
      <c r="P87" s="1" t="s">
        <v>522</v>
      </c>
      <c r="Q87" s="1" t="s">
        <v>523</v>
      </c>
      <c r="R87" s="1" t="s">
        <v>524</v>
      </c>
      <c r="S87" s="1" t="s">
        <v>525</v>
      </c>
      <c r="T87" s="14">
        <v>51227</v>
      </c>
      <c r="U87" s="1" t="s">
        <v>526</v>
      </c>
      <c r="V87" s="1" t="s">
        <v>36</v>
      </c>
      <c r="W87" s="3" t="str">
        <f t="shared" si="1"/>
        <v>42 tahun</v>
      </c>
      <c r="X87" s="1" t="s">
        <v>527</v>
      </c>
      <c r="Y87" s="1" t="s">
        <v>48</v>
      </c>
      <c r="Z87" s="2">
        <v>39814</v>
      </c>
      <c r="AA87" s="2">
        <v>39934</v>
      </c>
      <c r="AB87" s="2" t="s">
        <v>528</v>
      </c>
    </row>
    <row r="88" spans="1:28" x14ac:dyDescent="0.35">
      <c r="A88" s="12">
        <v>5391</v>
      </c>
      <c r="B88" s="12">
        <v>8710053</v>
      </c>
      <c r="C88" s="12" t="s">
        <v>139</v>
      </c>
      <c r="D88" s="12">
        <v>50070656</v>
      </c>
      <c r="E88" s="15" t="s">
        <v>529</v>
      </c>
      <c r="F88" s="1" t="str">
        <f>VLOOKUP(A88,[1]Sheet1!$A$2:$E$1141,5,0)</f>
        <v>SSM of Sales Excellence Specialist</v>
      </c>
      <c r="G88" s="15" t="str">
        <f>VLOOKUP(A88,[1]Sheet1!$A$2:$F$1141,6,0)</f>
        <v>Senior Manager</v>
      </c>
      <c r="H88" s="1" t="s">
        <v>530</v>
      </c>
      <c r="I88" s="1" t="s">
        <v>28</v>
      </c>
      <c r="J88" s="1" t="str">
        <f>VLOOKUP(A88,[1]Sheet1!$A$2:$H$1141,8,0)</f>
        <v>Dept. of Sales</v>
      </c>
      <c r="K88" s="1" t="e">
        <f>VLOOKUP(A88,[1]Sheet1!$A$2:$I$1141,9,0)</f>
        <v>#REF!</v>
      </c>
      <c r="L88" s="1" t="e">
        <f>VLOOKUP(A88,[1]Sheet1!$A$2:$J$1141,10,0)</f>
        <v>#REF!</v>
      </c>
      <c r="M88" s="2">
        <v>31888</v>
      </c>
      <c r="N88" s="1" t="s">
        <v>29</v>
      </c>
      <c r="O88" s="1" t="s">
        <v>30</v>
      </c>
      <c r="P88" s="1" t="s">
        <v>531</v>
      </c>
      <c r="Q88" s="1" t="s">
        <v>523</v>
      </c>
      <c r="R88" s="1" t="s">
        <v>524</v>
      </c>
      <c r="S88" s="1" t="s">
        <v>532</v>
      </c>
      <c r="T88" s="14">
        <v>52352</v>
      </c>
      <c r="U88" s="1" t="s">
        <v>533</v>
      </c>
      <c r="V88" s="1" t="s">
        <v>36</v>
      </c>
      <c r="W88" s="3" t="str">
        <f t="shared" si="1"/>
        <v>39 tahun</v>
      </c>
      <c r="X88" s="1" t="s">
        <v>55</v>
      </c>
      <c r="Y88" s="1" t="s">
        <v>38</v>
      </c>
      <c r="Z88" s="2">
        <v>40544</v>
      </c>
      <c r="AA88" s="2">
        <v>40909</v>
      </c>
      <c r="AB88" s="2" t="s">
        <v>534</v>
      </c>
    </row>
    <row r="89" spans="1:28" x14ac:dyDescent="0.35">
      <c r="A89" s="12">
        <v>6127</v>
      </c>
      <c r="B89" s="12">
        <v>9012296</v>
      </c>
      <c r="C89" s="12" t="s">
        <v>103</v>
      </c>
      <c r="D89" s="12">
        <v>50071413</v>
      </c>
      <c r="E89" s="1" t="s">
        <v>535</v>
      </c>
      <c r="F89" s="1" t="str">
        <f>VLOOKUP(A89,[1]Sheet1!$A$2:$E$1141,5,0)</f>
        <v>Sales Excellence Specialist Jr Officer</v>
      </c>
      <c r="G89" s="17" t="str">
        <f>VLOOKUP(A89,[1]Sheet1!$A$2:$F$1141,6,0)</f>
        <v>Supervisor</v>
      </c>
      <c r="H89" s="1" t="s">
        <v>536</v>
      </c>
      <c r="I89" s="1" t="s">
        <v>537</v>
      </c>
      <c r="J89" s="1" t="str">
        <f>VLOOKUP(A89,[1]Sheet1!$A$2:$H$1141,8,0)</f>
        <v>Dept. of Sales</v>
      </c>
      <c r="K89" s="1" t="e">
        <f>VLOOKUP(A89,[1]Sheet1!$A$2:$I$1141,9,0)</f>
        <v>#REF!</v>
      </c>
      <c r="L89" s="1" t="e">
        <f>VLOOKUP(A89,[1]Sheet1!$A$2:$J$1141,10,0)</f>
        <v>#REF!</v>
      </c>
      <c r="M89" s="2">
        <v>33145</v>
      </c>
      <c r="N89" s="1" t="s">
        <v>29</v>
      </c>
      <c r="O89" s="1" t="s">
        <v>30</v>
      </c>
      <c r="P89" s="1" t="s">
        <v>538</v>
      </c>
      <c r="Q89" s="1" t="s">
        <v>539</v>
      </c>
      <c r="R89" s="1" t="s">
        <v>540</v>
      </c>
      <c r="S89" s="1" t="s">
        <v>541</v>
      </c>
      <c r="T89" s="14">
        <v>53601</v>
      </c>
      <c r="U89" s="1" t="s">
        <v>542</v>
      </c>
      <c r="V89" s="1" t="s">
        <v>36</v>
      </c>
      <c r="W89" s="3" t="str">
        <f t="shared" si="1"/>
        <v>35 tahun</v>
      </c>
      <c r="X89" s="1" t="s">
        <v>121</v>
      </c>
      <c r="Y89" s="1" t="s">
        <v>56</v>
      </c>
      <c r="Z89" s="2">
        <v>41275</v>
      </c>
      <c r="AA89" s="2">
        <v>41426</v>
      </c>
      <c r="AB89" s="2" t="s">
        <v>543</v>
      </c>
    </row>
    <row r="90" spans="1:28" x14ac:dyDescent="0.35">
      <c r="A90" s="12">
        <v>5253</v>
      </c>
      <c r="B90" s="12">
        <v>8008009</v>
      </c>
      <c r="C90" s="12" t="s">
        <v>25</v>
      </c>
      <c r="D90" s="12">
        <v>50068549</v>
      </c>
      <c r="E90" s="15" t="s">
        <v>544</v>
      </c>
      <c r="F90" s="1" t="str">
        <f>VLOOKUP(A90,[1]Sheet1!$A$2:$E$1141,5,0)</f>
        <v>SM of Outbound Logistic</v>
      </c>
      <c r="G90" s="15" t="str">
        <f>VLOOKUP(A90,[1]Sheet1!$A$2:$F$1141,6,0)</f>
        <v>Senior Manager</v>
      </c>
      <c r="H90" s="1" t="s">
        <v>545</v>
      </c>
      <c r="I90" s="1" t="s">
        <v>28</v>
      </c>
      <c r="J90" s="1" t="str">
        <f>VLOOKUP(A90,[1]Sheet1!$A$2:$H$1141,8,0)</f>
        <v>Dept. of Sales</v>
      </c>
      <c r="K90" s="1" t="str">
        <f>VLOOKUP(A90,[1]Sheet1!$A$2:$I$1141,9,0)</f>
        <v>Unit of Outbound Logistic</v>
      </c>
      <c r="L90" s="1" t="e">
        <f>VLOOKUP(A90,[1]Sheet1!$A$2:$J$1141,10,0)</f>
        <v>#REF!</v>
      </c>
      <c r="M90" s="2">
        <v>29545</v>
      </c>
      <c r="N90" s="1" t="s">
        <v>29</v>
      </c>
      <c r="O90" s="1" t="s">
        <v>30</v>
      </c>
      <c r="P90" s="1" t="s">
        <v>546</v>
      </c>
      <c r="Q90" s="1" t="s">
        <v>547</v>
      </c>
      <c r="R90" s="1" t="s">
        <v>548</v>
      </c>
      <c r="S90" s="1" t="s">
        <v>549</v>
      </c>
      <c r="T90" s="14">
        <v>50010</v>
      </c>
      <c r="U90" s="1" t="s">
        <v>550</v>
      </c>
      <c r="V90" s="1" t="s">
        <v>36</v>
      </c>
      <c r="W90" s="3" t="str">
        <f t="shared" si="1"/>
        <v>45 tahun</v>
      </c>
      <c r="X90" s="1" t="s">
        <v>551</v>
      </c>
      <c r="Y90" s="1" t="s">
        <v>48</v>
      </c>
      <c r="Z90" s="2">
        <v>39814</v>
      </c>
      <c r="AA90" s="2">
        <v>39934</v>
      </c>
      <c r="AB90" s="2" t="s">
        <v>291</v>
      </c>
    </row>
    <row r="91" spans="1:28" x14ac:dyDescent="0.35">
      <c r="A91" s="12">
        <v>6064</v>
      </c>
      <c r="B91" s="12">
        <v>8912231</v>
      </c>
      <c r="C91" s="12" t="s">
        <v>103</v>
      </c>
      <c r="D91" s="12">
        <v>50069250</v>
      </c>
      <c r="E91" s="1" t="s">
        <v>552</v>
      </c>
      <c r="F91" s="1" t="str">
        <f>VLOOKUP(A91,[1]Sheet1!$A$2:$E$1141,5,0)</f>
        <v>Transportation Billing Jr Officer</v>
      </c>
      <c r="G91" s="17" t="str">
        <f>VLOOKUP(A91,[1]Sheet1!$A$2:$F$1141,6,0)</f>
        <v>Supervisor</v>
      </c>
      <c r="H91" s="1" t="s">
        <v>545</v>
      </c>
      <c r="I91" s="1" t="s">
        <v>28</v>
      </c>
      <c r="J91" s="1" t="str">
        <f>VLOOKUP(A91,[1]Sheet1!$A$2:$H$1141,8,0)</f>
        <v>Dept. of Sales</v>
      </c>
      <c r="K91" s="1" t="str">
        <f>VLOOKUP(A91,[1]Sheet1!$A$2:$I$1141,9,0)</f>
        <v>Unit of Outbound Logistic</v>
      </c>
      <c r="L91" s="1" t="e">
        <f>VLOOKUP(A91,[1]Sheet1!$A$2:$J$1141,10,0)</f>
        <v>#REF!</v>
      </c>
      <c r="M91" s="2">
        <v>32861</v>
      </c>
      <c r="N91" s="1" t="s">
        <v>59</v>
      </c>
      <c r="O91" s="1" t="s">
        <v>30</v>
      </c>
      <c r="P91" s="1" t="s">
        <v>553</v>
      </c>
      <c r="Q91" s="1" t="s">
        <v>554</v>
      </c>
      <c r="R91" s="1" t="s">
        <v>555</v>
      </c>
      <c r="S91" s="1" t="s">
        <v>549</v>
      </c>
      <c r="T91" s="14">
        <v>53328</v>
      </c>
      <c r="U91" s="1" t="s">
        <v>556</v>
      </c>
      <c r="V91" s="1" t="s">
        <v>36</v>
      </c>
      <c r="W91" s="3" t="str">
        <f t="shared" si="1"/>
        <v>36 tahun</v>
      </c>
      <c r="X91" s="1" t="s">
        <v>112</v>
      </c>
      <c r="Y91" s="1" t="s">
        <v>56</v>
      </c>
      <c r="Z91" s="2">
        <v>41275</v>
      </c>
      <c r="AA91" s="2">
        <v>41365</v>
      </c>
      <c r="AB91" s="2" t="s">
        <v>557</v>
      </c>
    </row>
    <row r="92" spans="1:28" x14ac:dyDescent="0.35">
      <c r="A92" s="12">
        <v>5073</v>
      </c>
      <c r="B92" s="12">
        <v>7506504</v>
      </c>
      <c r="C92" s="12" t="s">
        <v>219</v>
      </c>
      <c r="D92" s="12">
        <v>50069251</v>
      </c>
      <c r="E92" s="1" t="s">
        <v>558</v>
      </c>
      <c r="F92" s="1" t="str">
        <f>VLOOKUP(A92,[1]Sheet1!$A$2:$E$1141,5,0)</f>
        <v>Transportation Billing Jr Officer</v>
      </c>
      <c r="G92" s="17" t="str">
        <f>VLOOKUP(A92,[1]Sheet1!$A$2:$F$1141,6,0)</f>
        <v>Supervisor</v>
      </c>
      <c r="H92" s="1" t="s">
        <v>545</v>
      </c>
      <c r="I92" s="1" t="s">
        <v>28</v>
      </c>
      <c r="J92" s="1" t="str">
        <f>VLOOKUP(A92,[1]Sheet1!$A$2:$H$1141,8,0)</f>
        <v>Dept. of Sales</v>
      </c>
      <c r="K92" s="1" t="str">
        <f>VLOOKUP(A92,[1]Sheet1!$A$2:$I$1141,9,0)</f>
        <v>Unit of Outbound Logistic</v>
      </c>
      <c r="L92" s="1" t="e">
        <f>VLOOKUP(A92,[1]Sheet1!$A$2:$J$1141,10,0)</f>
        <v>#REF!</v>
      </c>
      <c r="M92" s="2">
        <v>27534</v>
      </c>
      <c r="N92" s="1" t="s">
        <v>29</v>
      </c>
      <c r="O92" s="1" t="s">
        <v>30</v>
      </c>
      <c r="P92" s="1" t="s">
        <v>559</v>
      </c>
      <c r="Q92" s="1" t="s">
        <v>554</v>
      </c>
      <c r="R92" s="1" t="s">
        <v>555</v>
      </c>
      <c r="S92" s="1" t="s">
        <v>549</v>
      </c>
      <c r="T92" s="14">
        <v>48000</v>
      </c>
      <c r="U92" s="1" t="s">
        <v>560</v>
      </c>
      <c r="V92" s="1" t="s">
        <v>36</v>
      </c>
      <c r="W92" s="3" t="str">
        <f t="shared" si="1"/>
        <v>51 tahun</v>
      </c>
      <c r="X92" s="1" t="s">
        <v>248</v>
      </c>
      <c r="Y92" s="1" t="s">
        <v>56</v>
      </c>
      <c r="Z92" s="2">
        <v>38718</v>
      </c>
      <c r="AA92" s="2">
        <v>41030</v>
      </c>
      <c r="AB92" s="2" t="s">
        <v>561</v>
      </c>
    </row>
    <row r="93" spans="1:28" x14ac:dyDescent="0.35">
      <c r="A93" s="12">
        <v>4819</v>
      </c>
      <c r="B93" s="12">
        <v>7295005</v>
      </c>
      <c r="C93" s="12" t="s">
        <v>50</v>
      </c>
      <c r="D93" s="12">
        <v>50068667</v>
      </c>
      <c r="E93" s="16" t="s">
        <v>562</v>
      </c>
      <c r="F93" s="1" t="str">
        <f>VLOOKUP(A93,[1]Sheet1!$A$2:$E$1141,5,0)</f>
        <v>Mgr of Shipment Management</v>
      </c>
      <c r="G93" s="16" t="str">
        <f>VLOOKUP(A93,[1]Sheet1!$A$2:$F$1141,6,0)</f>
        <v>Manager</v>
      </c>
      <c r="H93" s="1" t="s">
        <v>563</v>
      </c>
      <c r="I93" s="1" t="s">
        <v>28</v>
      </c>
      <c r="J93" s="1" t="str">
        <f>VLOOKUP(A93,[1]Sheet1!$A$2:$H$1141,8,0)</f>
        <v>Dept. of Sales</v>
      </c>
      <c r="K93" s="1" t="str">
        <f>VLOOKUP(A93,[1]Sheet1!$A$2:$I$1141,9,0)</f>
        <v>Unit of Outbound Logistic</v>
      </c>
      <c r="L93" s="1" t="str">
        <f>VLOOKUP(A93,[1]Sheet1!$A$2:$J$1141,10,0)</f>
        <v>Section of Shipment Management</v>
      </c>
      <c r="M93" s="2">
        <v>26409</v>
      </c>
      <c r="N93" s="1" t="s">
        <v>29</v>
      </c>
      <c r="O93" s="1" t="s">
        <v>30</v>
      </c>
      <c r="P93" s="1" t="s">
        <v>564</v>
      </c>
      <c r="Q93" s="1" t="s">
        <v>565</v>
      </c>
      <c r="R93" s="1" t="s">
        <v>566</v>
      </c>
      <c r="S93" s="1" t="s">
        <v>567</v>
      </c>
      <c r="T93" s="14">
        <v>46874</v>
      </c>
      <c r="U93" s="1" t="s">
        <v>568</v>
      </c>
      <c r="V93" s="1" t="s">
        <v>36</v>
      </c>
      <c r="W93" s="3" t="str">
        <f t="shared" si="1"/>
        <v>54 tahun</v>
      </c>
      <c r="X93" s="1" t="s">
        <v>55</v>
      </c>
      <c r="Y93" s="1" t="s">
        <v>56</v>
      </c>
      <c r="Z93" s="2">
        <v>34897</v>
      </c>
      <c r="AA93" s="2">
        <v>35278</v>
      </c>
      <c r="AB93" s="2" t="s">
        <v>569</v>
      </c>
    </row>
    <row r="94" spans="1:28" x14ac:dyDescent="0.35">
      <c r="A94" s="12">
        <v>4748</v>
      </c>
      <c r="B94" s="12">
        <v>7102151</v>
      </c>
      <c r="C94" s="12" t="s">
        <v>164</v>
      </c>
      <c r="D94" s="12">
        <v>50068526</v>
      </c>
      <c r="E94" s="1" t="s">
        <v>570</v>
      </c>
      <c r="F94" s="1" t="str">
        <f>VLOOKUP(A94,[1]Sheet1!$A$2:$E$1141,5,0)</f>
        <v>Shipment Management Jr officer</v>
      </c>
      <c r="G94" s="17" t="str">
        <f>VLOOKUP(A94,[1]Sheet1!$A$2:$F$1141,6,0)</f>
        <v>Supervisor</v>
      </c>
      <c r="H94" s="1" t="s">
        <v>563</v>
      </c>
      <c r="I94" s="1" t="s">
        <v>28</v>
      </c>
      <c r="J94" s="1" t="str">
        <f>VLOOKUP(A94,[1]Sheet1!$A$2:$H$1141,8,0)</f>
        <v>Dept. of Sales</v>
      </c>
      <c r="K94" s="1" t="str">
        <f>VLOOKUP(A94,[1]Sheet1!$A$2:$I$1141,9,0)</f>
        <v>Unit of Outbound Logistic</v>
      </c>
      <c r="L94" s="1" t="str">
        <f>VLOOKUP(A94,[1]Sheet1!$A$2:$J$1141,10,0)</f>
        <v>Section of Shipment Management</v>
      </c>
      <c r="M94" s="2">
        <v>25948</v>
      </c>
      <c r="N94" s="1" t="s">
        <v>29</v>
      </c>
      <c r="O94" s="1" t="s">
        <v>30</v>
      </c>
      <c r="P94" s="1" t="s">
        <v>571</v>
      </c>
      <c r="Q94" s="1" t="s">
        <v>572</v>
      </c>
      <c r="R94" s="1" t="s">
        <v>573</v>
      </c>
      <c r="S94" s="1" t="s">
        <v>567</v>
      </c>
      <c r="T94" s="14">
        <v>46419</v>
      </c>
      <c r="U94" s="1" t="s">
        <v>574</v>
      </c>
      <c r="V94" s="1" t="s">
        <v>186</v>
      </c>
      <c r="W94" s="3" t="str">
        <f t="shared" si="1"/>
        <v>55 tahun</v>
      </c>
      <c r="X94" s="1" t="s">
        <v>575</v>
      </c>
      <c r="Y94" s="1" t="s">
        <v>48</v>
      </c>
      <c r="Z94" s="2">
        <v>37469</v>
      </c>
      <c r="AA94" s="2">
        <v>38718</v>
      </c>
      <c r="AB94" s="2" t="s">
        <v>576</v>
      </c>
    </row>
    <row r="95" spans="1:28" x14ac:dyDescent="0.35">
      <c r="A95" s="12">
        <v>4858</v>
      </c>
      <c r="B95" s="12">
        <v>7295180</v>
      </c>
      <c r="C95" s="12" t="s">
        <v>50</v>
      </c>
      <c r="D95" s="12">
        <v>50068528</v>
      </c>
      <c r="E95" s="1" t="s">
        <v>577</v>
      </c>
      <c r="F95" s="1" t="str">
        <f>VLOOKUP(A95,[1]Sheet1!$A$2:$E$1141,5,0)</f>
        <v>Shipment Management Jr Officer</v>
      </c>
      <c r="G95" s="17" t="str">
        <f>VLOOKUP(A95,[1]Sheet1!$A$2:$F$1141,6,0)</f>
        <v>Supervisor</v>
      </c>
      <c r="H95" s="1" t="s">
        <v>563</v>
      </c>
      <c r="I95" s="1" t="s">
        <v>28</v>
      </c>
      <c r="J95" s="1" t="str">
        <f>VLOOKUP(A95,[1]Sheet1!$A$2:$H$1141,8,0)</f>
        <v>Dept. of Sales</v>
      </c>
      <c r="K95" s="1" t="str">
        <f>VLOOKUP(A95,[1]Sheet1!$A$2:$I$1141,9,0)</f>
        <v>Unit of Outbound Logistic</v>
      </c>
      <c r="L95" s="1" t="str">
        <f>VLOOKUP(A95,[1]Sheet1!$A$2:$J$1141,10,0)</f>
        <v>Section of Shipment Management</v>
      </c>
      <c r="M95" s="2">
        <v>26491</v>
      </c>
      <c r="N95" s="1" t="s">
        <v>29</v>
      </c>
      <c r="O95" s="1" t="s">
        <v>30</v>
      </c>
      <c r="P95" s="1" t="s">
        <v>578</v>
      </c>
      <c r="Q95" s="1" t="s">
        <v>572</v>
      </c>
      <c r="R95" s="1" t="s">
        <v>573</v>
      </c>
      <c r="S95" s="1" t="s">
        <v>567</v>
      </c>
      <c r="T95" s="14">
        <v>46966</v>
      </c>
      <c r="U95" s="1" t="s">
        <v>579</v>
      </c>
      <c r="V95" s="1" t="s">
        <v>186</v>
      </c>
      <c r="W95" s="3" t="str">
        <f t="shared" si="1"/>
        <v>54 tahun</v>
      </c>
      <c r="X95" s="1" t="s">
        <v>580</v>
      </c>
      <c r="Y95" s="1" t="s">
        <v>48</v>
      </c>
      <c r="Z95" s="2">
        <v>35002</v>
      </c>
      <c r="AA95" s="2">
        <v>35370</v>
      </c>
      <c r="AB95" s="2" t="s">
        <v>581</v>
      </c>
    </row>
    <row r="96" spans="1:28" x14ac:dyDescent="0.35">
      <c r="A96" s="12">
        <v>4904</v>
      </c>
      <c r="B96" s="12">
        <v>7302204</v>
      </c>
      <c r="C96" s="12" t="s">
        <v>164</v>
      </c>
      <c r="D96" s="12">
        <v>50068529</v>
      </c>
      <c r="E96" s="1" t="s">
        <v>582</v>
      </c>
      <c r="F96" s="1" t="str">
        <f>VLOOKUP(A96,[1]Sheet1!$A$2:$E$1141,5,0)</f>
        <v>Shipment Management Jr Officer</v>
      </c>
      <c r="G96" s="17" t="str">
        <f>VLOOKUP(A96,[1]Sheet1!$A$2:$F$1141,6,0)</f>
        <v>Supervisor</v>
      </c>
      <c r="H96" s="1" t="s">
        <v>563</v>
      </c>
      <c r="I96" s="1" t="s">
        <v>28</v>
      </c>
      <c r="J96" s="1" t="str">
        <f>VLOOKUP(A96,[1]Sheet1!$A$2:$H$1141,8,0)</f>
        <v>Dept. of Sales</v>
      </c>
      <c r="K96" s="1" t="str">
        <f>VLOOKUP(A96,[1]Sheet1!$A$2:$I$1141,9,0)</f>
        <v>Unit of Outbound Logistic</v>
      </c>
      <c r="L96" s="1" t="str">
        <f>VLOOKUP(A96,[1]Sheet1!$A$2:$J$1141,10,0)</f>
        <v>Section of Shipment Management</v>
      </c>
      <c r="M96" s="2">
        <v>26715</v>
      </c>
      <c r="N96" s="1" t="s">
        <v>29</v>
      </c>
      <c r="O96" s="1" t="s">
        <v>30</v>
      </c>
      <c r="P96" s="1" t="s">
        <v>583</v>
      </c>
      <c r="Q96" s="1" t="s">
        <v>572</v>
      </c>
      <c r="R96" s="1" t="s">
        <v>573</v>
      </c>
      <c r="S96" s="1" t="s">
        <v>567</v>
      </c>
      <c r="T96" s="14">
        <v>47178</v>
      </c>
      <c r="U96" s="1" t="s">
        <v>584</v>
      </c>
      <c r="V96" s="1" t="s">
        <v>36</v>
      </c>
      <c r="W96" s="3" t="str">
        <f t="shared" si="1"/>
        <v>53 tahun</v>
      </c>
      <c r="X96" s="1" t="s">
        <v>585</v>
      </c>
      <c r="Y96" s="1" t="s">
        <v>56</v>
      </c>
      <c r="Z96" s="2">
        <v>37469</v>
      </c>
      <c r="AA96" s="2">
        <v>38718</v>
      </c>
      <c r="AB96" s="2" t="s">
        <v>586</v>
      </c>
    </row>
    <row r="97" spans="1:28" x14ac:dyDescent="0.35">
      <c r="A97" s="12">
        <v>5110</v>
      </c>
      <c r="B97" s="12">
        <v>7502265</v>
      </c>
      <c r="C97" s="12" t="s">
        <v>164</v>
      </c>
      <c r="D97" s="12">
        <v>50068530</v>
      </c>
      <c r="E97" s="1" t="s">
        <v>587</v>
      </c>
      <c r="F97" s="1" t="str">
        <f>VLOOKUP(A97,[1]Sheet1!$A$2:$E$1141,5,0)</f>
        <v>Shipment Management Jr Officer</v>
      </c>
      <c r="G97" s="17" t="str">
        <f>VLOOKUP(A97,[1]Sheet1!$A$2:$F$1141,6,0)</f>
        <v>Supervisor</v>
      </c>
      <c r="H97" s="1" t="s">
        <v>563</v>
      </c>
      <c r="I97" s="1" t="s">
        <v>28</v>
      </c>
      <c r="J97" s="1" t="str">
        <f>VLOOKUP(A97,[1]Sheet1!$A$2:$H$1141,8,0)</f>
        <v>Dept. of Sales</v>
      </c>
      <c r="K97" s="1" t="str">
        <f>VLOOKUP(A97,[1]Sheet1!$A$2:$I$1141,9,0)</f>
        <v>Unit of Outbound Logistic</v>
      </c>
      <c r="L97" s="1" t="str">
        <f>VLOOKUP(A97,[1]Sheet1!$A$2:$J$1141,10,0)</f>
        <v>Section of Shipment Management</v>
      </c>
      <c r="M97" s="2">
        <v>27438</v>
      </c>
      <c r="N97" s="1" t="s">
        <v>29</v>
      </c>
      <c r="O97" s="1" t="s">
        <v>30</v>
      </c>
      <c r="P97" s="1" t="s">
        <v>588</v>
      </c>
      <c r="Q97" s="1" t="s">
        <v>572</v>
      </c>
      <c r="R97" s="1" t="s">
        <v>573</v>
      </c>
      <c r="S97" s="1" t="s">
        <v>567</v>
      </c>
      <c r="T97" s="14">
        <v>47908</v>
      </c>
      <c r="U97" s="1" t="s">
        <v>589</v>
      </c>
      <c r="V97" s="1" t="s">
        <v>36</v>
      </c>
      <c r="W97" s="3" t="str">
        <f t="shared" si="1"/>
        <v>51 tahun</v>
      </c>
      <c r="X97" s="1" t="s">
        <v>590</v>
      </c>
      <c r="Y97" s="1" t="s">
        <v>56</v>
      </c>
      <c r="Z97" s="2">
        <v>37469</v>
      </c>
      <c r="AA97" s="2">
        <v>38718</v>
      </c>
      <c r="AB97" s="2" t="s">
        <v>591</v>
      </c>
    </row>
    <row r="98" spans="1:28" x14ac:dyDescent="0.35">
      <c r="A98" s="12">
        <v>6077</v>
      </c>
      <c r="B98" s="12">
        <v>9012244</v>
      </c>
      <c r="C98" s="12" t="s">
        <v>103</v>
      </c>
      <c r="D98" s="12">
        <v>50068531</v>
      </c>
      <c r="E98" s="1" t="s">
        <v>592</v>
      </c>
      <c r="F98" s="1" t="str">
        <f>VLOOKUP(A98,[1]Sheet1!$A$2:$E$1141,5,0)</f>
        <v>Shipment Management Jr Officer</v>
      </c>
      <c r="G98" s="17" t="str">
        <f>VLOOKUP(A98,[1]Sheet1!$A$2:$F$1141,6,0)</f>
        <v>Supervisor</v>
      </c>
      <c r="H98" s="1" t="s">
        <v>563</v>
      </c>
      <c r="I98" s="1" t="s">
        <v>28</v>
      </c>
      <c r="J98" s="1" t="str">
        <f>VLOOKUP(A98,[1]Sheet1!$A$2:$H$1141,8,0)</f>
        <v>Dept. of Sales</v>
      </c>
      <c r="K98" s="1" t="str">
        <f>VLOOKUP(A98,[1]Sheet1!$A$2:$I$1141,9,0)</f>
        <v>Unit of Outbound Logistic</v>
      </c>
      <c r="L98" s="1" t="str">
        <f>VLOOKUP(A98,[1]Sheet1!$A$2:$J$1141,10,0)</f>
        <v>Section of Shipment Management</v>
      </c>
      <c r="M98" s="2">
        <v>32942</v>
      </c>
      <c r="N98" s="1" t="s">
        <v>29</v>
      </c>
      <c r="O98" s="1" t="s">
        <v>30</v>
      </c>
      <c r="P98" s="1" t="s">
        <v>593</v>
      </c>
      <c r="Q98" s="1" t="s">
        <v>572</v>
      </c>
      <c r="R98" s="1" t="s">
        <v>573</v>
      </c>
      <c r="S98" s="1" t="s">
        <v>567</v>
      </c>
      <c r="T98" s="14">
        <v>53418</v>
      </c>
      <c r="U98" s="1" t="s">
        <v>594</v>
      </c>
      <c r="V98" s="1" t="s">
        <v>36</v>
      </c>
      <c r="W98" s="3" t="str">
        <f t="shared" si="1"/>
        <v>36 tahun</v>
      </c>
      <c r="X98" s="1" t="s">
        <v>595</v>
      </c>
      <c r="Y98" s="1" t="s">
        <v>48</v>
      </c>
      <c r="Z98" s="2">
        <v>41275</v>
      </c>
      <c r="AA98" s="2">
        <v>41426</v>
      </c>
      <c r="AB98" s="2" t="s">
        <v>596</v>
      </c>
    </row>
    <row r="99" spans="1:28" x14ac:dyDescent="0.35">
      <c r="A99" s="12">
        <v>4974</v>
      </c>
      <c r="B99" s="12">
        <v>7302229</v>
      </c>
      <c r="C99" s="12" t="s">
        <v>164</v>
      </c>
      <c r="D99" s="12">
        <v>50068532</v>
      </c>
      <c r="E99" s="1" t="s">
        <v>597</v>
      </c>
      <c r="F99" s="1" t="str">
        <f>VLOOKUP(A99,[1]Sheet1!$A$2:$E$1141,5,0)</f>
        <v>Shipment Management Jr Officer</v>
      </c>
      <c r="G99" s="17" t="str">
        <f>VLOOKUP(A99,[1]Sheet1!$A$2:$F$1141,6,0)</f>
        <v>Supervisor</v>
      </c>
      <c r="H99" s="1" t="s">
        <v>563</v>
      </c>
      <c r="I99" s="1" t="s">
        <v>28</v>
      </c>
      <c r="J99" s="1" t="str">
        <f>VLOOKUP(A99,[1]Sheet1!$A$2:$H$1141,8,0)</f>
        <v>Dept. of Sales</v>
      </c>
      <c r="K99" s="1" t="str">
        <f>VLOOKUP(A99,[1]Sheet1!$A$2:$I$1141,9,0)</f>
        <v>Unit of Outbound Logistic</v>
      </c>
      <c r="L99" s="1" t="str">
        <f>VLOOKUP(A99,[1]Sheet1!$A$2:$J$1141,10,0)</f>
        <v>Section of Shipment Management</v>
      </c>
      <c r="M99" s="2">
        <v>26964</v>
      </c>
      <c r="N99" s="1" t="s">
        <v>29</v>
      </c>
      <c r="O99" s="1" t="s">
        <v>30</v>
      </c>
      <c r="P99" s="1" t="s">
        <v>598</v>
      </c>
      <c r="Q99" s="1" t="s">
        <v>572</v>
      </c>
      <c r="R99" s="1" t="s">
        <v>573</v>
      </c>
      <c r="S99" s="1" t="s">
        <v>567</v>
      </c>
      <c r="T99" s="14">
        <v>47423</v>
      </c>
      <c r="U99" s="1" t="s">
        <v>599</v>
      </c>
      <c r="V99" s="1" t="s">
        <v>36</v>
      </c>
      <c r="W99" s="3" t="str">
        <f t="shared" si="1"/>
        <v>52 tahun</v>
      </c>
      <c r="X99" s="1" t="s">
        <v>600</v>
      </c>
      <c r="Y99" s="1" t="s">
        <v>56</v>
      </c>
      <c r="Z99" s="2">
        <v>37469</v>
      </c>
      <c r="AA99" s="2">
        <v>38718</v>
      </c>
      <c r="AB99" s="2" t="s">
        <v>601</v>
      </c>
    </row>
    <row r="100" spans="1:28" x14ac:dyDescent="0.35">
      <c r="A100" s="12">
        <v>5108</v>
      </c>
      <c r="B100" s="12">
        <v>7502263</v>
      </c>
      <c r="C100" s="12" t="s">
        <v>164</v>
      </c>
      <c r="D100" s="12">
        <v>50068533</v>
      </c>
      <c r="E100" s="1" t="s">
        <v>386</v>
      </c>
      <c r="F100" s="1" t="str">
        <f>VLOOKUP(A100,[1]Sheet1!$A$2:$E$1141,5,0)</f>
        <v>Shipment Management Adm Officer</v>
      </c>
      <c r="G100" s="17" t="str">
        <f>VLOOKUP(A100,[1]Sheet1!$A$2:$F$1141,6,0)</f>
        <v>Associate</v>
      </c>
      <c r="H100" s="1" t="s">
        <v>563</v>
      </c>
      <c r="I100" s="1" t="s">
        <v>28</v>
      </c>
      <c r="J100" s="1" t="str">
        <f>VLOOKUP(A100,[1]Sheet1!$A$2:$H$1141,8,0)</f>
        <v>Dept. of Sales</v>
      </c>
      <c r="K100" s="1" t="str">
        <f>VLOOKUP(A100,[1]Sheet1!$A$2:$I$1141,9,0)</f>
        <v>Unit of Outbound Logistic</v>
      </c>
      <c r="L100" s="1" t="str">
        <f>VLOOKUP(A100,[1]Sheet1!$A$2:$J$1141,10,0)</f>
        <v>Section of Shipment Management</v>
      </c>
      <c r="M100" s="2">
        <v>27429</v>
      </c>
      <c r="N100" s="1" t="s">
        <v>29</v>
      </c>
      <c r="O100" s="1" t="s">
        <v>30</v>
      </c>
      <c r="P100" s="1" t="s">
        <v>602</v>
      </c>
      <c r="Q100" s="1" t="s">
        <v>572</v>
      </c>
      <c r="R100" s="1" t="s">
        <v>573</v>
      </c>
      <c r="S100" s="1" t="s">
        <v>567</v>
      </c>
      <c r="T100" s="14">
        <v>47908</v>
      </c>
      <c r="U100" s="1" t="s">
        <v>603</v>
      </c>
      <c r="V100" s="1" t="s">
        <v>36</v>
      </c>
      <c r="W100" s="3" t="str">
        <f t="shared" si="1"/>
        <v>51 tahun</v>
      </c>
      <c r="X100" s="1" t="s">
        <v>248</v>
      </c>
      <c r="Y100" s="1" t="s">
        <v>56</v>
      </c>
      <c r="Z100" s="2">
        <v>37469</v>
      </c>
      <c r="AA100" s="2">
        <v>38718</v>
      </c>
      <c r="AB100" s="2" t="s">
        <v>84</v>
      </c>
    </row>
    <row r="101" spans="1:28" x14ac:dyDescent="0.35">
      <c r="A101" s="12">
        <v>4684</v>
      </c>
      <c r="B101" s="12">
        <v>7106295</v>
      </c>
      <c r="C101" s="12" t="s">
        <v>219</v>
      </c>
      <c r="D101" s="12">
        <v>50068534</v>
      </c>
      <c r="E101" s="1" t="s">
        <v>604</v>
      </c>
      <c r="F101" s="1" t="str">
        <f>VLOOKUP(A101,[1]Sheet1!$A$2:$E$1141,5,0)</f>
        <v>Shipment Management Adm Officer</v>
      </c>
      <c r="G101" s="17" t="str">
        <f>VLOOKUP(A101,[1]Sheet1!$A$2:$F$1141,6,0)</f>
        <v>Associate</v>
      </c>
      <c r="H101" s="1" t="s">
        <v>563</v>
      </c>
      <c r="I101" s="1" t="s">
        <v>28</v>
      </c>
      <c r="J101" s="1" t="str">
        <f>VLOOKUP(A101,[1]Sheet1!$A$2:$H$1141,8,0)</f>
        <v>Dept. of Sales</v>
      </c>
      <c r="K101" s="1" t="str">
        <f>VLOOKUP(A101,[1]Sheet1!$A$2:$I$1141,9,0)</f>
        <v>Unit of Outbound Logistic</v>
      </c>
      <c r="L101" s="1" t="str">
        <f>VLOOKUP(A101,[1]Sheet1!$A$2:$J$1141,10,0)</f>
        <v>Section of Shipment Management</v>
      </c>
      <c r="M101" s="2">
        <v>25952</v>
      </c>
      <c r="N101" s="1" t="s">
        <v>29</v>
      </c>
      <c r="O101" s="1" t="s">
        <v>30</v>
      </c>
      <c r="P101" s="1" t="s">
        <v>605</v>
      </c>
      <c r="Q101" s="1" t="s">
        <v>572</v>
      </c>
      <c r="R101" s="1" t="s">
        <v>573</v>
      </c>
      <c r="S101" s="1" t="s">
        <v>567</v>
      </c>
      <c r="T101" s="14">
        <v>46419</v>
      </c>
      <c r="U101" s="1" t="s">
        <v>606</v>
      </c>
      <c r="V101" s="1" t="s">
        <v>36</v>
      </c>
      <c r="W101" s="3" t="str">
        <f t="shared" si="1"/>
        <v>55 tahun</v>
      </c>
      <c r="X101" s="1" t="s">
        <v>243</v>
      </c>
      <c r="Y101" s="1" t="s">
        <v>56</v>
      </c>
      <c r="Z101" s="2">
        <v>38718</v>
      </c>
      <c r="AA101" s="2">
        <v>41030</v>
      </c>
      <c r="AB101" s="2" t="s">
        <v>607</v>
      </c>
    </row>
    <row r="102" spans="1:28" x14ac:dyDescent="0.35">
      <c r="A102" s="12">
        <v>4951</v>
      </c>
      <c r="B102" s="12">
        <v>7302218</v>
      </c>
      <c r="C102" s="12" t="s">
        <v>164</v>
      </c>
      <c r="D102" s="12">
        <v>50068535</v>
      </c>
      <c r="E102" s="1" t="s">
        <v>608</v>
      </c>
      <c r="F102" s="1" t="str">
        <f>VLOOKUP(A102,[1]Sheet1!$A$2:$E$1141,5,0)</f>
        <v>Shipment Management Adm Officer</v>
      </c>
      <c r="G102" s="17" t="str">
        <f>VLOOKUP(A102,[1]Sheet1!$A$2:$F$1141,6,0)</f>
        <v>Associate</v>
      </c>
      <c r="H102" s="1" t="s">
        <v>563</v>
      </c>
      <c r="I102" s="1" t="s">
        <v>28</v>
      </c>
      <c r="J102" s="1" t="str">
        <f>VLOOKUP(A102,[1]Sheet1!$A$2:$H$1141,8,0)</f>
        <v>Dept. of Sales</v>
      </c>
      <c r="K102" s="1" t="str">
        <f>VLOOKUP(A102,[1]Sheet1!$A$2:$I$1141,9,0)</f>
        <v>Unit of Outbound Logistic</v>
      </c>
      <c r="L102" s="1" t="str">
        <f>VLOOKUP(A102,[1]Sheet1!$A$2:$J$1141,10,0)</f>
        <v>Section of Shipment Management</v>
      </c>
      <c r="M102" s="2">
        <v>26884</v>
      </c>
      <c r="N102" s="1" t="s">
        <v>29</v>
      </c>
      <c r="O102" s="1" t="s">
        <v>30</v>
      </c>
      <c r="P102" s="1" t="s">
        <v>609</v>
      </c>
      <c r="Q102" s="1" t="s">
        <v>572</v>
      </c>
      <c r="R102" s="1" t="s">
        <v>573</v>
      </c>
      <c r="S102" s="1" t="s">
        <v>567</v>
      </c>
      <c r="T102" s="14">
        <v>47362</v>
      </c>
      <c r="U102" s="1" t="s">
        <v>610</v>
      </c>
      <c r="V102" s="1" t="s">
        <v>36</v>
      </c>
      <c r="W102" s="3" t="str">
        <f t="shared" si="1"/>
        <v>53 tahun</v>
      </c>
      <c r="X102" s="1" t="s">
        <v>101</v>
      </c>
      <c r="Y102" s="1" t="s">
        <v>56</v>
      </c>
      <c r="Z102" s="2">
        <v>37469</v>
      </c>
      <c r="AA102" s="2">
        <v>38718</v>
      </c>
      <c r="AB102" s="2" t="s">
        <v>611</v>
      </c>
    </row>
    <row r="103" spans="1:28" x14ac:dyDescent="0.35">
      <c r="A103" s="12">
        <v>5315</v>
      </c>
      <c r="B103" s="12">
        <v>8410023</v>
      </c>
      <c r="C103" s="12" t="s">
        <v>139</v>
      </c>
      <c r="D103" s="12">
        <v>50068552</v>
      </c>
      <c r="E103" s="16" t="s">
        <v>612</v>
      </c>
      <c r="F103" s="1" t="str">
        <f>VLOOKUP(A103,[1]Sheet1!$A$2:$E$1141,5,0)</f>
        <v>Mgr of Packaging Management</v>
      </c>
      <c r="G103" s="16" t="str">
        <f>VLOOKUP(A103,[1]Sheet1!$A$2:$F$1141,6,0)</f>
        <v>Manager</v>
      </c>
      <c r="H103" s="1" t="s">
        <v>613</v>
      </c>
      <c r="I103" s="1" t="s">
        <v>28</v>
      </c>
      <c r="J103" s="1" t="str">
        <f>VLOOKUP(A103,[1]Sheet1!$A$2:$H$1141,8,0)</f>
        <v>Dept. of Sales</v>
      </c>
      <c r="K103" s="1" t="str">
        <f>VLOOKUP(A103,[1]Sheet1!$A$2:$I$1141,9,0)</f>
        <v>Unit of Outbound Logistic</v>
      </c>
      <c r="L103" s="1" t="str">
        <f>VLOOKUP(A103,[1]Sheet1!$A$2:$J$1141,10,0)</f>
        <v>Section of Packaging Management</v>
      </c>
      <c r="M103" s="2">
        <v>30880</v>
      </c>
      <c r="N103" s="1" t="s">
        <v>29</v>
      </c>
      <c r="O103" s="1" t="s">
        <v>30</v>
      </c>
      <c r="P103" s="1" t="s">
        <v>614</v>
      </c>
      <c r="Q103" s="1" t="s">
        <v>615</v>
      </c>
      <c r="R103" s="1" t="s">
        <v>616</v>
      </c>
      <c r="S103" s="1" t="s">
        <v>617</v>
      </c>
      <c r="T103" s="14">
        <v>51349</v>
      </c>
      <c r="U103" s="1" t="s">
        <v>618</v>
      </c>
      <c r="V103" s="1" t="s">
        <v>36</v>
      </c>
      <c r="W103" s="3" t="str">
        <f t="shared" si="1"/>
        <v>42 tahun</v>
      </c>
      <c r="X103" s="1" t="s">
        <v>55</v>
      </c>
      <c r="Y103" s="1" t="s">
        <v>48</v>
      </c>
      <c r="Z103" s="2">
        <v>40544</v>
      </c>
      <c r="AA103" s="2">
        <v>40664</v>
      </c>
      <c r="AB103" s="2" t="s">
        <v>619</v>
      </c>
    </row>
    <row r="104" spans="1:28" x14ac:dyDescent="0.35">
      <c r="A104" s="12">
        <v>6057</v>
      </c>
      <c r="B104" s="12">
        <v>8912225</v>
      </c>
      <c r="C104" s="12" t="s">
        <v>103</v>
      </c>
      <c r="D104" s="12">
        <v>50068554</v>
      </c>
      <c r="E104" s="1" t="s">
        <v>620</v>
      </c>
      <c r="F104" s="1" t="str">
        <f>VLOOKUP(A104,[1]Sheet1!$A$2:$E$1141,5,0)</f>
        <v>Packaging Management Jr Officer</v>
      </c>
      <c r="G104" s="17" t="str">
        <f>VLOOKUP(A104,[1]Sheet1!$A$2:$F$1141,6,0)</f>
        <v>Supervisor</v>
      </c>
      <c r="H104" s="1" t="s">
        <v>613</v>
      </c>
      <c r="I104" s="1" t="s">
        <v>28</v>
      </c>
      <c r="J104" s="1" t="str">
        <f>VLOOKUP(A104,[1]Sheet1!$A$2:$H$1141,8,0)</f>
        <v>Dept. of Sales</v>
      </c>
      <c r="K104" s="1" t="str">
        <f>VLOOKUP(A104,[1]Sheet1!$A$2:$I$1141,9,0)</f>
        <v>Unit of Outbound Logistic</v>
      </c>
      <c r="L104" s="1" t="str">
        <f>VLOOKUP(A104,[1]Sheet1!$A$2:$J$1141,10,0)</f>
        <v>Section of Packaging Management</v>
      </c>
      <c r="M104" s="2">
        <v>32799</v>
      </c>
      <c r="N104" s="1" t="s">
        <v>29</v>
      </c>
      <c r="O104" s="1" t="s">
        <v>30</v>
      </c>
      <c r="P104" s="1" t="s">
        <v>621</v>
      </c>
      <c r="Q104" s="1" t="s">
        <v>622</v>
      </c>
      <c r="R104" s="1" t="s">
        <v>623</v>
      </c>
      <c r="S104" s="1" t="s">
        <v>617</v>
      </c>
      <c r="T104" s="14">
        <v>53267</v>
      </c>
      <c r="U104" s="1" t="s">
        <v>624</v>
      </c>
      <c r="V104" s="1" t="s">
        <v>36</v>
      </c>
      <c r="W104" s="3" t="str">
        <f t="shared" si="1"/>
        <v>36 tahun</v>
      </c>
      <c r="X104" s="1" t="s">
        <v>356</v>
      </c>
      <c r="Y104" s="1" t="s">
        <v>48</v>
      </c>
      <c r="Z104" s="2">
        <v>41275</v>
      </c>
      <c r="AA104" s="2">
        <v>41426</v>
      </c>
      <c r="AB104" s="2" t="s">
        <v>625</v>
      </c>
    </row>
    <row r="105" spans="1:28" x14ac:dyDescent="0.35">
      <c r="A105" s="12">
        <v>6011</v>
      </c>
      <c r="B105" s="12">
        <v>8912177</v>
      </c>
      <c r="C105" s="12" t="s">
        <v>103</v>
      </c>
      <c r="D105" s="12">
        <v>50069885</v>
      </c>
      <c r="E105" s="1" t="s">
        <v>626</v>
      </c>
      <c r="F105" s="1" t="str">
        <f>VLOOKUP(A105,[1]Sheet1!$A$2:$E$1141,5,0)</f>
        <v>Packaging Management Jr Officer</v>
      </c>
      <c r="G105" s="17" t="str">
        <f>VLOOKUP(A105,[1]Sheet1!$A$2:$F$1141,6,0)</f>
        <v>Supervisor</v>
      </c>
      <c r="H105" s="1" t="s">
        <v>613</v>
      </c>
      <c r="I105" s="1" t="s">
        <v>28</v>
      </c>
      <c r="J105" s="1" t="str">
        <f>VLOOKUP(A105,[1]Sheet1!$A$2:$H$1141,8,0)</f>
        <v>Dept. of Sales</v>
      </c>
      <c r="K105" s="1" t="str">
        <f>VLOOKUP(A105,[1]Sheet1!$A$2:$I$1141,9,0)</f>
        <v>Unit of Outbound Logistic</v>
      </c>
      <c r="L105" s="1" t="str">
        <f>VLOOKUP(A105,[1]Sheet1!$A$2:$J$1141,10,0)</f>
        <v>Section of Packaging Management</v>
      </c>
      <c r="M105" s="2">
        <v>32591</v>
      </c>
      <c r="N105" s="1" t="s">
        <v>29</v>
      </c>
      <c r="O105" s="1" t="s">
        <v>30</v>
      </c>
      <c r="P105" s="1" t="s">
        <v>627</v>
      </c>
      <c r="Q105" s="1" t="s">
        <v>622</v>
      </c>
      <c r="R105" s="1" t="s">
        <v>623</v>
      </c>
      <c r="S105" s="1" t="s">
        <v>617</v>
      </c>
      <c r="T105" s="14">
        <v>53053</v>
      </c>
      <c r="U105" s="1" t="s">
        <v>628</v>
      </c>
      <c r="V105" s="1" t="s">
        <v>36</v>
      </c>
      <c r="W105" s="3" t="str">
        <f t="shared" si="1"/>
        <v>37 tahun</v>
      </c>
      <c r="X105" s="1" t="s">
        <v>356</v>
      </c>
      <c r="Y105" s="1" t="s">
        <v>68</v>
      </c>
      <c r="Z105" s="2">
        <v>41275</v>
      </c>
      <c r="AA105" s="2">
        <v>41395</v>
      </c>
      <c r="AB105" s="2" t="s">
        <v>629</v>
      </c>
    </row>
    <row r="106" spans="1:28" x14ac:dyDescent="0.35">
      <c r="A106" s="12">
        <v>4814</v>
      </c>
      <c r="B106" s="12">
        <v>7295082</v>
      </c>
      <c r="C106" s="12" t="s">
        <v>50</v>
      </c>
      <c r="D106" s="12">
        <v>50068559</v>
      </c>
      <c r="E106" s="16" t="s">
        <v>630</v>
      </c>
      <c r="F106" s="1" t="str">
        <f>VLOOKUP(A106,[1]Sheet1!$A$2:$E$1141,5,0)</f>
        <v>Mgr of Bulk Transportation</v>
      </c>
      <c r="G106" s="16" t="str">
        <f>VLOOKUP(A106,[1]Sheet1!$A$2:$F$1141,6,0)</f>
        <v>Manager</v>
      </c>
      <c r="H106" s="1" t="s">
        <v>631</v>
      </c>
      <c r="I106" s="1" t="s">
        <v>28</v>
      </c>
      <c r="J106" s="1" t="str">
        <f>VLOOKUP(A106,[1]Sheet1!$A$2:$H$1141,8,0)</f>
        <v>Dept. of Sales</v>
      </c>
      <c r="K106" s="1" t="str">
        <f>VLOOKUP(A106,[1]Sheet1!$A$2:$I$1141,9,0)</f>
        <v>Unit of Outbound Logistic</v>
      </c>
      <c r="L106" s="1" t="str">
        <f>VLOOKUP(A106,[1]Sheet1!$A$2:$J$1141,10,0)</f>
        <v>Section of Bulk Transportation</v>
      </c>
      <c r="M106" s="2">
        <v>26374</v>
      </c>
      <c r="N106" s="1" t="s">
        <v>29</v>
      </c>
      <c r="O106" s="1" t="s">
        <v>30</v>
      </c>
      <c r="P106" s="1" t="s">
        <v>632</v>
      </c>
      <c r="Q106" s="1" t="s">
        <v>633</v>
      </c>
      <c r="R106" s="1" t="s">
        <v>634</v>
      </c>
      <c r="S106" s="1" t="s">
        <v>635</v>
      </c>
      <c r="T106" s="14">
        <v>46844</v>
      </c>
      <c r="U106" s="1" t="s">
        <v>636</v>
      </c>
      <c r="V106" s="1" t="s">
        <v>36</v>
      </c>
      <c r="W106" s="3" t="str">
        <f t="shared" si="1"/>
        <v>54 tahun</v>
      </c>
      <c r="X106" s="1" t="s">
        <v>248</v>
      </c>
      <c r="Y106" s="1" t="s">
        <v>56</v>
      </c>
      <c r="Z106" s="2">
        <v>34932</v>
      </c>
      <c r="AA106" s="2">
        <v>35309</v>
      </c>
      <c r="AB106" s="2" t="s">
        <v>637</v>
      </c>
    </row>
    <row r="107" spans="1:28" x14ac:dyDescent="0.35">
      <c r="A107" s="12">
        <v>4822</v>
      </c>
      <c r="B107" s="12">
        <v>7295178</v>
      </c>
      <c r="C107" s="12" t="s">
        <v>50</v>
      </c>
      <c r="D107" s="12">
        <v>50068562</v>
      </c>
      <c r="E107" s="1" t="s">
        <v>638</v>
      </c>
      <c r="F107" s="1" t="str">
        <f>VLOOKUP(A107,[1]Sheet1!$A$2:$E$1141,5,0)</f>
        <v>Bulk Transportation Jr Officer</v>
      </c>
      <c r="G107" s="17" t="str">
        <f>VLOOKUP(A107,[1]Sheet1!$A$2:$F$1141,6,0)</f>
        <v>Supervisor</v>
      </c>
      <c r="H107" s="1" t="s">
        <v>631</v>
      </c>
      <c r="I107" s="1" t="s">
        <v>28</v>
      </c>
      <c r="J107" s="1" t="str">
        <f>VLOOKUP(A107,[1]Sheet1!$A$2:$H$1141,8,0)</f>
        <v>Dept. of Sales</v>
      </c>
      <c r="K107" s="1" t="str">
        <f>VLOOKUP(A107,[1]Sheet1!$A$2:$I$1141,9,0)</f>
        <v>Unit of Outbound Logistic</v>
      </c>
      <c r="L107" s="1" t="str">
        <f>VLOOKUP(A107,[1]Sheet1!$A$2:$J$1141,10,0)</f>
        <v>Section of Bulk Transportation</v>
      </c>
      <c r="M107" s="2">
        <v>26411</v>
      </c>
      <c r="N107" s="1" t="s">
        <v>29</v>
      </c>
      <c r="O107" s="1" t="s">
        <v>30</v>
      </c>
      <c r="P107" s="1" t="s">
        <v>639</v>
      </c>
      <c r="Q107" s="1" t="s">
        <v>640</v>
      </c>
      <c r="R107" s="1" t="s">
        <v>641</v>
      </c>
      <c r="S107" s="1" t="s">
        <v>635</v>
      </c>
      <c r="T107" s="14">
        <v>46874</v>
      </c>
      <c r="U107" s="1" t="s">
        <v>642</v>
      </c>
      <c r="V107" s="1" t="s">
        <v>186</v>
      </c>
      <c r="W107" s="3" t="str">
        <f t="shared" si="1"/>
        <v>54 tahun</v>
      </c>
      <c r="X107" s="1" t="s">
        <v>101</v>
      </c>
      <c r="Y107" s="1" t="s">
        <v>56</v>
      </c>
      <c r="Z107" s="2">
        <v>35002</v>
      </c>
      <c r="AA107" s="2">
        <v>35370</v>
      </c>
      <c r="AB107" s="2" t="s">
        <v>643</v>
      </c>
    </row>
    <row r="108" spans="1:28" x14ac:dyDescent="0.35">
      <c r="A108" s="12">
        <v>4859</v>
      </c>
      <c r="B108" s="12">
        <v>7306401</v>
      </c>
      <c r="C108" s="12" t="s">
        <v>219</v>
      </c>
      <c r="D108" s="12">
        <v>50069240</v>
      </c>
      <c r="E108" s="1" t="s">
        <v>644</v>
      </c>
      <c r="F108" s="1" t="str">
        <f>VLOOKUP(A108,[1]Sheet1!$A$2:$E$1141,5,0)</f>
        <v>Bulk Transportation Jr Officer</v>
      </c>
      <c r="G108" s="17" t="str">
        <f>VLOOKUP(A108,[1]Sheet1!$A$2:$F$1141,6,0)</f>
        <v>Supervisor</v>
      </c>
      <c r="H108" s="1" t="s">
        <v>631</v>
      </c>
      <c r="I108" s="1" t="s">
        <v>28</v>
      </c>
      <c r="J108" s="1" t="str">
        <f>VLOOKUP(A108,[1]Sheet1!$A$2:$H$1141,8,0)</f>
        <v>Dept. of Sales</v>
      </c>
      <c r="K108" s="1" t="str">
        <f>VLOOKUP(A108,[1]Sheet1!$A$2:$I$1141,9,0)</f>
        <v>Unit of Outbound Logistic</v>
      </c>
      <c r="L108" s="1" t="str">
        <f>VLOOKUP(A108,[1]Sheet1!$A$2:$J$1141,10,0)</f>
        <v>Section of Bulk Transportation</v>
      </c>
      <c r="M108" s="2">
        <v>26862</v>
      </c>
      <c r="N108" s="1" t="s">
        <v>29</v>
      </c>
      <c r="O108" s="1" t="s">
        <v>30</v>
      </c>
      <c r="P108" s="1" t="s">
        <v>645</v>
      </c>
      <c r="Q108" s="1" t="s">
        <v>640</v>
      </c>
      <c r="R108" s="1" t="s">
        <v>641</v>
      </c>
      <c r="S108" s="1" t="s">
        <v>635</v>
      </c>
      <c r="T108" s="14">
        <v>47331</v>
      </c>
      <c r="U108" s="1" t="s">
        <v>646</v>
      </c>
      <c r="V108" s="1" t="s">
        <v>36</v>
      </c>
      <c r="W108" s="3" t="str">
        <f t="shared" si="1"/>
        <v>53 tahun</v>
      </c>
      <c r="X108" s="1" t="s">
        <v>137</v>
      </c>
      <c r="Y108" s="1" t="s">
        <v>56</v>
      </c>
      <c r="Z108" s="2">
        <v>38718</v>
      </c>
      <c r="AA108" s="2">
        <v>41030</v>
      </c>
      <c r="AB108" s="2" t="s">
        <v>647</v>
      </c>
    </row>
    <row r="109" spans="1:28" x14ac:dyDescent="0.35">
      <c r="A109" s="12">
        <v>4768</v>
      </c>
      <c r="B109" s="12">
        <v>7102164</v>
      </c>
      <c r="C109" s="12" t="s">
        <v>164</v>
      </c>
      <c r="D109" s="12">
        <v>50069892</v>
      </c>
      <c r="E109" s="1" t="s">
        <v>648</v>
      </c>
      <c r="F109" s="1" t="str">
        <f>VLOOKUP(A109,[1]Sheet1!$A$2:$E$1141,5,0)</f>
        <v>E Bulk Transportation Adm &amp; Eval Ofc.</v>
      </c>
      <c r="G109" s="17" t="str">
        <f>VLOOKUP(A109,[1]Sheet1!$A$2:$F$1141,6,0)</f>
        <v>Associate</v>
      </c>
      <c r="H109" s="1" t="s">
        <v>631</v>
      </c>
      <c r="I109" s="1" t="s">
        <v>28</v>
      </c>
      <c r="J109" s="1" t="str">
        <f>VLOOKUP(A109,[1]Sheet1!$A$2:$H$1141,8,0)</f>
        <v>Dept. of Sales</v>
      </c>
      <c r="K109" s="1" t="str">
        <f>VLOOKUP(A109,[1]Sheet1!$A$2:$I$1141,9,0)</f>
        <v>Unit of Outbound Logistic</v>
      </c>
      <c r="L109" s="1" t="str">
        <f>VLOOKUP(A109,[1]Sheet1!$A$2:$J$1141,10,0)</f>
        <v>Section of Bulk Transportation</v>
      </c>
      <c r="M109" s="2">
        <v>26103</v>
      </c>
      <c r="N109" s="1" t="s">
        <v>29</v>
      </c>
      <c r="O109" s="1" t="s">
        <v>30</v>
      </c>
      <c r="P109" s="1" t="s">
        <v>649</v>
      </c>
      <c r="Q109" s="1" t="s">
        <v>650</v>
      </c>
      <c r="R109" s="1" t="s">
        <v>651</v>
      </c>
      <c r="S109" s="1" t="s">
        <v>635</v>
      </c>
      <c r="T109" s="14">
        <v>46569</v>
      </c>
      <c r="U109" s="1" t="s">
        <v>652</v>
      </c>
      <c r="V109" s="1" t="s">
        <v>36</v>
      </c>
      <c r="W109" s="3" t="str">
        <f t="shared" si="1"/>
        <v>55 tahun</v>
      </c>
      <c r="X109" s="1" t="s">
        <v>96</v>
      </c>
      <c r="Y109" s="1" t="s">
        <v>56</v>
      </c>
      <c r="Z109" s="2">
        <v>37469</v>
      </c>
      <c r="AA109" s="2">
        <v>38718</v>
      </c>
      <c r="AB109" s="2" t="s">
        <v>84</v>
      </c>
    </row>
    <row r="110" spans="1:28" x14ac:dyDescent="0.35">
      <c r="A110" s="12">
        <v>5224</v>
      </c>
      <c r="B110" s="12">
        <v>7701006</v>
      </c>
      <c r="C110" s="12" t="s">
        <v>63</v>
      </c>
      <c r="D110" s="12">
        <v>50068565</v>
      </c>
      <c r="E110" s="16" t="s">
        <v>653</v>
      </c>
      <c r="F110" s="1" t="str">
        <f>VLOOKUP(A110,[1]Sheet1!$A$2:$E$1141,5,0)</f>
        <v>Mgr of Land Transportation</v>
      </c>
      <c r="G110" s="16" t="str">
        <f>VLOOKUP(A110,[1]Sheet1!$A$2:$F$1141,6,0)</f>
        <v>Manager</v>
      </c>
      <c r="H110" s="1" t="s">
        <v>654</v>
      </c>
      <c r="I110" s="1" t="s">
        <v>28</v>
      </c>
      <c r="J110" s="1" t="str">
        <f>VLOOKUP(A110,[1]Sheet1!$A$2:$H$1141,8,0)</f>
        <v>Dept. of Sales</v>
      </c>
      <c r="K110" s="1" t="str">
        <f>VLOOKUP(A110,[1]Sheet1!$A$2:$I$1141,9,0)</f>
        <v>Unit of Outbound Logistic</v>
      </c>
      <c r="L110" s="1" t="str">
        <f>VLOOKUP(A110,[1]Sheet1!$A$2:$J$1141,10,0)</f>
        <v>Section of Land Transportation</v>
      </c>
      <c r="M110" s="2">
        <v>28193</v>
      </c>
      <c r="N110" s="1" t="s">
        <v>29</v>
      </c>
      <c r="O110" s="1" t="s">
        <v>30</v>
      </c>
      <c r="P110" s="1" t="s">
        <v>655</v>
      </c>
      <c r="Q110" s="1" t="s">
        <v>656</v>
      </c>
      <c r="R110" s="1" t="s">
        <v>657</v>
      </c>
      <c r="S110" s="1" t="s">
        <v>658</v>
      </c>
      <c r="T110" s="14">
        <v>48670</v>
      </c>
      <c r="U110" s="1" t="s">
        <v>659</v>
      </c>
      <c r="V110" s="1" t="s">
        <v>36</v>
      </c>
      <c r="W110" s="3" t="str">
        <f t="shared" si="1"/>
        <v>49 tahun</v>
      </c>
      <c r="X110" s="1" t="s">
        <v>660</v>
      </c>
      <c r="Y110" s="1" t="s">
        <v>38</v>
      </c>
      <c r="Z110" s="2">
        <v>36631</v>
      </c>
      <c r="AA110" s="2">
        <v>37012</v>
      </c>
      <c r="AB110" s="2" t="s">
        <v>661</v>
      </c>
    </row>
    <row r="111" spans="1:28" x14ac:dyDescent="0.35">
      <c r="A111" s="12">
        <v>5180</v>
      </c>
      <c r="B111" s="12">
        <v>7602279</v>
      </c>
      <c r="C111" s="12" t="s">
        <v>164</v>
      </c>
      <c r="D111" s="12">
        <v>50068567</v>
      </c>
      <c r="E111" s="1" t="s">
        <v>662</v>
      </c>
      <c r="F111" s="1" t="str">
        <f>VLOOKUP(A111,[1]Sheet1!$A$2:$E$1141,5,0)</f>
        <v>Land Transportation Jr Officer</v>
      </c>
      <c r="G111" s="17" t="str">
        <f>VLOOKUP(A111,[1]Sheet1!$A$2:$F$1141,6,0)</f>
        <v>Supervisor</v>
      </c>
      <c r="H111" s="1" t="s">
        <v>654</v>
      </c>
      <c r="I111" s="1" t="s">
        <v>28</v>
      </c>
      <c r="J111" s="1" t="str">
        <f>VLOOKUP(A111,[1]Sheet1!$A$2:$H$1141,8,0)</f>
        <v>Dept. of Sales</v>
      </c>
      <c r="K111" s="1" t="str">
        <f>VLOOKUP(A111,[1]Sheet1!$A$2:$I$1141,9,0)</f>
        <v>Unit of Outbound Logistic</v>
      </c>
      <c r="L111" s="1" t="str">
        <f>VLOOKUP(A111,[1]Sheet1!$A$2:$J$1141,10,0)</f>
        <v>Section of Land Transportation</v>
      </c>
      <c r="M111" s="2">
        <v>27765</v>
      </c>
      <c r="N111" s="1" t="s">
        <v>29</v>
      </c>
      <c r="O111" s="1" t="s">
        <v>30</v>
      </c>
      <c r="P111" s="1" t="s">
        <v>663</v>
      </c>
      <c r="Q111" s="1" t="s">
        <v>664</v>
      </c>
      <c r="R111" s="1" t="s">
        <v>665</v>
      </c>
      <c r="S111" s="1" t="s">
        <v>658</v>
      </c>
      <c r="T111" s="14">
        <v>48245</v>
      </c>
      <c r="U111" s="1" t="s">
        <v>666</v>
      </c>
      <c r="V111" s="1" t="s">
        <v>36</v>
      </c>
      <c r="W111" s="3" t="str">
        <f t="shared" si="1"/>
        <v>50 tahun</v>
      </c>
      <c r="X111" s="1" t="s">
        <v>667</v>
      </c>
      <c r="Y111" s="1" t="s">
        <v>56</v>
      </c>
      <c r="Z111" s="2">
        <v>37469</v>
      </c>
      <c r="AA111" s="2">
        <v>38718</v>
      </c>
      <c r="AB111" s="2" t="s">
        <v>668</v>
      </c>
    </row>
    <row r="112" spans="1:28" x14ac:dyDescent="0.35">
      <c r="A112" s="12">
        <v>4669</v>
      </c>
      <c r="B112" s="12">
        <v>7006282</v>
      </c>
      <c r="C112" s="12" t="s">
        <v>219</v>
      </c>
      <c r="D112" s="12">
        <v>50069252</v>
      </c>
      <c r="E112" s="1" t="s">
        <v>669</v>
      </c>
      <c r="F112" s="1" t="str">
        <f>VLOOKUP(A112,[1]Sheet1!$A$2:$E$1141,5,0)</f>
        <v>Land Transportation Jr Officer</v>
      </c>
      <c r="G112" s="17" t="str">
        <f>VLOOKUP(A112,[1]Sheet1!$A$2:$F$1141,6,0)</f>
        <v>Supervisor</v>
      </c>
      <c r="H112" s="1" t="s">
        <v>654</v>
      </c>
      <c r="I112" s="1" t="s">
        <v>28</v>
      </c>
      <c r="J112" s="1" t="str">
        <f>VLOOKUP(A112,[1]Sheet1!$A$2:$H$1141,8,0)</f>
        <v>Dept. of Sales</v>
      </c>
      <c r="K112" s="1" t="str">
        <f>VLOOKUP(A112,[1]Sheet1!$A$2:$I$1141,9,0)</f>
        <v>Unit of Outbound Logistic</v>
      </c>
      <c r="L112" s="1" t="str">
        <f>VLOOKUP(A112,[1]Sheet1!$A$2:$J$1141,10,0)</f>
        <v>Section of Land Transportation</v>
      </c>
      <c r="M112" s="2">
        <v>25846</v>
      </c>
      <c r="N112" s="1" t="s">
        <v>29</v>
      </c>
      <c r="O112" s="1" t="s">
        <v>30</v>
      </c>
      <c r="P112" s="1" t="s">
        <v>670</v>
      </c>
      <c r="Q112" s="1" t="s">
        <v>664</v>
      </c>
      <c r="R112" s="1" t="s">
        <v>665</v>
      </c>
      <c r="S112" s="1" t="s">
        <v>658</v>
      </c>
      <c r="T112" s="14">
        <v>46327</v>
      </c>
      <c r="U112" s="1" t="s">
        <v>671</v>
      </c>
      <c r="V112" s="1" t="s">
        <v>36</v>
      </c>
      <c r="W112" s="3" t="str">
        <f t="shared" si="1"/>
        <v>55 tahun</v>
      </c>
      <c r="X112" s="1" t="s">
        <v>137</v>
      </c>
      <c r="Y112" s="1" t="s">
        <v>56</v>
      </c>
      <c r="Z112" s="2">
        <v>38718</v>
      </c>
      <c r="AA112" s="2">
        <v>41030</v>
      </c>
      <c r="AB112" s="2" t="s">
        <v>672</v>
      </c>
    </row>
    <row r="113" spans="1:28" x14ac:dyDescent="0.35">
      <c r="A113" s="12">
        <v>4772</v>
      </c>
      <c r="B113" s="12">
        <v>7102168</v>
      </c>
      <c r="C113" s="12" t="s">
        <v>164</v>
      </c>
      <c r="D113" s="12">
        <v>50069253</v>
      </c>
      <c r="E113" s="1" t="s">
        <v>673</v>
      </c>
      <c r="F113" s="1" t="str">
        <f>VLOOKUP(A113,[1]Sheet1!$A$2:$E$1141,5,0)</f>
        <v>Land Transportation Jr Officer</v>
      </c>
      <c r="G113" s="17" t="str">
        <f>VLOOKUP(A113,[1]Sheet1!$A$2:$F$1141,6,0)</f>
        <v>Supervisor</v>
      </c>
      <c r="H113" s="1" t="s">
        <v>654</v>
      </c>
      <c r="I113" s="1" t="s">
        <v>28</v>
      </c>
      <c r="J113" s="1" t="str">
        <f>VLOOKUP(A113,[1]Sheet1!$A$2:$H$1141,8,0)</f>
        <v>Dept. of Sales</v>
      </c>
      <c r="K113" s="1" t="str">
        <f>VLOOKUP(A113,[1]Sheet1!$A$2:$I$1141,9,0)</f>
        <v>Unit of Outbound Logistic</v>
      </c>
      <c r="L113" s="1" t="str">
        <f>VLOOKUP(A113,[1]Sheet1!$A$2:$J$1141,10,0)</f>
        <v>Section of Land Transportation</v>
      </c>
      <c r="M113" s="2">
        <v>26135</v>
      </c>
      <c r="N113" s="1" t="s">
        <v>29</v>
      </c>
      <c r="O113" s="1" t="s">
        <v>30</v>
      </c>
      <c r="P113" s="1" t="s">
        <v>674</v>
      </c>
      <c r="Q113" s="1" t="s">
        <v>664</v>
      </c>
      <c r="R113" s="1" t="s">
        <v>665</v>
      </c>
      <c r="S113" s="1" t="s">
        <v>658</v>
      </c>
      <c r="T113" s="14">
        <v>46600</v>
      </c>
      <c r="U113" s="1" t="s">
        <v>675</v>
      </c>
      <c r="V113" s="1" t="s">
        <v>36</v>
      </c>
      <c r="W113" s="3" t="str">
        <f t="shared" si="1"/>
        <v>55 tahun</v>
      </c>
      <c r="X113" s="1" t="s">
        <v>600</v>
      </c>
      <c r="Y113" s="1" t="s">
        <v>56</v>
      </c>
      <c r="Z113" s="2">
        <v>37469</v>
      </c>
      <c r="AA113" s="2">
        <v>38718</v>
      </c>
      <c r="AB113" s="2" t="s">
        <v>84</v>
      </c>
    </row>
    <row r="114" spans="1:28" x14ac:dyDescent="0.35">
      <c r="A114" s="12">
        <v>6005</v>
      </c>
      <c r="B114" s="12">
        <v>8912173</v>
      </c>
      <c r="C114" s="12" t="s">
        <v>103</v>
      </c>
      <c r="D114" s="12">
        <v>50069256</v>
      </c>
      <c r="E114" s="1" t="s">
        <v>662</v>
      </c>
      <c r="F114" s="1" t="str">
        <f>VLOOKUP(A114,[1]Sheet1!$A$2:$E$1141,5,0)</f>
        <v>Land Transportation Adm &amp; Eval Jr Ofc.</v>
      </c>
      <c r="G114" s="17" t="str">
        <f>VLOOKUP(A114,[1]Sheet1!$A$2:$F$1141,6,0)</f>
        <v>Supervisor</v>
      </c>
      <c r="H114" s="1" t="s">
        <v>654</v>
      </c>
      <c r="I114" s="1" t="s">
        <v>28</v>
      </c>
      <c r="J114" s="1" t="str">
        <f>VLOOKUP(A114,[1]Sheet1!$A$2:$H$1141,8,0)</f>
        <v>Dept. of Sales</v>
      </c>
      <c r="K114" s="1" t="str">
        <f>VLOOKUP(A114,[1]Sheet1!$A$2:$I$1141,9,0)</f>
        <v>Unit of Outbound Logistic</v>
      </c>
      <c r="L114" s="1" t="str">
        <f>VLOOKUP(A114,[1]Sheet1!$A$2:$J$1141,10,0)</f>
        <v>Section of Land Transportation</v>
      </c>
      <c r="M114" s="2">
        <v>32565</v>
      </c>
      <c r="N114" s="1" t="s">
        <v>29</v>
      </c>
      <c r="O114" s="1" t="s">
        <v>30</v>
      </c>
      <c r="P114" s="1" t="s">
        <v>676</v>
      </c>
      <c r="Q114" s="1" t="s">
        <v>677</v>
      </c>
      <c r="R114" s="1" t="s">
        <v>678</v>
      </c>
      <c r="S114" s="1" t="s">
        <v>658</v>
      </c>
      <c r="T114" s="14">
        <v>53022</v>
      </c>
      <c r="U114" s="1" t="s">
        <v>679</v>
      </c>
      <c r="V114" s="1" t="s">
        <v>36</v>
      </c>
      <c r="W114" s="3" t="str">
        <f t="shared" si="1"/>
        <v>37 tahun</v>
      </c>
      <c r="X114" s="1" t="s">
        <v>91</v>
      </c>
      <c r="Y114" s="1" t="s">
        <v>56</v>
      </c>
      <c r="Z114" s="2">
        <v>41275</v>
      </c>
      <c r="AA114" s="2">
        <v>41426</v>
      </c>
      <c r="AB114" s="2" t="s">
        <v>680</v>
      </c>
    </row>
    <row r="115" spans="1:28" x14ac:dyDescent="0.35">
      <c r="A115" s="12">
        <v>4841</v>
      </c>
      <c r="B115" s="12">
        <v>7202185</v>
      </c>
      <c r="C115" s="12" t="s">
        <v>164</v>
      </c>
      <c r="D115" s="12">
        <v>50068587</v>
      </c>
      <c r="E115" s="16" t="s">
        <v>681</v>
      </c>
      <c r="F115" s="1" t="str">
        <f>VLOOKUP(A115,[1]Sheet1!$A$2:$E$1141,5,0)</f>
        <v>Mgr of Sea Transportation</v>
      </c>
      <c r="G115" s="16" t="str">
        <f>VLOOKUP(A115,[1]Sheet1!$A$2:$F$1141,6,0)</f>
        <v>Manager</v>
      </c>
      <c r="H115" s="1" t="s">
        <v>682</v>
      </c>
      <c r="I115" s="1" t="s">
        <v>28</v>
      </c>
      <c r="J115" s="1" t="str">
        <f>VLOOKUP(A115,[1]Sheet1!$A$2:$H$1141,8,0)</f>
        <v>Dept. of Sales</v>
      </c>
      <c r="K115" s="1" t="str">
        <f>VLOOKUP(A115,[1]Sheet1!$A$2:$I$1141,9,0)</f>
        <v>Unit of Outbound Logistic</v>
      </c>
      <c r="L115" s="1" t="str">
        <f>VLOOKUP(A115,[1]Sheet1!$A$2:$J$1141,10,0)</f>
        <v>Section of Sea Transportation</v>
      </c>
      <c r="M115" s="2">
        <v>26461</v>
      </c>
      <c r="N115" s="1" t="s">
        <v>29</v>
      </c>
      <c r="O115" s="1" t="s">
        <v>30</v>
      </c>
      <c r="P115" s="1" t="s">
        <v>683</v>
      </c>
      <c r="Q115" s="1" t="s">
        <v>684</v>
      </c>
      <c r="R115" s="1" t="s">
        <v>685</v>
      </c>
      <c r="S115" s="1" t="s">
        <v>686</v>
      </c>
      <c r="T115" s="14">
        <v>46935</v>
      </c>
      <c r="U115" s="1" t="s">
        <v>687</v>
      </c>
      <c r="V115" s="1" t="s">
        <v>36</v>
      </c>
      <c r="W115" s="3" t="str">
        <f t="shared" si="1"/>
        <v>54 tahun</v>
      </c>
      <c r="X115" s="1" t="s">
        <v>101</v>
      </c>
      <c r="Y115" s="1" t="s">
        <v>48</v>
      </c>
      <c r="Z115" s="2">
        <v>37469</v>
      </c>
      <c r="AA115" s="2">
        <v>38718</v>
      </c>
      <c r="AB115" s="2" t="s">
        <v>688</v>
      </c>
    </row>
    <row r="116" spans="1:28" x14ac:dyDescent="0.35">
      <c r="A116" s="12">
        <v>6205</v>
      </c>
      <c r="B116" s="12">
        <v>9112371</v>
      </c>
      <c r="C116" s="12" t="s">
        <v>103</v>
      </c>
      <c r="D116" s="12">
        <v>50068589</v>
      </c>
      <c r="E116" s="1" t="s">
        <v>689</v>
      </c>
      <c r="F116" s="1" t="str">
        <f>VLOOKUP(A116,[1]Sheet1!$A$2:$E$1141,5,0)</f>
        <v>Sea Transportation Jr Officer</v>
      </c>
      <c r="G116" s="17" t="str">
        <f>VLOOKUP(A116,[1]Sheet1!$A$2:$F$1141,6,0)</f>
        <v>Supervisor</v>
      </c>
      <c r="H116" s="1" t="s">
        <v>682</v>
      </c>
      <c r="I116" s="1" t="s">
        <v>28</v>
      </c>
      <c r="J116" s="1" t="str">
        <f>VLOOKUP(A116,[1]Sheet1!$A$2:$H$1141,8,0)</f>
        <v>Dept. of Sales</v>
      </c>
      <c r="K116" s="1" t="str">
        <f>VLOOKUP(A116,[1]Sheet1!$A$2:$I$1141,9,0)</f>
        <v>Unit of Outbound Logistic</v>
      </c>
      <c r="L116" s="1" t="str">
        <f>VLOOKUP(A116,[1]Sheet1!$A$2:$J$1141,10,0)</f>
        <v>Section of Sea Transportation</v>
      </c>
      <c r="M116" s="2">
        <v>33473</v>
      </c>
      <c r="N116" s="1" t="s">
        <v>29</v>
      </c>
      <c r="O116" s="1" t="s">
        <v>30</v>
      </c>
      <c r="P116" s="1" t="s">
        <v>690</v>
      </c>
      <c r="Q116" s="1" t="s">
        <v>691</v>
      </c>
      <c r="R116" s="1" t="s">
        <v>692</v>
      </c>
      <c r="S116" s="1" t="s">
        <v>686</v>
      </c>
      <c r="T116" s="14">
        <v>53936</v>
      </c>
      <c r="U116" s="1" t="s">
        <v>693</v>
      </c>
      <c r="V116" s="1" t="s">
        <v>36</v>
      </c>
      <c r="W116" s="3" t="str">
        <f t="shared" si="1"/>
        <v>35 tahun</v>
      </c>
      <c r="X116" s="1" t="s">
        <v>694</v>
      </c>
      <c r="Y116" s="1" t="s">
        <v>56</v>
      </c>
      <c r="Z116" s="2">
        <v>41275</v>
      </c>
      <c r="AA116" s="2">
        <v>41426</v>
      </c>
      <c r="AB116" s="2" t="s">
        <v>695</v>
      </c>
    </row>
    <row r="117" spans="1:28" x14ac:dyDescent="0.35">
      <c r="A117" s="12">
        <v>4983</v>
      </c>
      <c r="B117" s="12">
        <v>7406476</v>
      </c>
      <c r="C117" s="12" t="s">
        <v>219</v>
      </c>
      <c r="D117" s="12">
        <v>50069891</v>
      </c>
      <c r="E117" s="1" t="s">
        <v>696</v>
      </c>
      <c r="F117" s="1" t="str">
        <f>VLOOKUP(A117,[1]Sheet1!$A$2:$E$1141,5,0)</f>
        <v>E Sea Transportation Adm &amp; Eval Officer</v>
      </c>
      <c r="G117" s="17" t="str">
        <f>VLOOKUP(A117,[1]Sheet1!$A$2:$F$1141,6,0)</f>
        <v>Associate</v>
      </c>
      <c r="H117" s="1" t="s">
        <v>682</v>
      </c>
      <c r="I117" s="1" t="s">
        <v>28</v>
      </c>
      <c r="J117" s="1" t="str">
        <f>VLOOKUP(A117,[1]Sheet1!$A$2:$H$1141,8,0)</f>
        <v>Dept. of Sales</v>
      </c>
      <c r="K117" s="1" t="str">
        <f>VLOOKUP(A117,[1]Sheet1!$A$2:$I$1141,9,0)</f>
        <v>Unit of Outbound Logistic</v>
      </c>
      <c r="L117" s="1" t="str">
        <f>VLOOKUP(A117,[1]Sheet1!$A$2:$J$1141,10,0)</f>
        <v>Section of Sea Transportation</v>
      </c>
      <c r="M117" s="2">
        <v>27362</v>
      </c>
      <c r="N117" s="1" t="s">
        <v>29</v>
      </c>
      <c r="O117" s="1" t="s">
        <v>30</v>
      </c>
      <c r="P117" s="1" t="s">
        <v>697</v>
      </c>
      <c r="Q117" s="1" t="s">
        <v>698</v>
      </c>
      <c r="R117" s="1" t="s">
        <v>699</v>
      </c>
      <c r="S117" s="1" t="s">
        <v>686</v>
      </c>
      <c r="T117" s="14">
        <v>47818</v>
      </c>
      <c r="U117" s="1" t="s">
        <v>700</v>
      </c>
      <c r="V117" s="1" t="s">
        <v>36</v>
      </c>
      <c r="W117" s="3" t="str">
        <f t="shared" si="1"/>
        <v>51 tahun</v>
      </c>
      <c r="X117" s="1" t="s">
        <v>248</v>
      </c>
      <c r="Y117" s="1" t="s">
        <v>56</v>
      </c>
      <c r="Z117" s="2">
        <v>38718</v>
      </c>
      <c r="AA117" s="2">
        <v>41030</v>
      </c>
      <c r="AB117" s="2" t="s">
        <v>84</v>
      </c>
    </row>
    <row r="118" spans="1:28" x14ac:dyDescent="0.35">
      <c r="A118" s="12">
        <v>5124</v>
      </c>
      <c r="B118" s="12">
        <v>7595235</v>
      </c>
      <c r="C118" s="12" t="s">
        <v>50</v>
      </c>
      <c r="D118" s="12">
        <v>50070758</v>
      </c>
      <c r="E118" s="15" t="s">
        <v>701</v>
      </c>
      <c r="F118" s="1" t="str">
        <f>VLOOKUP(A118,[1]Sheet1!$A$2:$E$1141,5,0)</f>
        <v>SSM of Corporate Sales</v>
      </c>
      <c r="G118" s="15" t="str">
        <f>VLOOKUP(A118,[1]Sheet1!$A$2:$F$1141,6,0)</f>
        <v>Senior Manager</v>
      </c>
      <c r="H118" s="1" t="s">
        <v>702</v>
      </c>
      <c r="I118" s="1" t="s">
        <v>28</v>
      </c>
      <c r="J118" s="1" t="str">
        <f>VLOOKUP(A118,[1]Sheet1!$A$2:$H$1141,8,0)</f>
        <v>Dept. of Sales</v>
      </c>
      <c r="K118" s="1" t="str">
        <f>VLOOKUP(A118,[1]Sheet1!$A$2:$I$1141,9,0)</f>
        <v>Unit of Corporate Sales</v>
      </c>
      <c r="L118" s="1" t="e">
        <f>VLOOKUP(A118,[1]Sheet1!$A$2:$J$1141,10,0)</f>
        <v>#REF!</v>
      </c>
      <c r="M118" s="2">
        <v>27468</v>
      </c>
      <c r="N118" s="1" t="s">
        <v>29</v>
      </c>
      <c r="O118" s="1" t="s">
        <v>30</v>
      </c>
      <c r="P118" s="1" t="s">
        <v>703</v>
      </c>
      <c r="Q118" s="1" t="s">
        <v>704</v>
      </c>
      <c r="R118" s="1" t="s">
        <v>705</v>
      </c>
      <c r="S118" s="1" t="s">
        <v>706</v>
      </c>
      <c r="T118" s="14">
        <v>47939</v>
      </c>
      <c r="U118" s="1" t="s">
        <v>707</v>
      </c>
      <c r="V118" s="1" t="s">
        <v>36</v>
      </c>
      <c r="W118" s="3" t="str">
        <f t="shared" si="1"/>
        <v>51 tahun</v>
      </c>
      <c r="X118" s="1" t="s">
        <v>55</v>
      </c>
      <c r="Y118" s="1" t="s">
        <v>48</v>
      </c>
      <c r="Z118" s="2">
        <v>35002</v>
      </c>
      <c r="AA118" s="2">
        <v>35370</v>
      </c>
      <c r="AB118" s="2" t="s">
        <v>708</v>
      </c>
    </row>
    <row r="119" spans="1:28" x14ac:dyDescent="0.35">
      <c r="A119" s="12">
        <v>4835</v>
      </c>
      <c r="B119" s="12">
        <v>7295265</v>
      </c>
      <c r="C119" s="12" t="s">
        <v>50</v>
      </c>
      <c r="D119" s="12">
        <v>50070760</v>
      </c>
      <c r="E119" s="16" t="s">
        <v>709</v>
      </c>
      <c r="F119" s="1" t="str">
        <f>VLOOKUP(A119,[1]Sheet1!$A$2:$E$1141,5,0)</f>
        <v>Mgr of Technical &amp; Customer Support</v>
      </c>
      <c r="G119" s="16" t="str">
        <f>VLOOKUP(A119,[1]Sheet1!$A$2:$F$1141,6,0)</f>
        <v>Manager</v>
      </c>
      <c r="H119" s="1" t="s">
        <v>710</v>
      </c>
      <c r="I119" s="1" t="s">
        <v>28</v>
      </c>
      <c r="J119" s="1" t="str">
        <f>VLOOKUP(A119,[1]Sheet1!$A$2:$H$1141,8,0)</f>
        <v>Dept. of Sales</v>
      </c>
      <c r="K119" s="1" t="str">
        <f>VLOOKUP(A119,[1]Sheet1!$A$2:$I$1141,9,0)</f>
        <v>Unit of Corporate Sales</v>
      </c>
      <c r="L119" s="1" t="str">
        <f>VLOOKUP(A119,[1]Sheet1!$A$2:$J$1141,10,0)</f>
        <v>Section of Technical &amp; Customer Support</v>
      </c>
      <c r="M119" s="2">
        <v>26439</v>
      </c>
      <c r="N119" s="1" t="s">
        <v>29</v>
      </c>
      <c r="O119" s="1" t="s">
        <v>30</v>
      </c>
      <c r="P119" s="1" t="s">
        <v>711</v>
      </c>
      <c r="Q119" s="1" t="s">
        <v>712</v>
      </c>
      <c r="R119" s="1" t="s">
        <v>713</v>
      </c>
      <c r="S119" s="1" t="s">
        <v>714</v>
      </c>
      <c r="T119" s="14">
        <v>46905</v>
      </c>
      <c r="U119" s="1" t="s">
        <v>715</v>
      </c>
      <c r="V119" s="1" t="s">
        <v>36</v>
      </c>
      <c r="W119" s="3" t="str">
        <f t="shared" si="1"/>
        <v>54 tahun</v>
      </c>
      <c r="X119" s="1" t="s">
        <v>96</v>
      </c>
      <c r="Y119" s="1" t="s">
        <v>48</v>
      </c>
      <c r="Z119" s="2">
        <v>35034</v>
      </c>
      <c r="AA119" s="2">
        <v>35582</v>
      </c>
      <c r="AB119" s="2" t="s">
        <v>84</v>
      </c>
    </row>
    <row r="120" spans="1:28" x14ac:dyDescent="0.35">
      <c r="A120" s="12">
        <v>5156</v>
      </c>
      <c r="B120" s="12">
        <v>7595130</v>
      </c>
      <c r="C120" s="12" t="s">
        <v>50</v>
      </c>
      <c r="D120" s="12">
        <v>50070762</v>
      </c>
      <c r="E120" s="16" t="s">
        <v>716</v>
      </c>
      <c r="F120" s="1" t="str">
        <f>VLOOKUP(A120,[1]Sheet1!$A$2:$E$1141,5,0)</f>
        <v>Key Account Officer</v>
      </c>
      <c r="G120" s="16" t="str">
        <f>VLOOKUP(A120,[1]Sheet1!$A$2:$F$1141,6,0)</f>
        <v>Manager</v>
      </c>
      <c r="H120" s="1" t="s">
        <v>702</v>
      </c>
      <c r="I120" s="1" t="s">
        <v>28</v>
      </c>
      <c r="J120" s="1" t="str">
        <f>VLOOKUP(A120,[1]Sheet1!$A$2:$H$1141,8,0)</f>
        <v>Dept. of Sales</v>
      </c>
      <c r="K120" s="1" t="str">
        <f>VLOOKUP(A120,[1]Sheet1!$A$2:$I$1141,9,0)</f>
        <v>Unit of Corporate Sales</v>
      </c>
      <c r="L120" s="1" t="str">
        <f>VLOOKUP(A120,[1]Sheet1!$A$2:$J$1141,10,0)</f>
        <v>Staff of Key Account Officer</v>
      </c>
      <c r="M120" s="2">
        <v>27628</v>
      </c>
      <c r="N120" s="1" t="s">
        <v>29</v>
      </c>
      <c r="O120" s="1" t="s">
        <v>30</v>
      </c>
      <c r="P120" s="1" t="s">
        <v>717</v>
      </c>
      <c r="Q120" s="1" t="s">
        <v>718</v>
      </c>
      <c r="R120" s="1" t="s">
        <v>719</v>
      </c>
      <c r="S120" s="1" t="s">
        <v>706</v>
      </c>
      <c r="T120" s="14">
        <v>48092</v>
      </c>
      <c r="U120" s="1" t="s">
        <v>720</v>
      </c>
      <c r="V120" s="1" t="s">
        <v>36</v>
      </c>
      <c r="W120" s="3" t="str">
        <f t="shared" si="1"/>
        <v>51 tahun</v>
      </c>
      <c r="X120" s="1" t="s">
        <v>55</v>
      </c>
      <c r="Y120" s="1" t="s">
        <v>48</v>
      </c>
      <c r="Z120" s="2">
        <v>34932</v>
      </c>
      <c r="AA120" s="2">
        <v>35309</v>
      </c>
      <c r="AB120" s="2" t="s">
        <v>721</v>
      </c>
    </row>
    <row r="121" spans="1:28" x14ac:dyDescent="0.35">
      <c r="A121" s="12">
        <v>5368</v>
      </c>
      <c r="B121" s="12">
        <v>8610067</v>
      </c>
      <c r="C121" s="12" t="s">
        <v>139</v>
      </c>
      <c r="D121" s="12">
        <v>50070763</v>
      </c>
      <c r="E121" s="16" t="s">
        <v>722</v>
      </c>
      <c r="F121" s="1" t="str">
        <f>VLOOKUP(A121,[1]Sheet1!$A$2:$E$1141,5,0)</f>
        <v>Key Account Officer</v>
      </c>
      <c r="G121" s="16" t="str">
        <f>VLOOKUP(A121,[1]Sheet1!$A$2:$F$1141,6,0)</f>
        <v>Manager</v>
      </c>
      <c r="H121" s="1" t="s">
        <v>702</v>
      </c>
      <c r="I121" s="1" t="s">
        <v>28</v>
      </c>
      <c r="J121" s="1" t="str">
        <f>VLOOKUP(A121,[1]Sheet1!$A$2:$H$1141,8,0)</f>
        <v>Dept. of Sales</v>
      </c>
      <c r="K121" s="1" t="str">
        <f>VLOOKUP(A121,[1]Sheet1!$A$2:$I$1141,9,0)</f>
        <v>Unit of Corporate Sales</v>
      </c>
      <c r="L121" s="1" t="str">
        <f>VLOOKUP(A121,[1]Sheet1!$A$2:$J$1141,10,0)</f>
        <v>Staff of Key Account Officer</v>
      </c>
      <c r="M121" s="2">
        <v>31504</v>
      </c>
      <c r="N121" s="1" t="s">
        <v>29</v>
      </c>
      <c r="O121" s="1" t="s">
        <v>30</v>
      </c>
      <c r="P121" s="1" t="s">
        <v>723</v>
      </c>
      <c r="Q121" s="1" t="s">
        <v>718</v>
      </c>
      <c r="R121" s="1" t="s">
        <v>719</v>
      </c>
      <c r="S121" s="1" t="s">
        <v>706</v>
      </c>
      <c r="T121" s="14">
        <v>51987</v>
      </c>
      <c r="U121" s="1" t="s">
        <v>724</v>
      </c>
      <c r="V121" s="1" t="s">
        <v>36</v>
      </c>
      <c r="W121" s="3" t="str">
        <f t="shared" si="1"/>
        <v>40 tahun</v>
      </c>
      <c r="X121" s="1" t="s">
        <v>55</v>
      </c>
      <c r="Y121" s="1" t="s">
        <v>68</v>
      </c>
      <c r="Z121" s="2">
        <v>40544</v>
      </c>
      <c r="AA121" s="2">
        <v>40695</v>
      </c>
      <c r="AB121" s="2" t="s">
        <v>725</v>
      </c>
    </row>
    <row r="122" spans="1:28" x14ac:dyDescent="0.35">
      <c r="A122" s="12">
        <v>4848</v>
      </c>
      <c r="B122" s="12">
        <v>7202188</v>
      </c>
      <c r="C122" s="12" t="s">
        <v>164</v>
      </c>
      <c r="D122" s="12">
        <v>50070764</v>
      </c>
      <c r="E122" s="16" t="s">
        <v>726</v>
      </c>
      <c r="F122" s="1" t="str">
        <f>VLOOKUP(A122,[1]Sheet1!$A$2:$E$1141,5,0)</f>
        <v>Key Account Officer</v>
      </c>
      <c r="G122" s="16" t="str">
        <f>VLOOKUP(A122,[1]Sheet1!$A$2:$F$1141,6,0)</f>
        <v>Manager</v>
      </c>
      <c r="H122" s="1" t="s">
        <v>702</v>
      </c>
      <c r="I122" s="1" t="s">
        <v>28</v>
      </c>
      <c r="J122" s="1" t="str">
        <f>VLOOKUP(A122,[1]Sheet1!$A$2:$H$1141,8,0)</f>
        <v>Dept. of Sales</v>
      </c>
      <c r="K122" s="1" t="str">
        <f>VLOOKUP(A122,[1]Sheet1!$A$2:$I$1141,9,0)</f>
        <v>Unit of Corporate Sales</v>
      </c>
      <c r="L122" s="1" t="str">
        <f>VLOOKUP(A122,[1]Sheet1!$A$2:$J$1141,10,0)</f>
        <v>Staff of Key Account Officer</v>
      </c>
      <c r="M122" s="2">
        <v>26486</v>
      </c>
      <c r="N122" s="1" t="s">
        <v>29</v>
      </c>
      <c r="O122" s="1" t="s">
        <v>30</v>
      </c>
      <c r="P122" s="1" t="s">
        <v>727</v>
      </c>
      <c r="Q122" s="1" t="s">
        <v>718</v>
      </c>
      <c r="R122" s="1" t="s">
        <v>719</v>
      </c>
      <c r="S122" s="1" t="s">
        <v>706</v>
      </c>
      <c r="T122" s="14">
        <v>46966</v>
      </c>
      <c r="U122" s="1" t="s">
        <v>728</v>
      </c>
      <c r="V122" s="1" t="s">
        <v>36</v>
      </c>
      <c r="W122" s="3" t="str">
        <f t="shared" si="1"/>
        <v>54 tahun</v>
      </c>
      <c r="X122" s="1" t="s">
        <v>248</v>
      </c>
      <c r="Y122" s="1" t="s">
        <v>56</v>
      </c>
      <c r="Z122" s="2">
        <v>37469</v>
      </c>
      <c r="AA122" s="2">
        <v>38718</v>
      </c>
      <c r="AB122" s="2" t="s">
        <v>84</v>
      </c>
    </row>
    <row r="123" spans="1:28" x14ac:dyDescent="0.35">
      <c r="A123" s="12">
        <v>5126</v>
      </c>
      <c r="B123" s="12">
        <v>7595124</v>
      </c>
      <c r="C123" s="12" t="s">
        <v>50</v>
      </c>
      <c r="D123" s="12">
        <v>50070765</v>
      </c>
      <c r="E123" s="16" t="s">
        <v>729</v>
      </c>
      <c r="F123" s="1" t="str">
        <f>VLOOKUP(A123,[1]Sheet1!$A$2:$E$1141,5,0)</f>
        <v>Key Account Officer</v>
      </c>
      <c r="G123" s="16" t="str">
        <f>VLOOKUP(A123,[1]Sheet1!$A$2:$F$1141,6,0)</f>
        <v>Manager</v>
      </c>
      <c r="H123" s="1" t="s">
        <v>702</v>
      </c>
      <c r="I123" s="1" t="s">
        <v>28</v>
      </c>
      <c r="J123" s="1" t="str">
        <f>VLOOKUP(A123,[1]Sheet1!$A$2:$H$1141,8,0)</f>
        <v>Dept. of Sales</v>
      </c>
      <c r="K123" s="1" t="str">
        <f>VLOOKUP(A123,[1]Sheet1!$A$2:$I$1141,9,0)</f>
        <v>Unit of Corporate Sales</v>
      </c>
      <c r="L123" s="1" t="str">
        <f>VLOOKUP(A123,[1]Sheet1!$A$2:$J$1141,10,0)</f>
        <v>Staff of Key Account Officer</v>
      </c>
      <c r="M123" s="2">
        <v>27487</v>
      </c>
      <c r="N123" s="1" t="s">
        <v>29</v>
      </c>
      <c r="O123" s="1" t="s">
        <v>30</v>
      </c>
      <c r="P123" s="1" t="s">
        <v>730</v>
      </c>
      <c r="Q123" s="1" t="s">
        <v>718</v>
      </c>
      <c r="R123" s="1" t="s">
        <v>719</v>
      </c>
      <c r="S123" s="1" t="s">
        <v>706</v>
      </c>
      <c r="T123" s="14">
        <v>47969</v>
      </c>
      <c r="U123" s="1" t="s">
        <v>731</v>
      </c>
      <c r="V123" s="1" t="s">
        <v>36</v>
      </c>
      <c r="W123" s="3" t="str">
        <f t="shared" si="1"/>
        <v>51 tahun</v>
      </c>
      <c r="X123" s="1" t="s">
        <v>55</v>
      </c>
      <c r="Y123" s="1" t="s">
        <v>48</v>
      </c>
      <c r="Z123" s="2">
        <v>34932</v>
      </c>
      <c r="AA123" s="2">
        <v>35309</v>
      </c>
      <c r="AB123" s="2" t="s">
        <v>84</v>
      </c>
    </row>
    <row r="124" spans="1:28" x14ac:dyDescent="0.35">
      <c r="A124" s="12">
        <v>5297</v>
      </c>
      <c r="B124" s="12">
        <v>8310018</v>
      </c>
      <c r="C124" s="12" t="s">
        <v>139</v>
      </c>
      <c r="D124" s="12">
        <v>50070658</v>
      </c>
      <c r="E124" s="15" t="s">
        <v>732</v>
      </c>
      <c r="F124" s="1" t="str">
        <f>VLOOKUP(A124,[1]Sheet1!$A$2:$E$1141,5,0)</f>
        <v>SSM of Sales 1</v>
      </c>
      <c r="G124" s="15" t="str">
        <f>VLOOKUP(A124,[1]Sheet1!$A$2:$F$1141,6,0)</f>
        <v>Senior Manager</v>
      </c>
      <c r="H124" s="1" t="s">
        <v>733</v>
      </c>
      <c r="I124" s="1" t="s">
        <v>28</v>
      </c>
      <c r="J124" s="1" t="str">
        <f>VLOOKUP(A124,[1]Sheet1!$A$2:$H$1141,8,0)</f>
        <v>Dept. of Sales</v>
      </c>
      <c r="K124" s="1" t="str">
        <f>VLOOKUP(A124,[1]Sheet1!$A$2:$I$1141,9,0)</f>
        <v>Unit of Sales 1</v>
      </c>
      <c r="L124" s="1" t="e">
        <f>VLOOKUP(A124,[1]Sheet1!$A$2:$J$1141,10,0)</f>
        <v>#REF!</v>
      </c>
      <c r="M124" s="2">
        <v>30665</v>
      </c>
      <c r="N124" s="1" t="s">
        <v>29</v>
      </c>
      <c r="O124" s="1" t="s">
        <v>30</v>
      </c>
      <c r="P124" s="1" t="s">
        <v>734</v>
      </c>
      <c r="Q124" s="1" t="s">
        <v>735</v>
      </c>
      <c r="R124" s="1" t="s">
        <v>736</v>
      </c>
      <c r="S124" s="1" t="s">
        <v>736</v>
      </c>
      <c r="T124" s="14">
        <v>51136</v>
      </c>
      <c r="U124" s="1" t="s">
        <v>737</v>
      </c>
      <c r="V124" s="1" t="s">
        <v>36</v>
      </c>
      <c r="W124" s="3" t="str">
        <f t="shared" si="1"/>
        <v>42 tahun</v>
      </c>
      <c r="X124" s="1" t="s">
        <v>96</v>
      </c>
      <c r="Y124" s="1" t="s">
        <v>48</v>
      </c>
      <c r="Z124" s="2">
        <v>40544</v>
      </c>
      <c r="AA124" s="2">
        <v>40664</v>
      </c>
      <c r="AB124" s="2" t="s">
        <v>738</v>
      </c>
    </row>
    <row r="125" spans="1:28" x14ac:dyDescent="0.35">
      <c r="A125" s="12">
        <v>6010</v>
      </c>
      <c r="B125" s="12">
        <v>8912178</v>
      </c>
      <c r="C125" s="12" t="s">
        <v>103</v>
      </c>
      <c r="D125" s="12">
        <v>50070662</v>
      </c>
      <c r="E125" s="16" t="s">
        <v>739</v>
      </c>
      <c r="F125" s="1" t="str">
        <f>VLOOKUP(A125,[1]Sheet1!$A$2:$E$1141,5,0)</f>
        <v>ASM of Sulewsi-Selatan</v>
      </c>
      <c r="G125" s="16" t="str">
        <f>VLOOKUP(A125,[1]Sheet1!$A$2:$F$1141,6,0)</f>
        <v>Manager</v>
      </c>
      <c r="H125" s="1" t="s">
        <v>740</v>
      </c>
      <c r="I125" s="1" t="s">
        <v>28</v>
      </c>
      <c r="J125" s="1" t="str">
        <f>VLOOKUP(A125,[1]Sheet1!$A$2:$H$1141,8,0)</f>
        <v>Dept. of Sales</v>
      </c>
      <c r="K125" s="1" t="str">
        <f>VLOOKUP(A125,[1]Sheet1!$A$2:$I$1141,9,0)</f>
        <v>Unit of Sales 1</v>
      </c>
      <c r="L125" s="1" t="str">
        <f>VLOOKUP(A125,[1]Sheet1!$A$2:$J$1141,10,0)</f>
        <v>Section of Sulsel</v>
      </c>
      <c r="M125" s="2">
        <v>32591</v>
      </c>
      <c r="N125" s="1" t="s">
        <v>29</v>
      </c>
      <c r="O125" s="1" t="s">
        <v>30</v>
      </c>
      <c r="P125" s="1" t="s">
        <v>741</v>
      </c>
      <c r="Q125" s="1" t="s">
        <v>742</v>
      </c>
      <c r="R125" s="1" t="s">
        <v>743</v>
      </c>
      <c r="S125" s="1" t="s">
        <v>744</v>
      </c>
      <c r="T125" s="14">
        <v>53053</v>
      </c>
      <c r="U125" s="1" t="s">
        <v>745</v>
      </c>
      <c r="V125" s="1" t="s">
        <v>36</v>
      </c>
      <c r="W125" s="3" t="str">
        <f t="shared" si="1"/>
        <v>37 tahun</v>
      </c>
      <c r="X125" s="1" t="s">
        <v>121</v>
      </c>
      <c r="Y125" s="1" t="s">
        <v>48</v>
      </c>
      <c r="Z125" s="2">
        <v>41275</v>
      </c>
      <c r="AA125" s="2">
        <v>41426</v>
      </c>
      <c r="AB125" s="2" t="s">
        <v>746</v>
      </c>
    </row>
    <row r="126" spans="1:28" x14ac:dyDescent="0.35">
      <c r="A126" s="12">
        <v>4936</v>
      </c>
      <c r="B126" s="12">
        <v>7395195</v>
      </c>
      <c r="C126" s="12" t="s">
        <v>50</v>
      </c>
      <c r="D126" s="12">
        <v>50070666</v>
      </c>
      <c r="E126" s="1" t="s">
        <v>747</v>
      </c>
      <c r="F126" s="1" t="str">
        <f>VLOOKUP(A126,[1]Sheet1!$A$2:$E$1141,5,0)</f>
        <v>Sulsel TSO</v>
      </c>
      <c r="G126" s="17" t="str">
        <f>VLOOKUP(A126,[1]Sheet1!$A$2:$F$1141,6,0)</f>
        <v>Supervisor</v>
      </c>
      <c r="H126" s="1" t="s">
        <v>740</v>
      </c>
      <c r="I126" s="1" t="s">
        <v>28</v>
      </c>
      <c r="J126" s="1" t="str">
        <f>VLOOKUP(A126,[1]Sheet1!$A$2:$H$1141,8,0)</f>
        <v>Dept. of Sales</v>
      </c>
      <c r="K126" s="1" t="str">
        <f>VLOOKUP(A126,[1]Sheet1!$A$2:$I$1141,9,0)</f>
        <v>Unit of Sales 1</v>
      </c>
      <c r="L126" s="1" t="str">
        <f>VLOOKUP(A126,[1]Sheet1!$A$2:$J$1141,10,0)</f>
        <v>Section of Sulsel</v>
      </c>
      <c r="M126" s="2">
        <v>26819</v>
      </c>
      <c r="N126" s="1" t="s">
        <v>29</v>
      </c>
      <c r="O126" s="1" t="s">
        <v>30</v>
      </c>
      <c r="P126" s="1" t="s">
        <v>748</v>
      </c>
      <c r="Q126" s="1" t="s">
        <v>749</v>
      </c>
      <c r="R126" s="1" t="s">
        <v>750</v>
      </c>
      <c r="S126" s="1" t="s">
        <v>744</v>
      </c>
      <c r="T126" s="14">
        <v>47300</v>
      </c>
      <c r="U126" s="1" t="s">
        <v>751</v>
      </c>
      <c r="V126" s="1" t="s">
        <v>36</v>
      </c>
      <c r="W126" s="3" t="str">
        <f t="shared" si="1"/>
        <v>53 tahun</v>
      </c>
      <c r="X126" s="1" t="s">
        <v>55</v>
      </c>
      <c r="Y126" s="1" t="s">
        <v>48</v>
      </c>
      <c r="Z126" s="2">
        <v>35002</v>
      </c>
      <c r="AA126" s="2">
        <v>35370</v>
      </c>
      <c r="AB126" s="2" t="s">
        <v>752</v>
      </c>
    </row>
    <row r="127" spans="1:28" x14ac:dyDescent="0.35">
      <c r="A127" s="12">
        <v>5911</v>
      </c>
      <c r="B127" s="12">
        <v>8712078</v>
      </c>
      <c r="C127" s="12" t="s">
        <v>103</v>
      </c>
      <c r="D127" s="12">
        <v>50070670</v>
      </c>
      <c r="E127" s="16" t="s">
        <v>753</v>
      </c>
      <c r="F127" s="1" t="str">
        <f>VLOOKUP(A127,[1]Sheet1!$A$2:$E$1141,5,0)</f>
        <v>ASM of Sulbar &amp; Sulteng</v>
      </c>
      <c r="G127" s="16" t="str">
        <f>VLOOKUP(A127,[1]Sheet1!$A$2:$F$1141,6,0)</f>
        <v>Manager</v>
      </c>
      <c r="H127" s="1" t="s">
        <v>754</v>
      </c>
      <c r="I127" s="1" t="s">
        <v>28</v>
      </c>
      <c r="J127" s="1" t="str">
        <f>VLOOKUP(A127,[1]Sheet1!$A$2:$H$1141,8,0)</f>
        <v>Dept. of Sales</v>
      </c>
      <c r="K127" s="1" t="str">
        <f>VLOOKUP(A127,[1]Sheet1!$A$2:$I$1141,9,0)</f>
        <v>Unit of Sales 1</v>
      </c>
      <c r="L127" s="1" t="str">
        <f>VLOOKUP(A127,[1]Sheet1!$A$2:$J$1141,10,0)</f>
        <v>Section of Sulbar &amp; Sulteng</v>
      </c>
      <c r="M127" s="2">
        <v>31882</v>
      </c>
      <c r="N127" s="1" t="s">
        <v>29</v>
      </c>
      <c r="O127" s="1" t="s">
        <v>30</v>
      </c>
      <c r="P127" s="1" t="s">
        <v>755</v>
      </c>
      <c r="Q127" s="1" t="s">
        <v>756</v>
      </c>
      <c r="R127" s="1" t="s">
        <v>757</v>
      </c>
      <c r="S127" s="1" t="s">
        <v>758</v>
      </c>
      <c r="T127" s="14">
        <v>52352</v>
      </c>
      <c r="U127" s="1" t="s">
        <v>759</v>
      </c>
      <c r="V127" s="1" t="s">
        <v>36</v>
      </c>
      <c r="W127" s="3" t="str">
        <f t="shared" si="1"/>
        <v>39 tahun</v>
      </c>
      <c r="X127" s="1" t="s">
        <v>121</v>
      </c>
      <c r="Y127" s="1" t="s">
        <v>48</v>
      </c>
      <c r="Z127" s="2">
        <v>41275</v>
      </c>
      <c r="AA127" s="2">
        <v>41395</v>
      </c>
      <c r="AB127" s="2" t="s">
        <v>760</v>
      </c>
    </row>
    <row r="128" spans="1:28" x14ac:dyDescent="0.35">
      <c r="A128" s="12">
        <v>5295</v>
      </c>
      <c r="B128" s="12">
        <v>8308059</v>
      </c>
      <c r="C128" s="12" t="s">
        <v>25</v>
      </c>
      <c r="D128" s="12">
        <v>50070672</v>
      </c>
      <c r="E128" s="1" t="s">
        <v>761</v>
      </c>
      <c r="F128" s="1" t="str">
        <f>VLOOKUP(A128,[1]Sheet1!$A$2:$E$1141,5,0)</f>
        <v>Sulbar &amp; Sulteng TSO</v>
      </c>
      <c r="G128" s="17" t="str">
        <f>VLOOKUP(A128,[1]Sheet1!$A$2:$F$1141,6,0)</f>
        <v>Supervisor</v>
      </c>
      <c r="H128" s="1" t="s">
        <v>754</v>
      </c>
      <c r="I128" s="1" t="s">
        <v>28</v>
      </c>
      <c r="J128" s="1" t="str">
        <f>VLOOKUP(A128,[1]Sheet1!$A$2:$H$1141,8,0)</f>
        <v>Dept. of Sales</v>
      </c>
      <c r="K128" s="1" t="str">
        <f>VLOOKUP(A128,[1]Sheet1!$A$2:$I$1141,9,0)</f>
        <v>Unit of Sales 1</v>
      </c>
      <c r="L128" s="1" t="str">
        <f>VLOOKUP(A128,[1]Sheet1!$A$2:$J$1141,10,0)</f>
        <v>Section of Sulbar &amp; Sulteng</v>
      </c>
      <c r="M128" s="2">
        <v>30599</v>
      </c>
      <c r="N128" s="1" t="s">
        <v>29</v>
      </c>
      <c r="O128" s="1" t="s">
        <v>30</v>
      </c>
      <c r="P128" s="1" t="s">
        <v>762</v>
      </c>
      <c r="Q128" s="1" t="s">
        <v>763</v>
      </c>
      <c r="R128" s="1" t="s">
        <v>764</v>
      </c>
      <c r="S128" s="1" t="s">
        <v>758</v>
      </c>
      <c r="T128" s="14">
        <v>51075</v>
      </c>
      <c r="U128" s="1" t="s">
        <v>765</v>
      </c>
      <c r="V128" s="1" t="s">
        <v>36</v>
      </c>
      <c r="W128" s="3" t="str">
        <f t="shared" si="1"/>
        <v>42 tahun</v>
      </c>
      <c r="X128" s="1" t="s">
        <v>37</v>
      </c>
      <c r="Y128" s="1" t="s">
        <v>68</v>
      </c>
      <c r="Z128" s="2">
        <v>39814</v>
      </c>
      <c r="AA128" s="2">
        <v>39934</v>
      </c>
      <c r="AB128" s="2" t="s">
        <v>766</v>
      </c>
    </row>
    <row r="129" spans="1:28" x14ac:dyDescent="0.35">
      <c r="A129" s="12">
        <v>7910</v>
      </c>
      <c r="B129" s="12">
        <v>7910</v>
      </c>
      <c r="C129" s="12" t="s">
        <v>139</v>
      </c>
      <c r="D129" s="12">
        <v>50070673</v>
      </c>
      <c r="E129" s="1" t="s">
        <v>767</v>
      </c>
      <c r="F129" s="1" t="str">
        <f>VLOOKUP(A129,[1]Sheet1!$A$2:$E$1141,5,0)</f>
        <v>Sulbar &amp; Sulteng TSO</v>
      </c>
      <c r="G129" s="17" t="str">
        <f>VLOOKUP(A129,[1]Sheet1!$A$2:$F$1141,6,0)</f>
        <v>Non-Eselon</v>
      </c>
      <c r="H129" s="1" t="s">
        <v>754</v>
      </c>
      <c r="I129" s="1" t="s">
        <v>28</v>
      </c>
      <c r="J129" s="1" t="str">
        <f>VLOOKUP(A129,[1]Sheet1!$A$2:$H$1141,8,0)</f>
        <v>Dept. of Sales</v>
      </c>
      <c r="K129" s="1" t="str">
        <f>VLOOKUP(A129,[1]Sheet1!$A$2:$I$1141,9,0)</f>
        <v>Unit of Sales 1</v>
      </c>
      <c r="L129" s="1" t="str">
        <f>VLOOKUP(A129,[1]Sheet1!$A$2:$J$1141,10,0)</f>
        <v>Section of Sulbar &amp; Sulteng</v>
      </c>
      <c r="M129" s="2">
        <v>30029</v>
      </c>
      <c r="N129" s="1" t="s">
        <v>29</v>
      </c>
      <c r="O129" s="1" t="s">
        <v>768</v>
      </c>
      <c r="P129" s="1" t="s">
        <v>769</v>
      </c>
      <c r="Q129" s="1" t="s">
        <v>763</v>
      </c>
      <c r="R129" s="1" t="s">
        <v>764</v>
      </c>
      <c r="S129" s="1" t="s">
        <v>758</v>
      </c>
      <c r="T129" s="14">
        <v>2958465</v>
      </c>
      <c r="U129" s="1" t="s">
        <v>770</v>
      </c>
      <c r="V129" s="1" t="s">
        <v>186</v>
      </c>
      <c r="W129" s="3" t="str">
        <f t="shared" si="1"/>
        <v>44 tahun</v>
      </c>
      <c r="X129" s="1" t="s">
        <v>55</v>
      </c>
      <c r="Y129" s="1" t="s">
        <v>48</v>
      </c>
      <c r="Z129" s="2" t="e">
        <v>#N/A</v>
      </c>
      <c r="AA129" s="2">
        <v>43831</v>
      </c>
      <c r="AB129" s="2" t="e">
        <v>#N/A</v>
      </c>
    </row>
    <row r="130" spans="1:28" x14ac:dyDescent="0.35">
      <c r="A130" s="12">
        <v>8322</v>
      </c>
      <c r="B130" s="12">
        <v>8322</v>
      </c>
      <c r="C130" s="12" t="s">
        <v>771</v>
      </c>
      <c r="D130" s="12">
        <v>50070766</v>
      </c>
      <c r="E130" s="1" t="s">
        <v>772</v>
      </c>
      <c r="F130" s="1" t="str">
        <f>VLOOKUP(A130,[1]Sheet1!$A$2:$E$1141,5,0)</f>
        <v>Key Account Officer</v>
      </c>
      <c r="G130" s="17" t="str">
        <f>VLOOKUP(A130,[1]Sheet1!$A$2:$F$1141,6,0)</f>
        <v>Non-Eselon</v>
      </c>
      <c r="H130" s="1" t="s">
        <v>702</v>
      </c>
      <c r="I130" s="1" t="s">
        <v>28</v>
      </c>
      <c r="J130" s="1" t="str">
        <f>VLOOKUP(A130,[1]Sheet1!$A$2:$H$1141,8,0)</f>
        <v>Dept. of Sales</v>
      </c>
      <c r="K130" s="1" t="str">
        <f>VLOOKUP(A130,[1]Sheet1!$A$2:$I$1141,9,0)</f>
        <v>Unit of Corporate Sales</v>
      </c>
      <c r="L130" s="1" t="str">
        <f>VLOOKUP(A130,[1]Sheet1!$A$2:$J$1141,10,0)</f>
        <v>Staff of Key Account Officer</v>
      </c>
      <c r="M130" s="2">
        <v>29396</v>
      </c>
      <c r="N130" s="1" t="s">
        <v>29</v>
      </c>
      <c r="O130" s="1" t="s">
        <v>773</v>
      </c>
      <c r="P130" s="1" t="s">
        <v>774</v>
      </c>
      <c r="Q130" s="1" t="s">
        <v>718</v>
      </c>
      <c r="R130" s="1" t="s">
        <v>719</v>
      </c>
      <c r="S130" s="1" t="s">
        <v>706</v>
      </c>
      <c r="T130" s="14">
        <v>2958465</v>
      </c>
      <c r="U130" s="1" t="s">
        <v>775</v>
      </c>
      <c r="V130" s="1" t="s">
        <v>36</v>
      </c>
      <c r="W130" s="3" t="str">
        <f t="shared" si="1"/>
        <v>46 tahun</v>
      </c>
      <c r="X130" s="1" t="s">
        <v>37</v>
      </c>
      <c r="Y130" s="1" t="s">
        <v>48</v>
      </c>
      <c r="Z130" s="2" t="e">
        <v>#N/A</v>
      </c>
      <c r="AA130" s="2">
        <v>45383</v>
      </c>
      <c r="AB130" s="2" t="e">
        <v>#N/A</v>
      </c>
    </row>
    <row r="131" spans="1:28" x14ac:dyDescent="0.35">
      <c r="A131" s="12">
        <v>6164</v>
      </c>
      <c r="B131" s="12">
        <v>9112331</v>
      </c>
      <c r="C131" s="12" t="s">
        <v>103</v>
      </c>
      <c r="D131" s="12">
        <v>50071535</v>
      </c>
      <c r="E131" s="1" t="s">
        <v>776</v>
      </c>
      <c r="F131" s="1" t="str">
        <f>VLOOKUP(A131,[1]Sheet1!$A$2:$E$1141,5,0)</f>
        <v>D Key Account Jr Officer</v>
      </c>
      <c r="G131" s="17" t="str">
        <f>VLOOKUP(A131,[1]Sheet1!$A$2:$F$1141,6,0)</f>
        <v>Supervisor</v>
      </c>
      <c r="H131" s="1" t="s">
        <v>740</v>
      </c>
      <c r="I131" s="1" t="s">
        <v>28</v>
      </c>
      <c r="J131" s="1" t="str">
        <f>VLOOKUP(A131,[1]Sheet1!$A$2:$H$1141,8,0)</f>
        <v>Dept. of Sales</v>
      </c>
      <c r="K131" s="1" t="str">
        <f>VLOOKUP(A131,[1]Sheet1!$A$2:$I$1141,9,0)</f>
        <v>Unit of Corporate Sales</v>
      </c>
      <c r="L131" s="1" t="str">
        <f>VLOOKUP(A131,[1]Sheet1!$A$2:$J$1141,10,0)</f>
        <v>Staff of Key Account Officer</v>
      </c>
      <c r="M131" s="2">
        <v>33316</v>
      </c>
      <c r="N131" s="1" t="s">
        <v>29</v>
      </c>
      <c r="O131" s="1" t="s">
        <v>30</v>
      </c>
      <c r="P131" s="1" t="s">
        <v>777</v>
      </c>
      <c r="Q131" s="1" t="s">
        <v>749</v>
      </c>
      <c r="R131" s="1" t="s">
        <v>750</v>
      </c>
      <c r="S131" s="1" t="s">
        <v>744</v>
      </c>
      <c r="T131" s="14">
        <v>53783</v>
      </c>
      <c r="U131" s="1" t="s">
        <v>778</v>
      </c>
      <c r="V131" s="1" t="s">
        <v>36</v>
      </c>
      <c r="W131" s="3" t="str">
        <f t="shared" ref="W131:W194" si="2">DATEDIF(M131,$W$1,"Y")&amp;" "&amp;"tahun"</f>
        <v>35 tahun</v>
      </c>
      <c r="X131" s="1" t="s">
        <v>55</v>
      </c>
      <c r="Y131" s="1" t="s">
        <v>38</v>
      </c>
      <c r="Z131" s="2">
        <v>41275</v>
      </c>
      <c r="AA131" s="2">
        <v>41426</v>
      </c>
      <c r="AB131" s="2" t="s">
        <v>779</v>
      </c>
    </row>
    <row r="132" spans="1:28" x14ac:dyDescent="0.35">
      <c r="A132" s="12">
        <v>6139</v>
      </c>
      <c r="B132" s="12">
        <v>9012307</v>
      </c>
      <c r="C132" s="12" t="s">
        <v>103</v>
      </c>
      <c r="D132" s="12">
        <v>50071536</v>
      </c>
      <c r="E132" s="1" t="s">
        <v>780</v>
      </c>
      <c r="F132" s="1" t="str">
        <f>VLOOKUP(A132,[1]Sheet1!$A$2:$E$1141,5,0)</f>
        <v>D Key Account Jr Officer</v>
      </c>
      <c r="G132" s="17" t="str">
        <f>VLOOKUP(A132,[1]Sheet1!$A$2:$F$1141,6,0)</f>
        <v>Supervisor</v>
      </c>
      <c r="H132" s="1" t="s">
        <v>740</v>
      </c>
      <c r="I132" s="1" t="s">
        <v>28</v>
      </c>
      <c r="J132" s="1" t="str">
        <f>VLOOKUP(A132,[1]Sheet1!$A$2:$H$1141,8,0)</f>
        <v>Dept. of Sales</v>
      </c>
      <c r="K132" s="1" t="str">
        <f>VLOOKUP(A132,[1]Sheet1!$A$2:$I$1141,9,0)</f>
        <v>Unit of Corporate Sales</v>
      </c>
      <c r="L132" s="1" t="str">
        <f>VLOOKUP(A132,[1]Sheet1!$A$2:$J$1141,10,0)</f>
        <v>Staff of Key Account Officer</v>
      </c>
      <c r="M132" s="2">
        <v>33200</v>
      </c>
      <c r="N132" s="1" t="s">
        <v>29</v>
      </c>
      <c r="O132" s="1" t="s">
        <v>30</v>
      </c>
      <c r="P132" s="1" t="s">
        <v>781</v>
      </c>
      <c r="Q132" s="1" t="s">
        <v>749</v>
      </c>
      <c r="R132" s="1" t="s">
        <v>750</v>
      </c>
      <c r="S132" s="1" t="s">
        <v>744</v>
      </c>
      <c r="T132" s="14">
        <v>53662</v>
      </c>
      <c r="U132" s="1" t="s">
        <v>782</v>
      </c>
      <c r="V132" s="1" t="s">
        <v>36</v>
      </c>
      <c r="W132" s="3" t="str">
        <f t="shared" si="2"/>
        <v>35 tahun</v>
      </c>
      <c r="X132" s="1" t="s">
        <v>121</v>
      </c>
      <c r="Y132" s="1" t="s">
        <v>56</v>
      </c>
      <c r="Z132" s="2">
        <v>41275</v>
      </c>
      <c r="AA132" s="2">
        <v>41395</v>
      </c>
      <c r="AB132" s="2" t="s">
        <v>783</v>
      </c>
    </row>
    <row r="133" spans="1:28" x14ac:dyDescent="0.35">
      <c r="A133" s="12">
        <v>6021</v>
      </c>
      <c r="B133" s="12">
        <v>8912188</v>
      </c>
      <c r="C133" s="12" t="s">
        <v>103</v>
      </c>
      <c r="D133" s="12">
        <v>50071537</v>
      </c>
      <c r="E133" s="1" t="s">
        <v>784</v>
      </c>
      <c r="F133" s="1" t="str">
        <f>VLOOKUP(A133,[1]Sheet1!$A$2:$E$1141,5,0)</f>
        <v>D Key Account Jr Officer</v>
      </c>
      <c r="G133" s="17" t="str">
        <f>VLOOKUP(A133,[1]Sheet1!$A$2:$F$1141,6,0)</f>
        <v>Supervisor</v>
      </c>
      <c r="H133" s="1" t="s">
        <v>785</v>
      </c>
      <c r="I133" s="1" t="s">
        <v>28</v>
      </c>
      <c r="J133" s="1" t="str">
        <f>VLOOKUP(A133,[1]Sheet1!$A$2:$H$1141,8,0)</f>
        <v>Dept. of Sales</v>
      </c>
      <c r="K133" s="1" t="str">
        <f>VLOOKUP(A133,[1]Sheet1!$A$2:$I$1141,9,0)</f>
        <v>Unit of Corporate Sales</v>
      </c>
      <c r="L133" s="1" t="str">
        <f>VLOOKUP(A133,[1]Sheet1!$A$2:$J$1141,10,0)</f>
        <v>Staff of Key Account Officer</v>
      </c>
      <c r="M133" s="2">
        <v>32636</v>
      </c>
      <c r="N133" s="1" t="s">
        <v>29</v>
      </c>
      <c r="O133" s="1" t="s">
        <v>30</v>
      </c>
      <c r="P133" s="1" t="s">
        <v>786</v>
      </c>
      <c r="Q133" s="1" t="s">
        <v>787</v>
      </c>
      <c r="R133" s="1" t="s">
        <v>788</v>
      </c>
      <c r="S133" s="1" t="s">
        <v>789</v>
      </c>
      <c r="T133" s="14">
        <v>53114</v>
      </c>
      <c r="U133" s="1" t="s">
        <v>790</v>
      </c>
      <c r="V133" s="1" t="s">
        <v>36</v>
      </c>
      <c r="W133" s="3" t="str">
        <f t="shared" si="2"/>
        <v>37 tahun</v>
      </c>
      <c r="X133" s="1" t="s">
        <v>55</v>
      </c>
      <c r="Y133" s="1" t="s">
        <v>48</v>
      </c>
      <c r="Z133" s="2">
        <v>41275</v>
      </c>
      <c r="AA133" s="2">
        <v>41456</v>
      </c>
      <c r="AB133" s="2" t="s">
        <v>791</v>
      </c>
    </row>
    <row r="134" spans="1:28" x14ac:dyDescent="0.35">
      <c r="A134" s="12">
        <v>5878</v>
      </c>
      <c r="B134" s="12">
        <v>8612045</v>
      </c>
      <c r="C134" s="12" t="s">
        <v>103</v>
      </c>
      <c r="D134" s="12">
        <v>50071538</v>
      </c>
      <c r="E134" s="1" t="s">
        <v>792</v>
      </c>
      <c r="F134" s="1" t="str">
        <f>VLOOKUP(A134,[1]Sheet1!$A$2:$E$1141,5,0)</f>
        <v>D Key Account Jr Officer</v>
      </c>
      <c r="G134" s="17" t="str">
        <f>VLOOKUP(A134,[1]Sheet1!$A$2:$F$1141,6,0)</f>
        <v>Supervisor</v>
      </c>
      <c r="H134" s="1" t="s">
        <v>754</v>
      </c>
      <c r="I134" s="1" t="s">
        <v>28</v>
      </c>
      <c r="J134" s="1" t="str">
        <f>VLOOKUP(A134,[1]Sheet1!$A$2:$H$1141,8,0)</f>
        <v>Dept. of Sales</v>
      </c>
      <c r="K134" s="1" t="str">
        <f>VLOOKUP(A134,[1]Sheet1!$A$2:$I$1141,9,0)</f>
        <v>Unit of Corporate Sales</v>
      </c>
      <c r="L134" s="1" t="str">
        <f>VLOOKUP(A134,[1]Sheet1!$A$2:$J$1141,10,0)</f>
        <v>Staff of Key Account Officer</v>
      </c>
      <c r="M134" s="2">
        <v>31579</v>
      </c>
      <c r="N134" s="1" t="s">
        <v>29</v>
      </c>
      <c r="O134" s="1" t="s">
        <v>30</v>
      </c>
      <c r="P134" s="1" t="s">
        <v>793</v>
      </c>
      <c r="Q134" s="1" t="s">
        <v>763</v>
      </c>
      <c r="R134" s="1" t="s">
        <v>764</v>
      </c>
      <c r="S134" s="1" t="s">
        <v>758</v>
      </c>
      <c r="T134" s="14">
        <v>52048</v>
      </c>
      <c r="U134" s="1" t="s">
        <v>794</v>
      </c>
      <c r="V134" s="1" t="s">
        <v>36</v>
      </c>
      <c r="W134" s="3" t="str">
        <f t="shared" si="2"/>
        <v>40 tahun</v>
      </c>
      <c r="X134" s="1" t="s">
        <v>137</v>
      </c>
      <c r="Y134" s="1" t="s">
        <v>56</v>
      </c>
      <c r="Z134" s="2">
        <v>41275</v>
      </c>
      <c r="AA134" s="2">
        <v>41395</v>
      </c>
      <c r="AB134" s="2" t="s">
        <v>795</v>
      </c>
    </row>
    <row r="135" spans="1:28" x14ac:dyDescent="0.35">
      <c r="A135" s="12">
        <v>6243</v>
      </c>
      <c r="B135" s="12">
        <v>9212411</v>
      </c>
      <c r="C135" s="12" t="s">
        <v>103</v>
      </c>
      <c r="D135" s="12">
        <v>50071539</v>
      </c>
      <c r="E135" s="1" t="s">
        <v>796</v>
      </c>
      <c r="F135" s="1" t="str">
        <f>VLOOKUP(A135,[1]Sheet1!$A$2:$E$1141,5,0)</f>
        <v>D Key Account Jr Officer</v>
      </c>
      <c r="G135" s="17" t="str">
        <f>VLOOKUP(A135,[1]Sheet1!$A$2:$F$1141,6,0)</f>
        <v>Supervisor</v>
      </c>
      <c r="H135" s="1" t="s">
        <v>740</v>
      </c>
      <c r="I135" s="1" t="s">
        <v>28</v>
      </c>
      <c r="J135" s="1" t="str">
        <f>VLOOKUP(A135,[1]Sheet1!$A$2:$H$1141,8,0)</f>
        <v>Dept. of Sales</v>
      </c>
      <c r="K135" s="1" t="str">
        <f>VLOOKUP(A135,[1]Sheet1!$A$2:$I$1141,9,0)</f>
        <v>Unit of Corporate Sales</v>
      </c>
      <c r="L135" s="1" t="str">
        <f>VLOOKUP(A135,[1]Sheet1!$A$2:$J$1141,10,0)</f>
        <v>Staff of Key Account Officer</v>
      </c>
      <c r="M135" s="2">
        <v>33691</v>
      </c>
      <c r="N135" s="1" t="s">
        <v>29</v>
      </c>
      <c r="O135" s="1" t="s">
        <v>30</v>
      </c>
      <c r="P135" s="1" t="s">
        <v>797</v>
      </c>
      <c r="Q135" s="1" t="s">
        <v>749</v>
      </c>
      <c r="R135" s="1" t="s">
        <v>750</v>
      </c>
      <c r="S135" s="1" t="s">
        <v>744</v>
      </c>
      <c r="T135" s="14">
        <v>54149</v>
      </c>
      <c r="U135" s="1" t="s">
        <v>798</v>
      </c>
      <c r="V135" s="1" t="s">
        <v>36</v>
      </c>
      <c r="W135" s="3" t="str">
        <f t="shared" si="2"/>
        <v>34 tahun</v>
      </c>
      <c r="X135" s="1" t="s">
        <v>91</v>
      </c>
      <c r="Y135" s="1" t="s">
        <v>56</v>
      </c>
      <c r="Z135" s="2">
        <v>41275</v>
      </c>
      <c r="AA135" s="2">
        <v>41456</v>
      </c>
      <c r="AB135" s="2" t="s">
        <v>799</v>
      </c>
    </row>
    <row r="136" spans="1:28" x14ac:dyDescent="0.35">
      <c r="A136" s="12">
        <v>6091</v>
      </c>
      <c r="B136" s="12">
        <v>9012259</v>
      </c>
      <c r="C136" s="12" t="s">
        <v>103</v>
      </c>
      <c r="D136" s="12">
        <v>50071540</v>
      </c>
      <c r="E136" s="1" t="s">
        <v>800</v>
      </c>
      <c r="F136" s="1" t="str">
        <f>VLOOKUP(A136,[1]Sheet1!$A$2:$E$1141,5,0)</f>
        <v>D Key Account Jr Officer</v>
      </c>
      <c r="G136" s="17" t="str">
        <f>VLOOKUP(A136,[1]Sheet1!$A$2:$F$1141,6,0)</f>
        <v>Supervisor</v>
      </c>
      <c r="H136" s="1" t="s">
        <v>754</v>
      </c>
      <c r="I136" s="1" t="s">
        <v>28</v>
      </c>
      <c r="J136" s="1" t="str">
        <f>VLOOKUP(A136,[1]Sheet1!$A$2:$H$1141,8,0)</f>
        <v>Dept. of Sales</v>
      </c>
      <c r="K136" s="1" t="str">
        <f>VLOOKUP(A136,[1]Sheet1!$A$2:$I$1141,9,0)</f>
        <v>Unit of Corporate Sales</v>
      </c>
      <c r="L136" s="1" t="str">
        <f>VLOOKUP(A136,[1]Sheet1!$A$2:$J$1141,10,0)</f>
        <v>Staff of Key Account Officer</v>
      </c>
      <c r="M136" s="2">
        <v>32991</v>
      </c>
      <c r="N136" s="1" t="s">
        <v>29</v>
      </c>
      <c r="O136" s="1" t="s">
        <v>30</v>
      </c>
      <c r="P136" s="1" t="s">
        <v>801</v>
      </c>
      <c r="Q136" s="1" t="s">
        <v>763</v>
      </c>
      <c r="R136" s="1" t="s">
        <v>764</v>
      </c>
      <c r="S136" s="1" t="s">
        <v>758</v>
      </c>
      <c r="T136" s="14">
        <v>53448</v>
      </c>
      <c r="U136" s="1" t="s">
        <v>802</v>
      </c>
      <c r="V136" s="1" t="s">
        <v>36</v>
      </c>
      <c r="W136" s="3" t="str">
        <f t="shared" si="2"/>
        <v>36 tahun</v>
      </c>
      <c r="X136" s="1" t="s">
        <v>55</v>
      </c>
      <c r="Y136" s="1" t="s">
        <v>56</v>
      </c>
      <c r="Z136" s="2">
        <v>41275</v>
      </c>
      <c r="AA136" s="2">
        <v>41426</v>
      </c>
      <c r="AB136" s="2" t="s">
        <v>803</v>
      </c>
    </row>
    <row r="137" spans="1:28" x14ac:dyDescent="0.35">
      <c r="A137" s="12">
        <v>6037</v>
      </c>
      <c r="B137" s="12">
        <v>8912204</v>
      </c>
      <c r="C137" s="12" t="s">
        <v>103</v>
      </c>
      <c r="D137" s="12">
        <v>50071541</v>
      </c>
      <c r="E137" s="1" t="s">
        <v>804</v>
      </c>
      <c r="F137" s="1" t="str">
        <f>VLOOKUP(A137,[1]Sheet1!$A$2:$E$1141,5,0)</f>
        <v>D Key Account Jr Officer</v>
      </c>
      <c r="G137" s="17" t="str">
        <f>VLOOKUP(A137,[1]Sheet1!$A$2:$F$1141,6,0)</f>
        <v>Supervisor</v>
      </c>
      <c r="H137" s="1" t="s">
        <v>207</v>
      </c>
      <c r="I137" s="1" t="s">
        <v>28</v>
      </c>
      <c r="J137" s="1" t="str">
        <f>VLOOKUP(A137,[1]Sheet1!$A$2:$H$1141,8,0)</f>
        <v>Dept. of Sales</v>
      </c>
      <c r="K137" s="1" t="str">
        <f>VLOOKUP(A137,[1]Sheet1!$A$2:$I$1141,9,0)</f>
        <v>Unit of Corporate Sales</v>
      </c>
      <c r="L137" s="1" t="str">
        <f>VLOOKUP(A137,[1]Sheet1!$A$2:$J$1141,10,0)</f>
        <v>Staff of Key Account Officer</v>
      </c>
      <c r="M137" s="2">
        <v>32711</v>
      </c>
      <c r="N137" s="1" t="s">
        <v>29</v>
      </c>
      <c r="O137" s="1" t="s">
        <v>30</v>
      </c>
      <c r="P137" s="1" t="s">
        <v>805</v>
      </c>
      <c r="Q137" s="1" t="s">
        <v>209</v>
      </c>
      <c r="R137" s="1" t="s">
        <v>210</v>
      </c>
      <c r="S137" s="1" t="s">
        <v>211</v>
      </c>
      <c r="T137" s="14">
        <v>53175</v>
      </c>
      <c r="U137" s="1" t="s">
        <v>806</v>
      </c>
      <c r="V137" s="1" t="s">
        <v>36</v>
      </c>
      <c r="W137" s="3" t="str">
        <f t="shared" si="2"/>
        <v>37 tahun</v>
      </c>
      <c r="X137" s="1" t="s">
        <v>807</v>
      </c>
      <c r="Y137" s="1" t="s">
        <v>56</v>
      </c>
      <c r="Z137" s="2">
        <v>41275</v>
      </c>
      <c r="AA137" s="2">
        <v>41426</v>
      </c>
      <c r="AB137" s="2" t="s">
        <v>808</v>
      </c>
    </row>
    <row r="138" spans="1:28" x14ac:dyDescent="0.35">
      <c r="A138" s="12">
        <v>6233</v>
      </c>
      <c r="B138" s="12">
        <v>9212401</v>
      </c>
      <c r="C138" s="12" t="s">
        <v>103</v>
      </c>
      <c r="D138" s="12">
        <v>50071543</v>
      </c>
      <c r="E138" s="1" t="s">
        <v>809</v>
      </c>
      <c r="F138" s="1" t="str">
        <f>VLOOKUP(A138,[1]Sheet1!$A$2:$E$1141,5,0)</f>
        <v>D Key Account Jr Officer</v>
      </c>
      <c r="G138" s="17" t="str">
        <f>VLOOKUP(A138,[1]Sheet1!$A$2:$F$1141,6,0)</f>
        <v>Supervisor</v>
      </c>
      <c r="H138" s="1" t="s">
        <v>810</v>
      </c>
      <c r="I138" s="1" t="s">
        <v>28</v>
      </c>
      <c r="J138" s="1" t="str">
        <f>VLOOKUP(A138,[1]Sheet1!$A$2:$H$1141,8,0)</f>
        <v>Dept. of Sales</v>
      </c>
      <c r="K138" s="1" t="str">
        <f>VLOOKUP(A138,[1]Sheet1!$A$2:$I$1141,9,0)</f>
        <v>Unit of Corporate Sales</v>
      </c>
      <c r="L138" s="1" t="str">
        <f>VLOOKUP(A138,[1]Sheet1!$A$2:$J$1141,10,0)</f>
        <v>Staff of Key Account Officer</v>
      </c>
      <c r="M138" s="2">
        <v>33635</v>
      </c>
      <c r="N138" s="1" t="s">
        <v>29</v>
      </c>
      <c r="O138" s="1" t="s">
        <v>30</v>
      </c>
      <c r="P138" s="1" t="s">
        <v>811</v>
      </c>
      <c r="Q138" s="1" t="s">
        <v>812</v>
      </c>
      <c r="R138" s="1" t="s">
        <v>813</v>
      </c>
      <c r="S138" s="1" t="s">
        <v>814</v>
      </c>
      <c r="T138" s="14">
        <v>54118</v>
      </c>
      <c r="U138" s="1" t="s">
        <v>815</v>
      </c>
      <c r="V138" s="1" t="s">
        <v>36</v>
      </c>
      <c r="W138" s="3" t="str">
        <f t="shared" si="2"/>
        <v>34 tahun</v>
      </c>
      <c r="X138" s="1" t="s">
        <v>816</v>
      </c>
      <c r="Y138" s="1" t="s">
        <v>56</v>
      </c>
      <c r="Z138" s="2">
        <v>41275</v>
      </c>
      <c r="AA138" s="2">
        <v>41395</v>
      </c>
      <c r="AB138" s="2" t="s">
        <v>817</v>
      </c>
    </row>
    <row r="139" spans="1:28" x14ac:dyDescent="0.35">
      <c r="A139" s="12">
        <v>1211</v>
      </c>
      <c r="B139" s="12">
        <v>7595122</v>
      </c>
      <c r="C139" s="12" t="s">
        <v>50</v>
      </c>
      <c r="D139" s="12">
        <v>50068490</v>
      </c>
      <c r="E139" s="15" t="s">
        <v>818</v>
      </c>
      <c r="F139" s="1" t="str">
        <f>VLOOKUP(A139,[1]Sheet1!$A$2:$E$1141,5,0)</f>
        <v>B SM of Sales</v>
      </c>
      <c r="G139" s="15" t="str">
        <f>VLOOKUP(A139,[1]Sheet1!$A$2:$F$1141,6,0)</f>
        <v>Senior Manager</v>
      </c>
      <c r="H139" s="1" t="s">
        <v>521</v>
      </c>
      <c r="I139" s="1" t="s">
        <v>28</v>
      </c>
      <c r="J139" s="1" t="str">
        <f>VLOOKUP(A139,[1]Sheet1!$A$2:$H$1141,8,0)</f>
        <v>Dept. of Sales</v>
      </c>
      <c r="K139" s="1" t="str">
        <f>VLOOKUP(A139,[1]Sheet1!$A$2:$I$1141,9,0)</f>
        <v>Staff of Sales</v>
      </c>
      <c r="L139" s="1" t="e">
        <f>VLOOKUP(A139,[1]Sheet1!$A$2:$J$1141,10,0)</f>
        <v>#REF!</v>
      </c>
      <c r="M139" s="2">
        <v>27586</v>
      </c>
      <c r="N139" s="1" t="s">
        <v>29</v>
      </c>
      <c r="O139" s="1" t="s">
        <v>819</v>
      </c>
      <c r="P139" s="1" t="s">
        <v>820</v>
      </c>
      <c r="Q139" s="1" t="s">
        <v>821</v>
      </c>
      <c r="R139" s="1" t="s">
        <v>822</v>
      </c>
      <c r="S139" s="1" t="s">
        <v>525</v>
      </c>
      <c r="T139" s="14">
        <v>48061</v>
      </c>
      <c r="U139" s="1" t="s">
        <v>823</v>
      </c>
      <c r="V139" s="1" t="s">
        <v>36</v>
      </c>
      <c r="W139" s="3" t="str">
        <f t="shared" si="2"/>
        <v>51 tahun</v>
      </c>
      <c r="X139" s="1" t="s">
        <v>824</v>
      </c>
      <c r="Y139" s="1" t="s">
        <v>48</v>
      </c>
      <c r="Z139" s="2" t="e">
        <v>#N/A</v>
      </c>
      <c r="AA139" s="2">
        <v>35765</v>
      </c>
      <c r="AB139" s="2" t="e">
        <v>#N/A</v>
      </c>
    </row>
    <row r="140" spans="1:28" x14ac:dyDescent="0.35">
      <c r="A140" s="12">
        <v>5952</v>
      </c>
      <c r="B140" s="12">
        <v>8812124</v>
      </c>
      <c r="C140" s="12" t="s">
        <v>103</v>
      </c>
      <c r="D140" s="12">
        <v>50070706</v>
      </c>
      <c r="E140" s="16" t="s">
        <v>825</v>
      </c>
      <c r="F140" s="1" t="str">
        <f>VLOOKUP(A140,[1]Sheet1!$A$2:$E$1141,5,0)</f>
        <v>ASM of Sultra, Sulut &amp; Gorontalo</v>
      </c>
      <c r="G140" s="16" t="str">
        <f>VLOOKUP(A140,[1]Sheet1!$A$2:$F$1141,6,0)</f>
        <v>Manager</v>
      </c>
      <c r="H140" s="1" t="s">
        <v>826</v>
      </c>
      <c r="I140" s="1" t="s">
        <v>28</v>
      </c>
      <c r="J140" s="1" t="str">
        <f>VLOOKUP(A140,[1]Sheet1!$A$2:$H$1141,8,0)</f>
        <v>Dept. of Sales</v>
      </c>
      <c r="K140" s="1" t="str">
        <f>VLOOKUP(A140,[1]Sheet1!$A$2:$I$1141,9,0)</f>
        <v>Unit of Sales 1</v>
      </c>
      <c r="L140" s="1" t="str">
        <f>VLOOKUP(A140,[1]Sheet1!$A$2:$J$1141,10,0)</f>
        <v>Section of Sultra, Sulut &amp; Gorontalo</v>
      </c>
      <c r="M140" s="2">
        <v>32207</v>
      </c>
      <c r="N140" s="1" t="s">
        <v>29</v>
      </c>
      <c r="O140" s="1" t="s">
        <v>30</v>
      </c>
      <c r="P140" s="1" t="s">
        <v>827</v>
      </c>
      <c r="Q140" s="1" t="s">
        <v>828</v>
      </c>
      <c r="R140" s="1" t="s">
        <v>829</v>
      </c>
      <c r="S140" s="1" t="s">
        <v>830</v>
      </c>
      <c r="T140" s="14">
        <v>52688</v>
      </c>
      <c r="U140" s="1" t="s">
        <v>831</v>
      </c>
      <c r="V140" s="1" t="s">
        <v>36</v>
      </c>
      <c r="W140" s="3" t="str">
        <f t="shared" si="2"/>
        <v>38 tahun</v>
      </c>
      <c r="X140" s="1" t="s">
        <v>91</v>
      </c>
      <c r="Y140" s="1" t="s">
        <v>56</v>
      </c>
      <c r="Z140" s="2">
        <v>41275</v>
      </c>
      <c r="AA140" s="2">
        <v>41395</v>
      </c>
      <c r="AB140" s="2" t="s">
        <v>832</v>
      </c>
    </row>
    <row r="141" spans="1:28" x14ac:dyDescent="0.35">
      <c r="A141" s="12">
        <v>6207</v>
      </c>
      <c r="B141" s="12">
        <v>9112373</v>
      </c>
      <c r="C141" s="12" t="s">
        <v>103</v>
      </c>
      <c r="D141" s="12">
        <v>50070708</v>
      </c>
      <c r="E141" s="1" t="s">
        <v>833</v>
      </c>
      <c r="F141" s="1" t="str">
        <f>VLOOKUP(A141,[1]Sheet1!$A$2:$E$1141,5,0)</f>
        <v>Sultra, Sulut &amp; Gorontalo TSO</v>
      </c>
      <c r="G141" s="17" t="str">
        <f>VLOOKUP(A141,[1]Sheet1!$A$2:$F$1141,6,0)</f>
        <v>Supervisor</v>
      </c>
      <c r="H141" s="1" t="s">
        <v>826</v>
      </c>
      <c r="I141" s="1" t="s">
        <v>28</v>
      </c>
      <c r="J141" s="1" t="str">
        <f>VLOOKUP(A141,[1]Sheet1!$A$2:$H$1141,8,0)</f>
        <v>Dept. of Sales</v>
      </c>
      <c r="K141" s="1" t="str">
        <f>VLOOKUP(A141,[1]Sheet1!$A$2:$I$1141,9,0)</f>
        <v>Unit of Sales 1</v>
      </c>
      <c r="L141" s="1" t="str">
        <f>VLOOKUP(A141,[1]Sheet1!$A$2:$J$1141,10,0)</f>
        <v>Section of Sultra, Sulut &amp; Gorontalo</v>
      </c>
      <c r="M141" s="2">
        <v>33490</v>
      </c>
      <c r="N141" s="1" t="s">
        <v>29</v>
      </c>
      <c r="O141" s="1" t="s">
        <v>30</v>
      </c>
      <c r="P141" s="1" t="s">
        <v>834</v>
      </c>
      <c r="Q141" s="1" t="s">
        <v>835</v>
      </c>
      <c r="R141" s="1" t="s">
        <v>836</v>
      </c>
      <c r="S141" s="1" t="s">
        <v>830</v>
      </c>
      <c r="T141" s="14">
        <v>53966</v>
      </c>
      <c r="U141" s="1" t="s">
        <v>837</v>
      </c>
      <c r="V141" s="1" t="s">
        <v>36</v>
      </c>
      <c r="W141" s="3" t="str">
        <f t="shared" si="2"/>
        <v>34 tahun</v>
      </c>
      <c r="X141" s="1" t="s">
        <v>121</v>
      </c>
      <c r="Y141" s="1" t="s">
        <v>56</v>
      </c>
      <c r="Z141" s="2">
        <v>41275</v>
      </c>
      <c r="AA141" s="2">
        <v>41426</v>
      </c>
      <c r="AB141" s="2" t="s">
        <v>838</v>
      </c>
    </row>
    <row r="142" spans="1:28" x14ac:dyDescent="0.35">
      <c r="A142" s="12">
        <v>4921</v>
      </c>
      <c r="B142" s="12">
        <v>7302210</v>
      </c>
      <c r="C142" s="12" t="s">
        <v>164</v>
      </c>
      <c r="D142" s="12">
        <v>50070709</v>
      </c>
      <c r="E142" s="1" t="s">
        <v>839</v>
      </c>
      <c r="F142" s="1" t="str">
        <f>VLOOKUP(A142,[1]Sheet1!$A$2:$E$1141,5,0)</f>
        <v>Sultra, Sulut &amp; Gorontalo TSO</v>
      </c>
      <c r="G142" s="17" t="str">
        <f>VLOOKUP(A142,[1]Sheet1!$A$2:$F$1141,6,0)</f>
        <v>Supervisor</v>
      </c>
      <c r="H142" s="1" t="s">
        <v>826</v>
      </c>
      <c r="I142" s="1" t="s">
        <v>28</v>
      </c>
      <c r="J142" s="1" t="str">
        <f>VLOOKUP(A142,[1]Sheet1!$A$2:$H$1141,8,0)</f>
        <v>Dept. of Sales</v>
      </c>
      <c r="K142" s="1" t="str">
        <f>VLOOKUP(A142,[1]Sheet1!$A$2:$I$1141,9,0)</f>
        <v>Unit of Sales 1</v>
      </c>
      <c r="L142" s="1" t="str">
        <f>VLOOKUP(A142,[1]Sheet1!$A$2:$J$1141,10,0)</f>
        <v>Section of Sultra, Sulut &amp; Gorontalo</v>
      </c>
      <c r="M142" s="2">
        <v>26775</v>
      </c>
      <c r="N142" s="1" t="s">
        <v>29</v>
      </c>
      <c r="O142" s="1" t="s">
        <v>30</v>
      </c>
      <c r="P142" s="1" t="s">
        <v>840</v>
      </c>
      <c r="Q142" s="1" t="s">
        <v>835</v>
      </c>
      <c r="R142" s="1" t="s">
        <v>836</v>
      </c>
      <c r="S142" s="1" t="s">
        <v>830</v>
      </c>
      <c r="T142" s="14">
        <v>47239</v>
      </c>
      <c r="U142" s="1" t="s">
        <v>841</v>
      </c>
      <c r="V142" s="1" t="s">
        <v>36</v>
      </c>
      <c r="W142" s="3" t="str">
        <f t="shared" si="2"/>
        <v>53 tahun</v>
      </c>
      <c r="X142" s="1" t="s">
        <v>96</v>
      </c>
      <c r="Y142" s="1" t="s">
        <v>48</v>
      </c>
      <c r="Z142" s="2">
        <v>37469</v>
      </c>
      <c r="AA142" s="2">
        <v>38718</v>
      </c>
      <c r="AB142" s="2" t="s">
        <v>842</v>
      </c>
    </row>
    <row r="143" spans="1:28" x14ac:dyDescent="0.35">
      <c r="A143" s="12">
        <v>6051</v>
      </c>
      <c r="B143" s="12">
        <v>8912219</v>
      </c>
      <c r="C143" s="12" t="s">
        <v>103</v>
      </c>
      <c r="D143" s="12">
        <v>50070710</v>
      </c>
      <c r="E143" s="1" t="s">
        <v>843</v>
      </c>
      <c r="F143" s="1" t="str">
        <f>VLOOKUP(A143,[1]Sheet1!$A$2:$E$1141,5,0)</f>
        <v>Sultra, Sulut &amp; Gorontalo TSO</v>
      </c>
      <c r="G143" s="17" t="str">
        <f>VLOOKUP(A143,[1]Sheet1!$A$2:$F$1141,6,0)</f>
        <v>Supervisor</v>
      </c>
      <c r="H143" s="1" t="s">
        <v>826</v>
      </c>
      <c r="I143" s="1" t="s">
        <v>28</v>
      </c>
      <c r="J143" s="1" t="str">
        <f>VLOOKUP(A143,[1]Sheet1!$A$2:$H$1141,8,0)</f>
        <v>Dept. of Sales</v>
      </c>
      <c r="K143" s="1" t="str">
        <f>VLOOKUP(A143,[1]Sheet1!$A$2:$I$1141,9,0)</f>
        <v>Unit of Sales 1</v>
      </c>
      <c r="L143" s="1" t="str">
        <f>VLOOKUP(A143,[1]Sheet1!$A$2:$J$1141,10,0)</f>
        <v>Section of Sultra, Sulut &amp; Gorontalo</v>
      </c>
      <c r="M143" s="2">
        <v>32783</v>
      </c>
      <c r="N143" s="1" t="s">
        <v>29</v>
      </c>
      <c r="O143" s="1" t="s">
        <v>30</v>
      </c>
      <c r="P143" s="1" t="s">
        <v>844</v>
      </c>
      <c r="Q143" s="1" t="s">
        <v>835</v>
      </c>
      <c r="R143" s="1" t="s">
        <v>836</v>
      </c>
      <c r="S143" s="1" t="s">
        <v>830</v>
      </c>
      <c r="T143" s="14">
        <v>53267</v>
      </c>
      <c r="U143" s="1" t="s">
        <v>845</v>
      </c>
      <c r="V143" s="1" t="s">
        <v>36</v>
      </c>
      <c r="W143" s="3" t="str">
        <f t="shared" si="2"/>
        <v>36 tahun</v>
      </c>
      <c r="X143" s="1" t="s">
        <v>846</v>
      </c>
      <c r="Y143" s="1" t="s">
        <v>56</v>
      </c>
      <c r="Z143" s="2">
        <v>41275</v>
      </c>
      <c r="AA143" s="2">
        <v>41395</v>
      </c>
      <c r="AB143" s="2" t="s">
        <v>847</v>
      </c>
    </row>
    <row r="144" spans="1:28" x14ac:dyDescent="0.35">
      <c r="A144" s="12">
        <v>5415</v>
      </c>
      <c r="B144" s="12">
        <v>8810091</v>
      </c>
      <c r="C144" s="12" t="s">
        <v>139</v>
      </c>
      <c r="D144" s="12">
        <v>50070712</v>
      </c>
      <c r="E144" s="1" t="s">
        <v>848</v>
      </c>
      <c r="F144" s="1" t="str">
        <f>VLOOKUP(A144,[1]Sheet1!$A$2:$E$1141,5,0)</f>
        <v>Sultra, Sulut &amp; Gorontalo TSO</v>
      </c>
      <c r="G144" s="17" t="str">
        <f>VLOOKUP(A144,[1]Sheet1!$A$2:$F$1141,6,0)</f>
        <v>Supervisor</v>
      </c>
      <c r="H144" s="1" t="s">
        <v>826</v>
      </c>
      <c r="I144" s="1" t="s">
        <v>28</v>
      </c>
      <c r="J144" s="1" t="str">
        <f>VLOOKUP(A144,[1]Sheet1!$A$2:$H$1141,8,0)</f>
        <v>Dept. of Sales</v>
      </c>
      <c r="K144" s="1" t="str">
        <f>VLOOKUP(A144,[1]Sheet1!$A$2:$I$1141,9,0)</f>
        <v>Unit of Sales 1</v>
      </c>
      <c r="L144" s="1" t="str">
        <f>VLOOKUP(A144,[1]Sheet1!$A$2:$J$1141,10,0)</f>
        <v>Section of Sultra, Sulut &amp; Gorontalo</v>
      </c>
      <c r="M144" s="2">
        <v>32265</v>
      </c>
      <c r="N144" s="1" t="s">
        <v>29</v>
      </c>
      <c r="O144" s="1" t="s">
        <v>30</v>
      </c>
      <c r="P144" s="1" t="s">
        <v>849</v>
      </c>
      <c r="Q144" s="1" t="s">
        <v>835</v>
      </c>
      <c r="R144" s="1" t="s">
        <v>836</v>
      </c>
      <c r="S144" s="1" t="s">
        <v>830</v>
      </c>
      <c r="T144" s="14">
        <v>52749</v>
      </c>
      <c r="U144" s="1" t="s">
        <v>850</v>
      </c>
      <c r="V144" s="1" t="s">
        <v>186</v>
      </c>
      <c r="W144" s="3" t="str">
        <f t="shared" si="2"/>
        <v>38 tahun</v>
      </c>
      <c r="X144" s="1" t="s">
        <v>851</v>
      </c>
      <c r="Y144" s="1" t="s">
        <v>48</v>
      </c>
      <c r="Z144" s="2">
        <v>40544</v>
      </c>
      <c r="AA144" s="2">
        <v>40695</v>
      </c>
      <c r="AB144" s="2" t="s">
        <v>852</v>
      </c>
    </row>
    <row r="145" spans="1:28" x14ac:dyDescent="0.35">
      <c r="A145" s="12">
        <v>6081</v>
      </c>
      <c r="B145" s="12">
        <v>9012249</v>
      </c>
      <c r="C145" s="12" t="s">
        <v>103</v>
      </c>
      <c r="D145" s="12">
        <v>50070714</v>
      </c>
      <c r="E145" s="16" t="s">
        <v>853</v>
      </c>
      <c r="F145" s="1" t="str">
        <f>VLOOKUP(A145,[1]Sheet1!$A$2:$E$1141,5,0)</f>
        <v>ASM of Kaltim &amp; Kaltara</v>
      </c>
      <c r="G145" s="16" t="str">
        <f>VLOOKUP(A145,[1]Sheet1!$A$2:$F$1141,6,0)</f>
        <v>Manager</v>
      </c>
      <c r="H145" s="1" t="s">
        <v>785</v>
      </c>
      <c r="I145" s="1" t="s">
        <v>28</v>
      </c>
      <c r="J145" s="1" t="str">
        <f>VLOOKUP(A145,[1]Sheet1!$A$2:$H$1141,8,0)</f>
        <v>Dept. of Sales</v>
      </c>
      <c r="K145" s="1" t="str">
        <f>VLOOKUP(A145,[1]Sheet1!$A$2:$I$1141,9,0)</f>
        <v>Unit of Sales 1</v>
      </c>
      <c r="L145" s="1" t="str">
        <f>VLOOKUP(A145,[1]Sheet1!$A$2:$J$1141,10,0)</f>
        <v>Section of Kaltim &amp; Kaltara</v>
      </c>
      <c r="M145" s="2">
        <v>32965</v>
      </c>
      <c r="N145" s="1" t="s">
        <v>29</v>
      </c>
      <c r="O145" s="1" t="s">
        <v>30</v>
      </c>
      <c r="P145" s="1" t="s">
        <v>854</v>
      </c>
      <c r="Q145" s="1" t="s">
        <v>855</v>
      </c>
      <c r="R145" s="1" t="s">
        <v>856</v>
      </c>
      <c r="S145" s="1" t="s">
        <v>789</v>
      </c>
      <c r="T145" s="14">
        <v>53448</v>
      </c>
      <c r="U145" s="1" t="s">
        <v>857</v>
      </c>
      <c r="V145" s="1" t="s">
        <v>36</v>
      </c>
      <c r="W145" s="3" t="str">
        <f t="shared" si="2"/>
        <v>36 tahun</v>
      </c>
      <c r="X145" s="1" t="s">
        <v>121</v>
      </c>
      <c r="Y145" s="1" t="s">
        <v>48</v>
      </c>
      <c r="Z145" s="2">
        <v>41275</v>
      </c>
      <c r="AA145" s="2">
        <v>41395</v>
      </c>
      <c r="AB145" s="2" t="s">
        <v>858</v>
      </c>
    </row>
    <row r="146" spans="1:28" x14ac:dyDescent="0.35">
      <c r="A146" s="12">
        <v>6181</v>
      </c>
      <c r="B146" s="12">
        <v>9112348</v>
      </c>
      <c r="C146" s="12" t="s">
        <v>103</v>
      </c>
      <c r="D146" s="12">
        <v>50070720</v>
      </c>
      <c r="E146" s="1" t="s">
        <v>859</v>
      </c>
      <c r="F146" s="1" t="str">
        <f>VLOOKUP(A146,[1]Sheet1!$A$2:$E$1141,5,0)</f>
        <v>Kaltim &amp; Kaltara TSO</v>
      </c>
      <c r="G146" s="17" t="str">
        <f>VLOOKUP(A146,[1]Sheet1!$A$2:$F$1141,6,0)</f>
        <v>Supervisor</v>
      </c>
      <c r="H146" s="1" t="s">
        <v>785</v>
      </c>
      <c r="I146" s="1" t="s">
        <v>28</v>
      </c>
      <c r="J146" s="1" t="str">
        <f>VLOOKUP(A146,[1]Sheet1!$A$2:$H$1141,8,0)</f>
        <v>Dept. of Sales</v>
      </c>
      <c r="K146" s="1" t="str">
        <f>VLOOKUP(A146,[1]Sheet1!$A$2:$I$1141,9,0)</f>
        <v>Unit of Sales 1</v>
      </c>
      <c r="L146" s="1" t="str">
        <f>VLOOKUP(A146,[1]Sheet1!$A$2:$J$1141,10,0)</f>
        <v>Section of Kaltim &amp; Kaltara</v>
      </c>
      <c r="M146" s="2">
        <v>33386</v>
      </c>
      <c r="N146" s="1" t="s">
        <v>29</v>
      </c>
      <c r="O146" s="1" t="s">
        <v>30</v>
      </c>
      <c r="P146" s="1" t="s">
        <v>860</v>
      </c>
      <c r="Q146" s="1" t="s">
        <v>787</v>
      </c>
      <c r="R146" s="1" t="s">
        <v>788</v>
      </c>
      <c r="S146" s="1" t="s">
        <v>789</v>
      </c>
      <c r="T146" s="14">
        <v>53844</v>
      </c>
      <c r="U146" s="1" t="s">
        <v>861</v>
      </c>
      <c r="V146" s="1" t="s">
        <v>36</v>
      </c>
      <c r="W146" s="3" t="str">
        <f t="shared" si="2"/>
        <v>35 tahun</v>
      </c>
      <c r="X146" s="1" t="s">
        <v>121</v>
      </c>
      <c r="Y146" s="1" t="s">
        <v>56</v>
      </c>
      <c r="Z146" s="2">
        <v>41275</v>
      </c>
      <c r="AA146" s="2">
        <v>41395</v>
      </c>
      <c r="AB146" s="2" t="s">
        <v>862</v>
      </c>
    </row>
    <row r="147" spans="1:28" x14ac:dyDescent="0.35">
      <c r="A147" s="12">
        <v>5375</v>
      </c>
      <c r="B147" s="12">
        <v>8610071</v>
      </c>
      <c r="C147" s="12" t="s">
        <v>139</v>
      </c>
      <c r="D147" s="12">
        <v>50070721</v>
      </c>
      <c r="E147" s="1" t="s">
        <v>863</v>
      </c>
      <c r="F147" s="1" t="str">
        <f>VLOOKUP(A147,[1]Sheet1!$A$2:$E$1141,5,0)</f>
        <v>Kaltim &amp; Kaltara TSO</v>
      </c>
      <c r="G147" s="17" t="str">
        <f>VLOOKUP(A147,[1]Sheet1!$A$2:$F$1141,6,0)</f>
        <v>Supervisor</v>
      </c>
      <c r="H147" s="1" t="s">
        <v>785</v>
      </c>
      <c r="I147" s="1" t="s">
        <v>28</v>
      </c>
      <c r="J147" s="1" t="str">
        <f>VLOOKUP(A147,[1]Sheet1!$A$2:$H$1141,8,0)</f>
        <v>Dept. of Sales</v>
      </c>
      <c r="K147" s="1" t="str">
        <f>VLOOKUP(A147,[1]Sheet1!$A$2:$I$1141,9,0)</f>
        <v>Unit of Sales 1</v>
      </c>
      <c r="L147" s="1" t="str">
        <f>VLOOKUP(A147,[1]Sheet1!$A$2:$J$1141,10,0)</f>
        <v>Section of Kaltim &amp; Kaltara</v>
      </c>
      <c r="M147" s="2">
        <v>31641</v>
      </c>
      <c r="N147" s="1" t="s">
        <v>29</v>
      </c>
      <c r="O147" s="1" t="s">
        <v>30</v>
      </c>
      <c r="P147" s="1" t="s">
        <v>864</v>
      </c>
      <c r="Q147" s="1" t="s">
        <v>787</v>
      </c>
      <c r="R147" s="1" t="s">
        <v>788</v>
      </c>
      <c r="S147" s="1" t="s">
        <v>789</v>
      </c>
      <c r="T147" s="14">
        <v>52110</v>
      </c>
      <c r="U147" s="1" t="s">
        <v>865</v>
      </c>
      <c r="V147" s="1" t="s">
        <v>36</v>
      </c>
      <c r="W147" s="3" t="str">
        <f t="shared" si="2"/>
        <v>40 tahun</v>
      </c>
      <c r="X147" s="1" t="s">
        <v>55</v>
      </c>
      <c r="Y147" s="1" t="s">
        <v>68</v>
      </c>
      <c r="Z147" s="2">
        <v>40544</v>
      </c>
      <c r="AA147" s="2">
        <v>40695</v>
      </c>
      <c r="AB147" s="2" t="s">
        <v>866</v>
      </c>
    </row>
    <row r="148" spans="1:28" x14ac:dyDescent="0.35">
      <c r="A148" s="12">
        <v>5174</v>
      </c>
      <c r="B148" s="12">
        <v>7595276</v>
      </c>
      <c r="C148" s="12" t="s">
        <v>50</v>
      </c>
      <c r="D148" s="12">
        <v>50070724</v>
      </c>
      <c r="E148" s="15" t="s">
        <v>867</v>
      </c>
      <c r="F148" s="1" t="str">
        <f>VLOOKUP(A148,[1]Sheet1!$A$2:$E$1141,5,0)</f>
        <v>SSM of Sales 2</v>
      </c>
      <c r="G148" s="15" t="str">
        <f>VLOOKUP(A148,[1]Sheet1!$A$2:$F$1141,6,0)</f>
        <v>Senior Manager</v>
      </c>
      <c r="H148" s="1" t="s">
        <v>868</v>
      </c>
      <c r="I148" s="1" t="s">
        <v>28</v>
      </c>
      <c r="J148" s="1" t="str">
        <f>VLOOKUP(A148,[1]Sheet1!$A$2:$H$1141,8,0)</f>
        <v>Dept. of Sales</v>
      </c>
      <c r="K148" s="1" t="str">
        <f>VLOOKUP(A148,[1]Sheet1!$A$2:$I$1141,9,0)</f>
        <v>Unit of Sales 2</v>
      </c>
      <c r="L148" s="1" t="e">
        <f>VLOOKUP(A148,[1]Sheet1!$A$2:$J$1141,10,0)</f>
        <v>#REF!</v>
      </c>
      <c r="M148" s="2">
        <v>27705</v>
      </c>
      <c r="N148" s="1" t="s">
        <v>29</v>
      </c>
      <c r="O148" s="1" t="s">
        <v>30</v>
      </c>
      <c r="P148" s="1" t="s">
        <v>869</v>
      </c>
      <c r="Q148" s="1" t="s">
        <v>870</v>
      </c>
      <c r="R148" s="1" t="s">
        <v>871</v>
      </c>
      <c r="S148" s="1" t="s">
        <v>871</v>
      </c>
      <c r="T148" s="14">
        <v>48183</v>
      </c>
      <c r="U148" s="1" t="s">
        <v>872</v>
      </c>
      <c r="V148" s="1" t="s">
        <v>36</v>
      </c>
      <c r="W148" s="3" t="str">
        <f t="shared" si="2"/>
        <v>50 tahun</v>
      </c>
      <c r="X148" s="1" t="s">
        <v>873</v>
      </c>
      <c r="Y148" s="1" t="s">
        <v>38</v>
      </c>
      <c r="Z148" s="2">
        <v>35034</v>
      </c>
      <c r="AA148" s="2">
        <v>35400</v>
      </c>
      <c r="AB148" s="2" t="s">
        <v>84</v>
      </c>
    </row>
    <row r="149" spans="1:28" x14ac:dyDescent="0.35">
      <c r="A149" s="12">
        <v>5280</v>
      </c>
      <c r="B149" s="12">
        <v>8308054</v>
      </c>
      <c r="C149" s="12" t="s">
        <v>25</v>
      </c>
      <c r="D149" s="12">
        <v>50070726</v>
      </c>
      <c r="E149" s="16" t="s">
        <v>874</v>
      </c>
      <c r="F149" s="1" t="str">
        <f>VLOOKUP(A149,[1]Sheet1!$A$2:$E$1141,5,0)</f>
        <v>ASM of Kalsel &amp; NTB</v>
      </c>
      <c r="G149" s="16" t="str">
        <f>VLOOKUP(A149,[1]Sheet1!$A$2:$F$1141,6,0)</f>
        <v>Manager</v>
      </c>
      <c r="H149" s="1" t="s">
        <v>810</v>
      </c>
      <c r="I149" s="1" t="s">
        <v>28</v>
      </c>
      <c r="J149" s="1" t="str">
        <f>VLOOKUP(A149,[1]Sheet1!$A$2:$H$1141,8,0)</f>
        <v>Dept. of Sales</v>
      </c>
      <c r="K149" s="1" t="str">
        <f>VLOOKUP(A149,[1]Sheet1!$A$2:$I$1141,9,0)</f>
        <v>Unit of Sales 2</v>
      </c>
      <c r="L149" s="1" t="str">
        <f>VLOOKUP(A149,[1]Sheet1!$A$2:$J$1141,10,0)</f>
        <v>Section of Kalsel &amp; NTB</v>
      </c>
      <c r="M149" s="2">
        <v>30332</v>
      </c>
      <c r="N149" s="1" t="s">
        <v>29</v>
      </c>
      <c r="O149" s="1" t="s">
        <v>30</v>
      </c>
      <c r="P149" s="1" t="s">
        <v>875</v>
      </c>
      <c r="Q149" s="1" t="s">
        <v>876</v>
      </c>
      <c r="R149" s="1" t="s">
        <v>877</v>
      </c>
      <c r="S149" s="1" t="s">
        <v>814</v>
      </c>
      <c r="T149" s="14">
        <v>50802</v>
      </c>
      <c r="U149" s="1" t="s">
        <v>878</v>
      </c>
      <c r="V149" s="1" t="s">
        <v>36</v>
      </c>
      <c r="W149" s="3" t="str">
        <f t="shared" si="2"/>
        <v>43 tahun</v>
      </c>
      <c r="X149" s="1" t="s">
        <v>361</v>
      </c>
      <c r="Y149" s="1" t="s">
        <v>48</v>
      </c>
      <c r="Z149" s="2">
        <v>39814</v>
      </c>
      <c r="AA149" s="2">
        <v>39934</v>
      </c>
      <c r="AB149" s="2" t="s">
        <v>84</v>
      </c>
    </row>
    <row r="150" spans="1:28" x14ac:dyDescent="0.35">
      <c r="A150" s="12">
        <v>6169</v>
      </c>
      <c r="B150" s="12">
        <v>9112336</v>
      </c>
      <c r="C150" s="12" t="s">
        <v>103</v>
      </c>
      <c r="D150" s="12">
        <v>50070728</v>
      </c>
      <c r="E150" s="1" t="s">
        <v>879</v>
      </c>
      <c r="F150" s="1" t="str">
        <f>VLOOKUP(A150,[1]Sheet1!$A$2:$E$1141,5,0)</f>
        <v>Kalsel &amp; NTB TSO</v>
      </c>
      <c r="G150" s="17" t="str">
        <f>VLOOKUP(A150,[1]Sheet1!$A$2:$F$1141,6,0)</f>
        <v>Supervisor</v>
      </c>
      <c r="H150" s="1" t="s">
        <v>810</v>
      </c>
      <c r="I150" s="1" t="s">
        <v>28</v>
      </c>
      <c r="J150" s="1" t="str">
        <f>VLOOKUP(A150,[1]Sheet1!$A$2:$H$1141,8,0)</f>
        <v>Dept. of Sales</v>
      </c>
      <c r="K150" s="1" t="str">
        <f>VLOOKUP(A150,[1]Sheet1!$A$2:$I$1141,9,0)</f>
        <v>Unit of Sales 2</v>
      </c>
      <c r="L150" s="1" t="str">
        <f>VLOOKUP(A150,[1]Sheet1!$A$2:$J$1141,10,0)</f>
        <v>Section of Kalsel &amp; NTB</v>
      </c>
      <c r="M150" s="2">
        <v>33331</v>
      </c>
      <c r="N150" s="1" t="s">
        <v>29</v>
      </c>
      <c r="O150" s="1" t="s">
        <v>30</v>
      </c>
      <c r="P150" s="1" t="s">
        <v>880</v>
      </c>
      <c r="Q150" s="1" t="s">
        <v>812</v>
      </c>
      <c r="R150" s="1" t="s">
        <v>813</v>
      </c>
      <c r="S150" s="1" t="s">
        <v>814</v>
      </c>
      <c r="T150" s="14">
        <v>53813</v>
      </c>
      <c r="U150" s="1" t="s">
        <v>881</v>
      </c>
      <c r="V150" s="1" t="s">
        <v>36</v>
      </c>
      <c r="W150" s="3" t="str">
        <f t="shared" si="2"/>
        <v>35 tahun</v>
      </c>
      <c r="X150" s="1" t="s">
        <v>882</v>
      </c>
      <c r="Y150" s="1" t="s">
        <v>56</v>
      </c>
      <c r="Z150" s="2">
        <v>41275</v>
      </c>
      <c r="AA150" s="2">
        <v>41426</v>
      </c>
      <c r="AB150" s="2" t="s">
        <v>883</v>
      </c>
    </row>
    <row r="151" spans="1:28" x14ac:dyDescent="0.35">
      <c r="A151" s="12">
        <v>5166</v>
      </c>
      <c r="B151" s="12">
        <v>7595132</v>
      </c>
      <c r="C151" s="12" t="s">
        <v>50</v>
      </c>
      <c r="D151" s="12">
        <v>50070729</v>
      </c>
      <c r="E151" s="1" t="s">
        <v>884</v>
      </c>
      <c r="F151" s="1" t="str">
        <f>VLOOKUP(A151,[1]Sheet1!$A$2:$E$1141,5,0)</f>
        <v>Kalsel &amp; NTB TSO</v>
      </c>
      <c r="G151" s="17" t="str">
        <f>VLOOKUP(A151,[1]Sheet1!$A$2:$F$1141,6,0)</f>
        <v>Supervisor</v>
      </c>
      <c r="H151" s="1" t="s">
        <v>810</v>
      </c>
      <c r="I151" s="1" t="s">
        <v>28</v>
      </c>
      <c r="J151" s="1" t="str">
        <f>VLOOKUP(A151,[1]Sheet1!$A$2:$H$1141,8,0)</f>
        <v>Dept. of Sales</v>
      </c>
      <c r="K151" s="1" t="str">
        <f>VLOOKUP(A151,[1]Sheet1!$A$2:$I$1141,9,0)</f>
        <v>Unit of Sales 2</v>
      </c>
      <c r="L151" s="1" t="str">
        <f>VLOOKUP(A151,[1]Sheet1!$A$2:$J$1141,10,0)</f>
        <v>Section of Kalsel &amp; NTB</v>
      </c>
      <c r="M151" s="2">
        <v>27676</v>
      </c>
      <c r="N151" s="1" t="s">
        <v>29</v>
      </c>
      <c r="O151" s="1" t="s">
        <v>30</v>
      </c>
      <c r="P151" s="1" t="s">
        <v>885</v>
      </c>
      <c r="Q151" s="1" t="s">
        <v>812</v>
      </c>
      <c r="R151" s="1" t="s">
        <v>813</v>
      </c>
      <c r="S151" s="1" t="s">
        <v>814</v>
      </c>
      <c r="T151" s="14">
        <v>48153</v>
      </c>
      <c r="U151" s="1" t="s">
        <v>886</v>
      </c>
      <c r="V151" s="1" t="s">
        <v>36</v>
      </c>
      <c r="W151" s="3" t="str">
        <f t="shared" si="2"/>
        <v>50 tahun</v>
      </c>
      <c r="X151" s="1" t="s">
        <v>887</v>
      </c>
      <c r="Y151" s="1" t="s">
        <v>56</v>
      </c>
      <c r="Z151" s="2">
        <v>34932</v>
      </c>
      <c r="AA151" s="2">
        <v>35309</v>
      </c>
      <c r="AB151" s="2" t="s">
        <v>888</v>
      </c>
    </row>
    <row r="152" spans="1:28" x14ac:dyDescent="0.35">
      <c r="A152" s="12">
        <v>5945</v>
      </c>
      <c r="B152" s="12">
        <v>8712111</v>
      </c>
      <c r="C152" s="12" t="s">
        <v>103</v>
      </c>
      <c r="D152" s="12">
        <v>50070730</v>
      </c>
      <c r="E152" s="1" t="s">
        <v>889</v>
      </c>
      <c r="F152" s="1" t="str">
        <f>VLOOKUP(A152,[1]Sheet1!$A$2:$E$1141,5,0)</f>
        <v>Kalsel &amp; NTB TSO</v>
      </c>
      <c r="G152" s="17" t="str">
        <f>VLOOKUP(A152,[1]Sheet1!$A$2:$F$1141,6,0)</f>
        <v>Supervisor</v>
      </c>
      <c r="H152" s="1" t="s">
        <v>810</v>
      </c>
      <c r="I152" s="1" t="s">
        <v>28</v>
      </c>
      <c r="J152" s="1" t="str">
        <f>VLOOKUP(A152,[1]Sheet1!$A$2:$H$1141,8,0)</f>
        <v>Dept. of Sales</v>
      </c>
      <c r="K152" s="1" t="str">
        <f>VLOOKUP(A152,[1]Sheet1!$A$2:$I$1141,9,0)</f>
        <v>Unit of Sales 2</v>
      </c>
      <c r="L152" s="1" t="str">
        <f>VLOOKUP(A152,[1]Sheet1!$A$2:$J$1141,10,0)</f>
        <v>Section of Kalsel &amp; NTB</v>
      </c>
      <c r="M152" s="2">
        <v>32109</v>
      </c>
      <c r="N152" s="1" t="s">
        <v>29</v>
      </c>
      <c r="O152" s="1" t="s">
        <v>30</v>
      </c>
      <c r="P152" s="1" t="s">
        <v>890</v>
      </c>
      <c r="Q152" s="1" t="s">
        <v>812</v>
      </c>
      <c r="R152" s="1" t="s">
        <v>813</v>
      </c>
      <c r="S152" s="1" t="s">
        <v>814</v>
      </c>
      <c r="T152" s="14">
        <v>52566</v>
      </c>
      <c r="U152" s="1" t="s">
        <v>891</v>
      </c>
      <c r="V152" s="1" t="s">
        <v>36</v>
      </c>
      <c r="W152" s="3" t="str">
        <f t="shared" si="2"/>
        <v>38 tahun</v>
      </c>
      <c r="X152" s="1" t="s">
        <v>91</v>
      </c>
      <c r="Y152" s="1" t="s">
        <v>48</v>
      </c>
      <c r="Z152" s="2">
        <v>41275</v>
      </c>
      <c r="AA152" s="2">
        <v>41456</v>
      </c>
      <c r="AB152" s="2" t="s">
        <v>892</v>
      </c>
    </row>
    <row r="153" spans="1:28" x14ac:dyDescent="0.35">
      <c r="A153" s="12">
        <v>5859</v>
      </c>
      <c r="B153" s="12">
        <v>8512025</v>
      </c>
      <c r="C153" s="12" t="s">
        <v>103</v>
      </c>
      <c r="D153" s="12">
        <v>50070733</v>
      </c>
      <c r="E153" s="16" t="s">
        <v>893</v>
      </c>
      <c r="F153" s="1" t="str">
        <f>VLOOKUP(A153,[1]Sheet1!$A$2:$E$1141,5,0)</f>
        <v>ASM of Papua</v>
      </c>
      <c r="G153" s="16" t="str">
        <f>VLOOKUP(A153,[1]Sheet1!$A$2:$F$1141,6,0)</f>
        <v>Manager</v>
      </c>
      <c r="H153" s="1" t="s">
        <v>894</v>
      </c>
      <c r="I153" s="1" t="s">
        <v>28</v>
      </c>
      <c r="J153" s="1" t="str">
        <f>VLOOKUP(A153,[1]Sheet1!$A$2:$H$1141,8,0)</f>
        <v>Dept. of Sales</v>
      </c>
      <c r="K153" s="1" t="str">
        <f>VLOOKUP(A153,[1]Sheet1!$A$2:$I$1141,9,0)</f>
        <v>Unit of Sales 2</v>
      </c>
      <c r="L153" s="1" t="str">
        <f>VLOOKUP(A153,[1]Sheet1!$A$2:$J$1141,10,0)</f>
        <v>Section of Papua</v>
      </c>
      <c r="M153" s="2">
        <v>31368</v>
      </c>
      <c r="N153" s="1" t="s">
        <v>29</v>
      </c>
      <c r="O153" s="1" t="s">
        <v>30</v>
      </c>
      <c r="P153" s="1" t="s">
        <v>895</v>
      </c>
      <c r="Q153" s="1" t="s">
        <v>896</v>
      </c>
      <c r="R153" s="1" t="s">
        <v>897</v>
      </c>
      <c r="S153" s="1" t="s">
        <v>898</v>
      </c>
      <c r="T153" s="14">
        <v>51836</v>
      </c>
      <c r="U153" s="1" t="s">
        <v>899</v>
      </c>
      <c r="V153" s="1" t="s">
        <v>36</v>
      </c>
      <c r="W153" s="3" t="str">
        <f t="shared" si="2"/>
        <v>40 tahun</v>
      </c>
      <c r="X153" s="1" t="s">
        <v>55</v>
      </c>
      <c r="Y153" s="1" t="s">
        <v>38</v>
      </c>
      <c r="Z153" s="2">
        <v>41275</v>
      </c>
      <c r="AA153" s="2">
        <v>41395</v>
      </c>
      <c r="AB153" s="2" t="s">
        <v>900</v>
      </c>
    </row>
    <row r="154" spans="1:28" x14ac:dyDescent="0.35">
      <c r="A154" s="12">
        <v>6179</v>
      </c>
      <c r="B154" s="12">
        <v>9112346</v>
      </c>
      <c r="C154" s="12" t="s">
        <v>103</v>
      </c>
      <c r="D154" s="12">
        <v>50070735</v>
      </c>
      <c r="E154" s="1" t="s">
        <v>901</v>
      </c>
      <c r="F154" s="1" t="str">
        <f>VLOOKUP(A154,[1]Sheet1!$A$2:$E$1141,5,0)</f>
        <v>Papua TSO</v>
      </c>
      <c r="G154" s="17" t="str">
        <f>VLOOKUP(A154,[1]Sheet1!$A$2:$F$1141,6,0)</f>
        <v>Supervisor</v>
      </c>
      <c r="H154" s="1" t="s">
        <v>894</v>
      </c>
      <c r="I154" s="1" t="s">
        <v>28</v>
      </c>
      <c r="J154" s="1" t="str">
        <f>VLOOKUP(A154,[1]Sheet1!$A$2:$H$1141,8,0)</f>
        <v>Dept. of Sales</v>
      </c>
      <c r="K154" s="1" t="str">
        <f>VLOOKUP(A154,[1]Sheet1!$A$2:$I$1141,9,0)</f>
        <v>Unit of Sales 2</v>
      </c>
      <c r="L154" s="1" t="str">
        <f>VLOOKUP(A154,[1]Sheet1!$A$2:$J$1141,10,0)</f>
        <v>Section of Papua</v>
      </c>
      <c r="M154" s="2">
        <v>33369</v>
      </c>
      <c r="N154" s="1" t="s">
        <v>29</v>
      </c>
      <c r="O154" s="1" t="s">
        <v>30</v>
      </c>
      <c r="P154" s="1" t="s">
        <v>902</v>
      </c>
      <c r="Q154" s="1" t="s">
        <v>903</v>
      </c>
      <c r="R154" s="1" t="s">
        <v>904</v>
      </c>
      <c r="S154" s="1" t="s">
        <v>898</v>
      </c>
      <c r="T154" s="14">
        <v>53844</v>
      </c>
      <c r="U154" s="1" t="s">
        <v>905</v>
      </c>
      <c r="V154" s="1" t="s">
        <v>36</v>
      </c>
      <c r="W154" s="3" t="str">
        <f t="shared" si="2"/>
        <v>35 tahun</v>
      </c>
      <c r="X154" s="1" t="s">
        <v>906</v>
      </c>
      <c r="Y154" s="1" t="s">
        <v>56</v>
      </c>
      <c r="Z154" s="2">
        <v>41275</v>
      </c>
      <c r="AA154" s="2">
        <v>41395</v>
      </c>
      <c r="AB154" s="2" t="s">
        <v>907</v>
      </c>
    </row>
    <row r="155" spans="1:28" x14ac:dyDescent="0.35">
      <c r="A155" s="12">
        <v>6013</v>
      </c>
      <c r="B155" s="12">
        <v>8912180</v>
      </c>
      <c r="C155" s="12" t="s">
        <v>103</v>
      </c>
      <c r="D155" s="12">
        <v>50070736</v>
      </c>
      <c r="E155" s="1" t="s">
        <v>908</v>
      </c>
      <c r="F155" s="1" t="str">
        <f>VLOOKUP(A155,[1]Sheet1!$A$2:$E$1141,5,0)</f>
        <v>Papua TSO</v>
      </c>
      <c r="G155" s="17" t="str">
        <f>VLOOKUP(A155,[1]Sheet1!$A$2:$F$1141,6,0)</f>
        <v>Supervisor</v>
      </c>
      <c r="H155" s="1" t="s">
        <v>894</v>
      </c>
      <c r="I155" s="1" t="s">
        <v>28</v>
      </c>
      <c r="J155" s="1" t="str">
        <f>VLOOKUP(A155,[1]Sheet1!$A$2:$H$1141,8,0)</f>
        <v>Dept. of Sales</v>
      </c>
      <c r="K155" s="1" t="str">
        <f>VLOOKUP(A155,[1]Sheet1!$A$2:$I$1141,9,0)</f>
        <v>Unit of Sales 2</v>
      </c>
      <c r="L155" s="1" t="str">
        <f>VLOOKUP(A155,[1]Sheet1!$A$2:$J$1141,10,0)</f>
        <v>Section of Papua</v>
      </c>
      <c r="M155" s="2">
        <v>32594</v>
      </c>
      <c r="N155" s="1" t="s">
        <v>29</v>
      </c>
      <c r="O155" s="1" t="s">
        <v>30</v>
      </c>
      <c r="P155" s="1" t="s">
        <v>909</v>
      </c>
      <c r="Q155" s="1" t="s">
        <v>903</v>
      </c>
      <c r="R155" s="1" t="s">
        <v>904</v>
      </c>
      <c r="S155" s="1" t="s">
        <v>898</v>
      </c>
      <c r="T155" s="14">
        <v>53053</v>
      </c>
      <c r="U155" s="1" t="s">
        <v>910</v>
      </c>
      <c r="V155" s="1" t="s">
        <v>186</v>
      </c>
      <c r="W155" s="3" t="str">
        <f t="shared" si="2"/>
        <v>37 tahun</v>
      </c>
      <c r="X155" s="1" t="s">
        <v>55</v>
      </c>
      <c r="Y155" s="1" t="s">
        <v>68</v>
      </c>
      <c r="Z155" s="2">
        <v>41275</v>
      </c>
      <c r="AA155" s="2">
        <v>41395</v>
      </c>
      <c r="AB155" s="2" t="s">
        <v>911</v>
      </c>
    </row>
    <row r="156" spans="1:28" x14ac:dyDescent="0.35">
      <c r="A156" s="12">
        <v>6212</v>
      </c>
      <c r="B156" s="12">
        <v>9112378</v>
      </c>
      <c r="C156" s="12" t="s">
        <v>103</v>
      </c>
      <c r="D156" s="12">
        <v>50070737</v>
      </c>
      <c r="E156" s="1" t="s">
        <v>912</v>
      </c>
      <c r="F156" s="1" t="str">
        <f>VLOOKUP(A156,[1]Sheet1!$A$2:$E$1141,5,0)</f>
        <v>Papua TSO</v>
      </c>
      <c r="G156" s="17" t="str">
        <f>VLOOKUP(A156,[1]Sheet1!$A$2:$F$1141,6,0)</f>
        <v>Supervisor</v>
      </c>
      <c r="H156" s="1" t="s">
        <v>894</v>
      </c>
      <c r="I156" s="1" t="s">
        <v>28</v>
      </c>
      <c r="J156" s="1" t="str">
        <f>VLOOKUP(A156,[1]Sheet1!$A$2:$H$1141,8,0)</f>
        <v>Dept. of Sales</v>
      </c>
      <c r="K156" s="1" t="str">
        <f>VLOOKUP(A156,[1]Sheet1!$A$2:$I$1141,9,0)</f>
        <v>Unit of Sales 2</v>
      </c>
      <c r="L156" s="1" t="str">
        <f>VLOOKUP(A156,[1]Sheet1!$A$2:$J$1141,10,0)</f>
        <v>Section of Papua</v>
      </c>
      <c r="M156" s="2">
        <v>33501</v>
      </c>
      <c r="N156" s="1" t="s">
        <v>29</v>
      </c>
      <c r="O156" s="1" t="s">
        <v>30</v>
      </c>
      <c r="P156" s="1" t="s">
        <v>913</v>
      </c>
      <c r="Q156" s="1" t="s">
        <v>903</v>
      </c>
      <c r="R156" s="1" t="s">
        <v>904</v>
      </c>
      <c r="S156" s="1" t="s">
        <v>898</v>
      </c>
      <c r="T156" s="14">
        <v>53966</v>
      </c>
      <c r="U156" s="1" t="s">
        <v>914</v>
      </c>
      <c r="V156" s="1" t="s">
        <v>186</v>
      </c>
      <c r="W156" s="3" t="str">
        <f t="shared" si="2"/>
        <v>34 tahun</v>
      </c>
      <c r="X156" s="1" t="s">
        <v>55</v>
      </c>
      <c r="Y156" s="1" t="s">
        <v>56</v>
      </c>
      <c r="Z156" s="2">
        <v>41275</v>
      </c>
      <c r="AA156" s="2">
        <v>41395</v>
      </c>
      <c r="AB156" s="2" t="s">
        <v>915</v>
      </c>
    </row>
    <row r="157" spans="1:28" x14ac:dyDescent="0.35">
      <c r="A157" s="12">
        <v>7918</v>
      </c>
      <c r="B157" s="12">
        <v>7918</v>
      </c>
      <c r="C157" s="12" t="s">
        <v>916</v>
      </c>
      <c r="D157" s="12">
        <v>50070793</v>
      </c>
      <c r="E157" s="1" t="s">
        <v>917</v>
      </c>
      <c r="F157" s="1" t="str">
        <f>VLOOKUP(A157,[1]Sheet1!$A$2:$E$1141,5,0)</f>
        <v>Papua TSO</v>
      </c>
      <c r="G157" s="17" t="str">
        <f>VLOOKUP(A157,[1]Sheet1!$A$2:$F$1141,6,0)</f>
        <v>Associate</v>
      </c>
      <c r="H157" s="1" t="s">
        <v>894</v>
      </c>
      <c r="I157" s="1" t="s">
        <v>28</v>
      </c>
      <c r="J157" s="1" t="str">
        <f>VLOOKUP(A157,[1]Sheet1!$A$2:$H$1141,8,0)</f>
        <v>Dept. of Sales</v>
      </c>
      <c r="K157" s="1" t="str">
        <f>VLOOKUP(A157,[1]Sheet1!$A$2:$I$1141,9,0)</f>
        <v>Unit of Sales 2</v>
      </c>
      <c r="L157" s="1" t="str">
        <f>VLOOKUP(A157,[1]Sheet1!$A$2:$J$1141,10,0)</f>
        <v>Section of Papua</v>
      </c>
      <c r="M157" s="2">
        <v>34115</v>
      </c>
      <c r="N157" s="1" t="s">
        <v>59</v>
      </c>
      <c r="O157" s="1" t="s">
        <v>819</v>
      </c>
      <c r="P157" s="1" t="s">
        <v>918</v>
      </c>
      <c r="Q157" s="1" t="s">
        <v>903</v>
      </c>
      <c r="R157" s="1" t="s">
        <v>904</v>
      </c>
      <c r="S157" s="1" t="s">
        <v>898</v>
      </c>
      <c r="T157" s="14">
        <v>54575</v>
      </c>
      <c r="U157" s="1" t="s">
        <v>919</v>
      </c>
      <c r="V157" s="1" t="s">
        <v>186</v>
      </c>
      <c r="W157" s="3" t="str">
        <f t="shared" si="2"/>
        <v>33 tahun</v>
      </c>
      <c r="X157" s="1" t="s">
        <v>920</v>
      </c>
      <c r="Y157" s="1" t="s">
        <v>920</v>
      </c>
      <c r="Z157" s="2">
        <v>45694</v>
      </c>
      <c r="AA157" s="2">
        <v>45694</v>
      </c>
      <c r="AB157" s="2" t="e">
        <v>#N/A</v>
      </c>
    </row>
    <row r="158" spans="1:28" x14ac:dyDescent="0.35">
      <c r="A158" s="12">
        <v>8559</v>
      </c>
      <c r="B158" s="12">
        <v>9226001</v>
      </c>
      <c r="C158" s="12" t="s">
        <v>921</v>
      </c>
      <c r="D158" s="12">
        <v>50070794</v>
      </c>
      <c r="E158" s="1" t="s">
        <v>922</v>
      </c>
      <c r="F158" s="1" t="str">
        <f>VLOOKUP(A158,[1]Sheet1!$A$2:$E$1141,5,0)</f>
        <v>Papua TSO</v>
      </c>
      <c r="G158" s="17" t="str">
        <f>VLOOKUP(A158,[1]Sheet1!$A$2:$F$1141,6,0)</f>
        <v>Associate</v>
      </c>
      <c r="H158" s="1" t="s">
        <v>894</v>
      </c>
      <c r="I158" s="1" t="s">
        <v>28</v>
      </c>
      <c r="J158" s="1" t="str">
        <f>VLOOKUP(A158,[1]Sheet1!$A$2:$H$1141,8,0)</f>
        <v>Dept. of Sales</v>
      </c>
      <c r="K158" s="1" t="str">
        <f>VLOOKUP(A158,[1]Sheet1!$A$2:$I$1141,9,0)</f>
        <v>Unit of Sales 2</v>
      </c>
      <c r="L158" s="1" t="str">
        <f>VLOOKUP(A158,[1]Sheet1!$A$2:$J$1141,10,0)</f>
        <v>Section of Papua</v>
      </c>
      <c r="M158" s="2">
        <v>33713</v>
      </c>
      <c r="N158" s="1" t="s">
        <v>59</v>
      </c>
      <c r="O158" s="1" t="s">
        <v>30</v>
      </c>
      <c r="P158" s="1" t="s">
        <v>923</v>
      </c>
      <c r="Q158" s="1" t="s">
        <v>903</v>
      </c>
      <c r="R158" s="1" t="s">
        <v>904</v>
      </c>
      <c r="S158" s="1" t="s">
        <v>898</v>
      </c>
      <c r="T158" s="14">
        <v>54179</v>
      </c>
      <c r="U158" s="1" t="s">
        <v>924</v>
      </c>
      <c r="V158" s="1" t="s">
        <v>186</v>
      </c>
      <c r="W158" s="3" t="str">
        <f t="shared" si="2"/>
        <v>34 tahun</v>
      </c>
      <c r="X158" s="1" t="s">
        <v>925</v>
      </c>
      <c r="Y158" s="1" t="s">
        <v>56</v>
      </c>
      <c r="Z158" s="2">
        <v>46023</v>
      </c>
      <c r="AA158" s="2">
        <v>46023</v>
      </c>
      <c r="AB158" s="2" t="e">
        <v>#N/A</v>
      </c>
    </row>
    <row r="159" spans="1:28" x14ac:dyDescent="0.35">
      <c r="A159" s="12">
        <v>6105</v>
      </c>
      <c r="B159" s="12">
        <v>9012274</v>
      </c>
      <c r="C159" s="12" t="s">
        <v>103</v>
      </c>
      <c r="D159" s="12">
        <v>50071078</v>
      </c>
      <c r="E159" s="1" t="s">
        <v>926</v>
      </c>
      <c r="F159" s="1" t="str">
        <f>VLOOKUP(A159,[1]Sheet1!$A$2:$E$1141,5,0)</f>
        <v>E Papua TSO</v>
      </c>
      <c r="G159" s="17" t="str">
        <f>VLOOKUP(A159,[1]Sheet1!$A$2:$F$1141,6,0)</f>
        <v>Associate</v>
      </c>
      <c r="H159" s="1" t="s">
        <v>894</v>
      </c>
      <c r="I159" s="1" t="s">
        <v>28</v>
      </c>
      <c r="J159" s="1" t="str">
        <f>VLOOKUP(A159,[1]Sheet1!$A$2:$H$1141,8,0)</f>
        <v>Dept. of Sales</v>
      </c>
      <c r="K159" s="1" t="str">
        <f>VLOOKUP(A159,[1]Sheet1!$A$2:$I$1141,9,0)</f>
        <v>Unit of Sales 2</v>
      </c>
      <c r="L159" s="1" t="str">
        <f>VLOOKUP(A159,[1]Sheet1!$A$2:$J$1141,10,0)</f>
        <v>Section of Papua</v>
      </c>
      <c r="M159" s="2">
        <v>33069</v>
      </c>
      <c r="N159" s="1" t="s">
        <v>29</v>
      </c>
      <c r="O159" s="1" t="s">
        <v>30</v>
      </c>
      <c r="P159" s="1" t="s">
        <v>927</v>
      </c>
      <c r="Q159" s="1" t="s">
        <v>903</v>
      </c>
      <c r="R159" s="1" t="s">
        <v>904</v>
      </c>
      <c r="S159" s="1" t="s">
        <v>898</v>
      </c>
      <c r="T159" s="14">
        <v>53540</v>
      </c>
      <c r="U159" s="1" t="s">
        <v>928</v>
      </c>
      <c r="V159" s="1" t="s">
        <v>36</v>
      </c>
      <c r="W159" s="3" t="str">
        <f t="shared" si="2"/>
        <v>36 tahun</v>
      </c>
      <c r="X159" s="1" t="s">
        <v>595</v>
      </c>
      <c r="Y159" s="1" t="s">
        <v>56</v>
      </c>
      <c r="Z159" s="2">
        <v>41275</v>
      </c>
      <c r="AA159" s="2">
        <v>41395</v>
      </c>
      <c r="AB159" s="2" t="s">
        <v>929</v>
      </c>
    </row>
    <row r="160" spans="1:28" x14ac:dyDescent="0.35">
      <c r="A160" s="12">
        <v>5868</v>
      </c>
      <c r="B160" s="12">
        <v>8612035</v>
      </c>
      <c r="C160" s="12" t="s">
        <v>103</v>
      </c>
      <c r="D160" s="12">
        <v>50070742</v>
      </c>
      <c r="E160" s="16" t="s">
        <v>930</v>
      </c>
      <c r="F160" s="1" t="str">
        <f>VLOOKUP(A160,[1]Sheet1!$A$2:$E$1141,5,0)</f>
        <v>ASM of Maluku &amp; Maluku Utara</v>
      </c>
      <c r="G160" s="16" t="str">
        <f>VLOOKUP(A160,[1]Sheet1!$A$2:$F$1141,6,0)</f>
        <v>Manager</v>
      </c>
      <c r="H160" s="1" t="s">
        <v>931</v>
      </c>
      <c r="I160" s="1" t="s">
        <v>28</v>
      </c>
      <c r="J160" s="1" t="str">
        <f>VLOOKUP(A160,[1]Sheet1!$A$2:$H$1141,8,0)</f>
        <v>Dept. of Sales</v>
      </c>
      <c r="K160" s="1" t="str">
        <f>VLOOKUP(A160,[1]Sheet1!$A$2:$I$1141,9,0)</f>
        <v>Unit of Sales 2</v>
      </c>
      <c r="L160" s="1" t="str">
        <f>VLOOKUP(A160,[1]Sheet1!$A$2:$J$1141,10,0)</f>
        <v>Section of Maluku &amp; Maluku Utara</v>
      </c>
      <c r="M160" s="2">
        <v>31477</v>
      </c>
      <c r="N160" s="1" t="s">
        <v>29</v>
      </c>
      <c r="O160" s="1" t="s">
        <v>30</v>
      </c>
      <c r="P160" s="1" t="s">
        <v>932</v>
      </c>
      <c r="Q160" s="1" t="s">
        <v>933</v>
      </c>
      <c r="R160" s="1" t="s">
        <v>934</v>
      </c>
      <c r="S160" s="1" t="s">
        <v>935</v>
      </c>
      <c r="T160" s="14">
        <v>51957</v>
      </c>
      <c r="U160" s="1" t="s">
        <v>936</v>
      </c>
      <c r="V160" s="1" t="s">
        <v>186</v>
      </c>
      <c r="W160" s="3" t="str">
        <f t="shared" si="2"/>
        <v>40 tahun</v>
      </c>
      <c r="X160" s="1" t="s">
        <v>55</v>
      </c>
      <c r="Y160" s="1" t="s">
        <v>48</v>
      </c>
      <c r="Z160" s="2">
        <v>41365</v>
      </c>
      <c r="AA160" s="2">
        <v>41730</v>
      </c>
      <c r="AB160" s="2" t="s">
        <v>937</v>
      </c>
    </row>
    <row r="161" spans="1:28" x14ac:dyDescent="0.35">
      <c r="A161" s="12">
        <v>6097</v>
      </c>
      <c r="B161" s="12">
        <v>9012265</v>
      </c>
      <c r="C161" s="12" t="s">
        <v>103</v>
      </c>
      <c r="D161" s="12">
        <v>50070744</v>
      </c>
      <c r="E161" s="1" t="s">
        <v>938</v>
      </c>
      <c r="F161" s="1" t="str">
        <f>VLOOKUP(A161,[1]Sheet1!$A$2:$E$1141,5,0)</f>
        <v>Maluku &amp; Maluku Utara TSO</v>
      </c>
      <c r="G161" s="17" t="str">
        <f>VLOOKUP(A161,[1]Sheet1!$A$2:$F$1141,6,0)</f>
        <v>Supervisor</v>
      </c>
      <c r="H161" s="1" t="s">
        <v>931</v>
      </c>
      <c r="I161" s="1" t="s">
        <v>28</v>
      </c>
      <c r="J161" s="1" t="str">
        <f>VLOOKUP(A161,[1]Sheet1!$A$2:$H$1141,8,0)</f>
        <v>Dept. of Sales</v>
      </c>
      <c r="K161" s="1" t="str">
        <f>VLOOKUP(A161,[1]Sheet1!$A$2:$I$1141,9,0)</f>
        <v>Unit of Sales 2</v>
      </c>
      <c r="L161" s="1" t="str">
        <f>VLOOKUP(A161,[1]Sheet1!$A$2:$J$1141,10,0)</f>
        <v>Section of Maluku &amp; Maluku Utara</v>
      </c>
      <c r="M161" s="2">
        <v>33018</v>
      </c>
      <c r="N161" s="1" t="s">
        <v>29</v>
      </c>
      <c r="O161" s="1" t="s">
        <v>30</v>
      </c>
      <c r="P161" s="1" t="s">
        <v>939</v>
      </c>
      <c r="Q161" s="1" t="s">
        <v>940</v>
      </c>
      <c r="R161" s="1" t="s">
        <v>941</v>
      </c>
      <c r="S161" s="1" t="s">
        <v>935</v>
      </c>
      <c r="T161" s="14">
        <v>53479</v>
      </c>
      <c r="U161" s="1" t="s">
        <v>942</v>
      </c>
      <c r="V161" s="1" t="s">
        <v>36</v>
      </c>
      <c r="W161" s="3" t="str">
        <f t="shared" si="2"/>
        <v>36 tahun</v>
      </c>
      <c r="X161" s="1" t="s">
        <v>600</v>
      </c>
      <c r="Y161" s="1" t="s">
        <v>56</v>
      </c>
      <c r="Z161" s="2">
        <v>41275</v>
      </c>
      <c r="AA161" s="2">
        <v>41426</v>
      </c>
      <c r="AB161" s="2" t="s">
        <v>943</v>
      </c>
    </row>
    <row r="162" spans="1:28" x14ac:dyDescent="0.35">
      <c r="A162" s="12">
        <v>5880</v>
      </c>
      <c r="B162" s="12">
        <v>8612047</v>
      </c>
      <c r="C162" s="12" t="s">
        <v>103</v>
      </c>
      <c r="D162" s="12">
        <v>50070745</v>
      </c>
      <c r="E162" s="1" t="s">
        <v>944</v>
      </c>
      <c r="F162" s="1" t="str">
        <f>VLOOKUP(A162,[1]Sheet1!$A$2:$E$1141,5,0)</f>
        <v>Maluku &amp; Maluku Utara TSO</v>
      </c>
      <c r="G162" s="17" t="str">
        <f>VLOOKUP(A162,[1]Sheet1!$A$2:$F$1141,6,0)</f>
        <v>Supervisor</v>
      </c>
      <c r="H162" s="1" t="s">
        <v>931</v>
      </c>
      <c r="I162" s="1" t="s">
        <v>28</v>
      </c>
      <c r="J162" s="1" t="str">
        <f>VLOOKUP(A162,[1]Sheet1!$A$2:$H$1141,8,0)</f>
        <v>Dept. of Sales</v>
      </c>
      <c r="K162" s="1" t="str">
        <f>VLOOKUP(A162,[1]Sheet1!$A$2:$I$1141,9,0)</f>
        <v>Unit of Sales 2</v>
      </c>
      <c r="L162" s="1" t="str">
        <f>VLOOKUP(A162,[1]Sheet1!$A$2:$J$1141,10,0)</f>
        <v>Section of Maluku &amp; Maluku Utara</v>
      </c>
      <c r="M162" s="2">
        <v>31600</v>
      </c>
      <c r="N162" s="1" t="s">
        <v>29</v>
      </c>
      <c r="O162" s="1" t="s">
        <v>30</v>
      </c>
      <c r="P162" s="1" t="s">
        <v>945</v>
      </c>
      <c r="Q162" s="1" t="s">
        <v>940</v>
      </c>
      <c r="R162" s="1" t="s">
        <v>941</v>
      </c>
      <c r="S162" s="1" t="s">
        <v>935</v>
      </c>
      <c r="T162" s="14">
        <v>52079</v>
      </c>
      <c r="U162" s="1" t="s">
        <v>946</v>
      </c>
      <c r="V162" s="1" t="s">
        <v>36</v>
      </c>
      <c r="W162" s="3" t="str">
        <f t="shared" si="2"/>
        <v>40 tahun</v>
      </c>
      <c r="X162" s="1" t="s">
        <v>55</v>
      </c>
      <c r="Y162" s="1" t="s">
        <v>56</v>
      </c>
      <c r="Z162" s="2">
        <v>41275</v>
      </c>
      <c r="AA162" s="2">
        <v>41395</v>
      </c>
      <c r="AB162" s="2" t="s">
        <v>947</v>
      </c>
    </row>
    <row r="163" spans="1:28" x14ac:dyDescent="0.35">
      <c r="A163" s="12">
        <v>6277</v>
      </c>
      <c r="B163" s="12">
        <v>9312446</v>
      </c>
      <c r="C163" s="12" t="s">
        <v>103</v>
      </c>
      <c r="D163" s="12">
        <v>50070746</v>
      </c>
      <c r="E163" s="1" t="s">
        <v>948</v>
      </c>
      <c r="F163" s="1" t="str">
        <f>VLOOKUP(A163,[1]Sheet1!$A$2:$E$1141,5,0)</f>
        <v>Maluku &amp; Maluku Utara TSO</v>
      </c>
      <c r="G163" s="17" t="str">
        <f>VLOOKUP(A163,[1]Sheet1!$A$2:$F$1141,6,0)</f>
        <v>Supervisor</v>
      </c>
      <c r="H163" s="1" t="s">
        <v>931</v>
      </c>
      <c r="I163" s="1" t="s">
        <v>28</v>
      </c>
      <c r="J163" s="1" t="str">
        <f>VLOOKUP(A163,[1]Sheet1!$A$2:$H$1141,8,0)</f>
        <v>Dept. of Sales</v>
      </c>
      <c r="K163" s="1" t="str">
        <f>VLOOKUP(A163,[1]Sheet1!$A$2:$I$1141,9,0)</f>
        <v>Unit of Sales 2</v>
      </c>
      <c r="L163" s="1" t="str">
        <f>VLOOKUP(A163,[1]Sheet1!$A$2:$J$1141,10,0)</f>
        <v>Section of Maluku &amp; Maluku Utara</v>
      </c>
      <c r="M163" s="2">
        <v>33975</v>
      </c>
      <c r="N163" s="1" t="s">
        <v>29</v>
      </c>
      <c r="O163" s="1" t="s">
        <v>30</v>
      </c>
      <c r="P163" s="1" t="s">
        <v>949</v>
      </c>
      <c r="Q163" s="1" t="s">
        <v>940</v>
      </c>
      <c r="R163" s="1" t="s">
        <v>941</v>
      </c>
      <c r="S163" s="1" t="s">
        <v>935</v>
      </c>
      <c r="T163" s="14">
        <v>54455</v>
      </c>
      <c r="U163" s="1" t="s">
        <v>950</v>
      </c>
      <c r="V163" s="1" t="s">
        <v>36</v>
      </c>
      <c r="W163" s="3" t="str">
        <f t="shared" si="2"/>
        <v>33 tahun</v>
      </c>
      <c r="X163" s="1" t="s">
        <v>55</v>
      </c>
      <c r="Y163" s="1" t="s">
        <v>56</v>
      </c>
      <c r="Z163" s="2">
        <v>41275</v>
      </c>
      <c r="AA163" s="2">
        <v>41426</v>
      </c>
      <c r="AB163" s="2" t="s">
        <v>951</v>
      </c>
    </row>
    <row r="164" spans="1:28" x14ac:dyDescent="0.35">
      <c r="A164" s="12">
        <v>5912</v>
      </c>
      <c r="B164" s="12">
        <v>8712079</v>
      </c>
      <c r="C164" s="12" t="s">
        <v>103</v>
      </c>
      <c r="D164" s="12">
        <v>50070747</v>
      </c>
      <c r="E164" s="1" t="s">
        <v>952</v>
      </c>
      <c r="F164" s="1" t="str">
        <f>VLOOKUP(A164,[1]Sheet1!$A$2:$E$1141,5,0)</f>
        <v>Maluku &amp; Maluku Utara TSO</v>
      </c>
      <c r="G164" s="17" t="str">
        <f>VLOOKUP(A164,[1]Sheet1!$A$2:$F$1141,6,0)</f>
        <v>Supervisor</v>
      </c>
      <c r="H164" s="1" t="s">
        <v>931</v>
      </c>
      <c r="I164" s="1" t="s">
        <v>28</v>
      </c>
      <c r="J164" s="1" t="str">
        <f>VLOOKUP(A164,[1]Sheet1!$A$2:$H$1141,8,0)</f>
        <v>Dept. of Sales</v>
      </c>
      <c r="K164" s="1" t="str">
        <f>VLOOKUP(A164,[1]Sheet1!$A$2:$I$1141,9,0)</f>
        <v>Unit of Sales 2</v>
      </c>
      <c r="L164" s="1" t="str">
        <f>VLOOKUP(A164,[1]Sheet1!$A$2:$J$1141,10,0)</f>
        <v>Section of Maluku &amp; Maluku Utara</v>
      </c>
      <c r="M164" s="2">
        <v>31890</v>
      </c>
      <c r="N164" s="1" t="s">
        <v>29</v>
      </c>
      <c r="O164" s="1" t="s">
        <v>30</v>
      </c>
      <c r="P164" s="1" t="s">
        <v>953</v>
      </c>
      <c r="Q164" s="1" t="s">
        <v>940</v>
      </c>
      <c r="R164" s="1" t="s">
        <v>941</v>
      </c>
      <c r="S164" s="1" t="s">
        <v>935</v>
      </c>
      <c r="T164" s="14">
        <v>52352</v>
      </c>
      <c r="U164" s="1" t="s">
        <v>954</v>
      </c>
      <c r="V164" s="1" t="s">
        <v>36</v>
      </c>
      <c r="W164" s="3" t="str">
        <f t="shared" si="2"/>
        <v>39 tahun</v>
      </c>
      <c r="X164" s="1" t="s">
        <v>55</v>
      </c>
      <c r="Y164" s="1" t="s">
        <v>68</v>
      </c>
      <c r="Z164" s="2">
        <v>41275</v>
      </c>
      <c r="AA164" s="2">
        <v>41456</v>
      </c>
      <c r="AB164" s="2" t="s">
        <v>955</v>
      </c>
    </row>
    <row r="165" spans="1:28" x14ac:dyDescent="0.35">
      <c r="A165" s="12">
        <v>5218</v>
      </c>
      <c r="B165" s="12">
        <v>7695074</v>
      </c>
      <c r="C165" s="12" t="s">
        <v>50</v>
      </c>
      <c r="D165" s="12">
        <v>50070750</v>
      </c>
      <c r="E165" s="16" t="s">
        <v>956</v>
      </c>
      <c r="F165" s="1" t="str">
        <f>VLOOKUP(A165,[1]Sheet1!$A$2:$E$1141,5,0)</f>
        <v>ASM of NTT</v>
      </c>
      <c r="G165" s="16" t="str">
        <f>VLOOKUP(A165,[1]Sheet1!$A$2:$F$1141,6,0)</f>
        <v>Manager</v>
      </c>
      <c r="H165" s="1" t="s">
        <v>957</v>
      </c>
      <c r="I165" s="1" t="s">
        <v>28</v>
      </c>
      <c r="J165" s="1" t="str">
        <f>VLOOKUP(A165,[1]Sheet1!$A$2:$H$1141,8,0)</f>
        <v>Dept. of Sales</v>
      </c>
      <c r="K165" s="1" t="str">
        <f>VLOOKUP(A165,[1]Sheet1!$A$2:$I$1141,9,0)</f>
        <v>Unit of Sales 2</v>
      </c>
      <c r="L165" s="1" t="str">
        <f>VLOOKUP(A165,[1]Sheet1!$A$2:$J$1141,10,0)</f>
        <v>Section of NTT</v>
      </c>
      <c r="M165" s="2">
        <v>27945</v>
      </c>
      <c r="N165" s="1" t="s">
        <v>29</v>
      </c>
      <c r="O165" s="1" t="s">
        <v>30</v>
      </c>
      <c r="P165" s="1" t="s">
        <v>958</v>
      </c>
      <c r="Q165" s="1" t="s">
        <v>959</v>
      </c>
      <c r="R165" s="1" t="s">
        <v>960</v>
      </c>
      <c r="S165" s="1" t="s">
        <v>961</v>
      </c>
      <c r="T165" s="14">
        <v>48427</v>
      </c>
      <c r="U165" s="1" t="s">
        <v>962</v>
      </c>
      <c r="V165" s="1" t="s">
        <v>36</v>
      </c>
      <c r="W165" s="3" t="str">
        <f t="shared" si="2"/>
        <v>50 tahun</v>
      </c>
      <c r="X165" s="1" t="s">
        <v>55</v>
      </c>
      <c r="Y165" s="1" t="s">
        <v>56</v>
      </c>
      <c r="Z165" s="2">
        <v>34897</v>
      </c>
      <c r="AA165" s="2">
        <v>35278</v>
      </c>
      <c r="AB165" s="2" t="s">
        <v>963</v>
      </c>
    </row>
    <row r="166" spans="1:28" x14ac:dyDescent="0.35">
      <c r="A166" s="12">
        <v>5902</v>
      </c>
      <c r="B166" s="12">
        <v>8712069</v>
      </c>
      <c r="C166" s="12" t="s">
        <v>103</v>
      </c>
      <c r="D166" s="12">
        <v>50070752</v>
      </c>
      <c r="E166" s="1" t="s">
        <v>964</v>
      </c>
      <c r="F166" s="1" t="str">
        <f>VLOOKUP(A166,[1]Sheet1!$A$2:$E$1141,5,0)</f>
        <v>NTT TSO</v>
      </c>
      <c r="G166" s="17" t="str">
        <f>VLOOKUP(A166,[1]Sheet1!$A$2:$F$1141,6,0)</f>
        <v>Supervisor</v>
      </c>
      <c r="H166" s="1" t="s">
        <v>957</v>
      </c>
      <c r="I166" s="1" t="s">
        <v>28</v>
      </c>
      <c r="J166" s="1" t="str">
        <f>VLOOKUP(A166,[1]Sheet1!$A$2:$H$1141,8,0)</f>
        <v>Dept. of Sales</v>
      </c>
      <c r="K166" s="1" t="str">
        <f>VLOOKUP(A166,[1]Sheet1!$A$2:$I$1141,9,0)</f>
        <v>Unit of Sales 2</v>
      </c>
      <c r="L166" s="1" t="str">
        <f>VLOOKUP(A166,[1]Sheet1!$A$2:$J$1141,10,0)</f>
        <v>Section of NTT</v>
      </c>
      <c r="M166" s="2">
        <v>31818</v>
      </c>
      <c r="N166" s="1" t="s">
        <v>29</v>
      </c>
      <c r="O166" s="1" t="s">
        <v>30</v>
      </c>
      <c r="P166" s="1" t="s">
        <v>965</v>
      </c>
      <c r="Q166" s="1" t="s">
        <v>966</v>
      </c>
      <c r="R166" s="1" t="s">
        <v>967</v>
      </c>
      <c r="S166" s="1" t="s">
        <v>961</v>
      </c>
      <c r="T166" s="14">
        <v>52291</v>
      </c>
      <c r="U166" s="1" t="s">
        <v>968</v>
      </c>
      <c r="V166" s="1" t="s">
        <v>36</v>
      </c>
      <c r="W166" s="3" t="str">
        <f t="shared" si="2"/>
        <v>39 tahun</v>
      </c>
      <c r="X166" s="1" t="s">
        <v>91</v>
      </c>
      <c r="Y166" s="1" t="s">
        <v>56</v>
      </c>
      <c r="Z166" s="2">
        <v>41275</v>
      </c>
      <c r="AA166" s="2">
        <v>41395</v>
      </c>
      <c r="AB166" s="2" t="s">
        <v>969</v>
      </c>
    </row>
    <row r="167" spans="1:28" x14ac:dyDescent="0.35">
      <c r="A167" s="12">
        <v>6122</v>
      </c>
      <c r="B167" s="12">
        <v>9012291</v>
      </c>
      <c r="C167" s="12" t="s">
        <v>103</v>
      </c>
      <c r="D167" s="12">
        <v>50070753</v>
      </c>
      <c r="E167" s="1" t="s">
        <v>970</v>
      </c>
      <c r="F167" s="1" t="str">
        <f>VLOOKUP(A167,[1]Sheet1!$A$2:$E$1141,5,0)</f>
        <v>NTT TSO</v>
      </c>
      <c r="G167" s="17" t="str">
        <f>VLOOKUP(A167,[1]Sheet1!$A$2:$F$1141,6,0)</f>
        <v>Supervisor</v>
      </c>
      <c r="H167" s="1" t="s">
        <v>957</v>
      </c>
      <c r="I167" s="1" t="s">
        <v>28</v>
      </c>
      <c r="J167" s="1" t="str">
        <f>VLOOKUP(A167,[1]Sheet1!$A$2:$H$1141,8,0)</f>
        <v>Dept. of Sales</v>
      </c>
      <c r="K167" s="1" t="str">
        <f>VLOOKUP(A167,[1]Sheet1!$A$2:$I$1141,9,0)</f>
        <v>Unit of Sales 2</v>
      </c>
      <c r="L167" s="1" t="str">
        <f>VLOOKUP(A167,[1]Sheet1!$A$2:$J$1141,10,0)</f>
        <v>Section of NTT</v>
      </c>
      <c r="M167" s="2">
        <v>33134</v>
      </c>
      <c r="N167" s="1" t="s">
        <v>29</v>
      </c>
      <c r="O167" s="1" t="s">
        <v>30</v>
      </c>
      <c r="P167" s="1" t="s">
        <v>971</v>
      </c>
      <c r="Q167" s="1" t="s">
        <v>966</v>
      </c>
      <c r="R167" s="1" t="s">
        <v>967</v>
      </c>
      <c r="S167" s="1" t="s">
        <v>961</v>
      </c>
      <c r="T167" s="14">
        <v>53601</v>
      </c>
      <c r="U167" s="1" t="s">
        <v>972</v>
      </c>
      <c r="V167" s="1" t="s">
        <v>36</v>
      </c>
      <c r="W167" s="3" t="str">
        <f t="shared" si="2"/>
        <v>35 tahun</v>
      </c>
      <c r="X167" s="1" t="s">
        <v>356</v>
      </c>
      <c r="Y167" s="1" t="s">
        <v>56</v>
      </c>
      <c r="Z167" s="2">
        <v>41275</v>
      </c>
      <c r="AA167" s="2">
        <v>41426</v>
      </c>
      <c r="AB167" s="2" t="s">
        <v>973</v>
      </c>
    </row>
    <row r="168" spans="1:28" x14ac:dyDescent="0.35">
      <c r="A168" s="12">
        <v>5242</v>
      </c>
      <c r="B168" s="12">
        <v>8008003</v>
      </c>
      <c r="C168" s="12" t="s">
        <v>25</v>
      </c>
      <c r="D168" s="12">
        <v>50068485</v>
      </c>
      <c r="E168" s="15" t="s">
        <v>974</v>
      </c>
      <c r="F168" s="1" t="str">
        <f>VLOOKUP(A168,[1]Sheet1!$A$2:$E$1141,5,0)</f>
        <v>OOTC</v>
      </c>
      <c r="G168" s="15" t="str">
        <f>VLOOKUP(A168,[1]Sheet1!$A$2:$F$1141,6,0)</f>
        <v>Senior Manager</v>
      </c>
      <c r="H168" s="1" t="s">
        <v>975</v>
      </c>
      <c r="I168" s="1" t="s">
        <v>28</v>
      </c>
      <c r="J168" s="1" t="str">
        <f>VLOOKUP(A168,[1]Sheet1!$A$2:$H$1141,8,0)</f>
        <v>Staff of Pres Dir - BU Non Cement</v>
      </c>
      <c r="K168" s="1" t="e">
        <f>VLOOKUP(A168,[1]Sheet1!$A$2:$I$1141,9,0)</f>
        <v>#REF!</v>
      </c>
      <c r="L168" s="1" t="e">
        <f>VLOOKUP(A168,[1]Sheet1!$A$2:$J$1141,10,0)</f>
        <v>#REF!</v>
      </c>
      <c r="M168" s="2">
        <v>29271</v>
      </c>
      <c r="N168" s="1" t="s">
        <v>29</v>
      </c>
      <c r="O168" s="1" t="s">
        <v>30</v>
      </c>
      <c r="P168" s="1" t="s">
        <v>976</v>
      </c>
      <c r="Q168" s="1" t="s">
        <v>977</v>
      </c>
      <c r="R168" s="1" t="s">
        <v>978</v>
      </c>
      <c r="S168" s="1" t="s">
        <v>979</v>
      </c>
      <c r="T168" s="14">
        <v>49735</v>
      </c>
      <c r="U168" s="1" t="s">
        <v>980</v>
      </c>
      <c r="V168" s="1" t="s">
        <v>36</v>
      </c>
      <c r="W168" s="3" t="str">
        <f t="shared" si="2"/>
        <v>46 tahun</v>
      </c>
      <c r="X168" s="1" t="s">
        <v>925</v>
      </c>
      <c r="Y168" s="1" t="s">
        <v>38</v>
      </c>
      <c r="Z168" s="2">
        <v>39814</v>
      </c>
      <c r="AA168" s="2">
        <v>39934</v>
      </c>
      <c r="AB168" s="2" t="s">
        <v>84</v>
      </c>
    </row>
    <row r="169" spans="1:28" x14ac:dyDescent="0.35">
      <c r="A169" s="12">
        <v>5040</v>
      </c>
      <c r="B169" s="12">
        <v>7495284</v>
      </c>
      <c r="C169" s="12" t="s">
        <v>50</v>
      </c>
      <c r="D169" s="12">
        <v>50045502</v>
      </c>
      <c r="E169" s="15" t="s">
        <v>981</v>
      </c>
      <c r="F169" s="1" t="str">
        <f>VLOOKUP(A169,[1]Sheet1!$A$2:$E$1141,5,0)</f>
        <v>OOTC</v>
      </c>
      <c r="G169" s="15" t="str">
        <f>VLOOKUP(A169,[1]Sheet1!$A$2:$F$1141,6,0)</f>
        <v>Senior Manager</v>
      </c>
      <c r="H169" s="1" t="s">
        <v>975</v>
      </c>
      <c r="I169" s="1" t="s">
        <v>28</v>
      </c>
      <c r="J169" s="1" t="str">
        <f>VLOOKUP(A169,[1]Sheet1!$A$2:$H$1141,8,0)</f>
        <v>Staff of Pres Dir - BU Non Cement</v>
      </c>
      <c r="K169" s="1" t="e">
        <f>VLOOKUP(A169,[1]Sheet1!$A$2:$I$1141,9,0)</f>
        <v>#REF!</v>
      </c>
      <c r="L169" s="1" t="e">
        <f>VLOOKUP(A169,[1]Sheet1!$A$2:$J$1141,10,0)</f>
        <v>#REF!</v>
      </c>
      <c r="M169" s="2">
        <v>27171</v>
      </c>
      <c r="N169" s="1" t="s">
        <v>59</v>
      </c>
      <c r="O169" s="1" t="s">
        <v>30</v>
      </c>
      <c r="P169" s="1" t="s">
        <v>982</v>
      </c>
      <c r="Q169" s="1" t="s">
        <v>983</v>
      </c>
      <c r="R169" s="1" t="s">
        <v>978</v>
      </c>
      <c r="S169" s="1" t="s">
        <v>979</v>
      </c>
      <c r="T169" s="14">
        <v>47635</v>
      </c>
      <c r="U169" s="1" t="s">
        <v>984</v>
      </c>
      <c r="V169" s="1" t="s">
        <v>36</v>
      </c>
      <c r="W169" s="3" t="str">
        <f t="shared" si="2"/>
        <v>52 tahun</v>
      </c>
      <c r="X169" s="1" t="s">
        <v>91</v>
      </c>
      <c r="Y169" s="1" t="s">
        <v>48</v>
      </c>
      <c r="Z169" s="2">
        <v>35034</v>
      </c>
      <c r="AA169" s="2">
        <v>35400</v>
      </c>
      <c r="AB169" s="2" t="s">
        <v>985</v>
      </c>
    </row>
    <row r="170" spans="1:28" x14ac:dyDescent="0.35">
      <c r="A170" s="12">
        <v>4966</v>
      </c>
      <c r="B170" s="12">
        <v>7398024</v>
      </c>
      <c r="C170" s="12" t="s">
        <v>986</v>
      </c>
      <c r="D170" s="12">
        <v>50067233</v>
      </c>
      <c r="E170" s="13" t="s">
        <v>987</v>
      </c>
      <c r="F170" s="1" t="str">
        <f>VLOOKUP(A170,[1]Sheet1!$A$2:$E$1141,5,0)</f>
        <v>OOTC (Press Dir of DPST)</v>
      </c>
      <c r="G170" s="13" t="str">
        <f>VLOOKUP(A170,[1]Sheet1!$A$2:$F$1141,6,0)</f>
        <v>General Manager</v>
      </c>
      <c r="H170" s="1" t="s">
        <v>988</v>
      </c>
      <c r="I170" s="1" t="s">
        <v>28</v>
      </c>
      <c r="J170" s="1" t="s">
        <v>989</v>
      </c>
      <c r="K170" s="1" t="str">
        <f>VLOOKUP(A170,[1]Sheet1!$A$2:$I$1141,9,0)</f>
        <v>Staff of Pres Dir (Dana Pensiun)</v>
      </c>
      <c r="L170" s="1" t="e">
        <f>VLOOKUP(A170,[1]Sheet1!$A$2:$J$1141,10,0)</f>
        <v>#REF!</v>
      </c>
      <c r="M170" s="2">
        <v>26919</v>
      </c>
      <c r="N170" s="1" t="s">
        <v>29</v>
      </c>
      <c r="O170" s="1" t="s">
        <v>30</v>
      </c>
      <c r="P170" s="1" t="s">
        <v>990</v>
      </c>
      <c r="Q170" s="1" t="s">
        <v>991</v>
      </c>
      <c r="R170" s="1" t="s">
        <v>989</v>
      </c>
      <c r="S170" s="1" t="s">
        <v>992</v>
      </c>
      <c r="T170" s="14">
        <v>47392</v>
      </c>
      <c r="U170" s="1" t="s">
        <v>993</v>
      </c>
      <c r="V170" s="1" t="s">
        <v>36</v>
      </c>
      <c r="W170" s="3" t="str">
        <f t="shared" si="2"/>
        <v>52 tahun</v>
      </c>
      <c r="X170" s="1" t="s">
        <v>994</v>
      </c>
      <c r="Y170" s="1" t="s">
        <v>38</v>
      </c>
      <c r="Z170" s="2">
        <v>35920</v>
      </c>
      <c r="AA170" s="2">
        <v>36220</v>
      </c>
      <c r="AB170" s="2" t="s">
        <v>995</v>
      </c>
    </row>
    <row r="171" spans="1:28" x14ac:dyDescent="0.35">
      <c r="A171" s="12">
        <v>4811</v>
      </c>
      <c r="B171" s="12">
        <v>7202182</v>
      </c>
      <c r="C171" s="12" t="s">
        <v>164</v>
      </c>
      <c r="D171" s="12">
        <v>50065998</v>
      </c>
      <c r="E171" s="16" t="s">
        <v>996</v>
      </c>
      <c r="F171" s="1" t="str">
        <f>VLOOKUP(A171,[1]Sheet1!$A$2:$E$1141,5,0)</f>
        <v>OOTC (Satff of DPST)</v>
      </c>
      <c r="G171" s="16" t="str">
        <f>VLOOKUP(A171,[1]Sheet1!$A$2:$F$1141,6,0)</f>
        <v>Manager</v>
      </c>
      <c r="H171" s="1" t="s">
        <v>988</v>
      </c>
      <c r="I171" s="1" t="s">
        <v>28</v>
      </c>
      <c r="J171" s="1" t="s">
        <v>989</v>
      </c>
      <c r="K171" s="1" t="str">
        <f>VLOOKUP(A171,[1]Sheet1!$A$2:$I$1141,9,0)</f>
        <v>Staff of Pres Dir (Dana Pensiun)</v>
      </c>
      <c r="L171" s="1" t="e">
        <f>VLOOKUP(A171,[1]Sheet1!$A$2:$J$1141,10,0)</f>
        <v>#REF!</v>
      </c>
      <c r="M171" s="2">
        <v>26383</v>
      </c>
      <c r="N171" s="1" t="s">
        <v>29</v>
      </c>
      <c r="O171" s="1" t="s">
        <v>30</v>
      </c>
      <c r="P171" s="1" t="s">
        <v>997</v>
      </c>
      <c r="Q171" s="1" t="s">
        <v>991</v>
      </c>
      <c r="R171" s="1" t="s">
        <v>989</v>
      </c>
      <c r="S171" s="1" t="s">
        <v>992</v>
      </c>
      <c r="T171" s="14">
        <v>46844</v>
      </c>
      <c r="U171" s="1" t="s">
        <v>998</v>
      </c>
      <c r="V171" s="1" t="s">
        <v>36</v>
      </c>
      <c r="W171" s="3" t="str">
        <f t="shared" si="2"/>
        <v>54 tahun</v>
      </c>
      <c r="X171" s="1" t="s">
        <v>37</v>
      </c>
      <c r="Y171" s="1" t="s">
        <v>48</v>
      </c>
      <c r="Z171" s="2">
        <v>37469</v>
      </c>
      <c r="AA171" s="2">
        <v>38718</v>
      </c>
      <c r="AB171" s="2" t="s">
        <v>999</v>
      </c>
    </row>
    <row r="172" spans="1:28" x14ac:dyDescent="0.35">
      <c r="A172" s="12">
        <v>5170</v>
      </c>
      <c r="B172" s="12">
        <v>7595295</v>
      </c>
      <c r="C172" s="12" t="s">
        <v>50</v>
      </c>
      <c r="D172" s="12">
        <v>50065628</v>
      </c>
      <c r="E172" s="16" t="s">
        <v>1000</v>
      </c>
      <c r="F172" s="1" t="str">
        <f>VLOOKUP(A172,[1]Sheet1!$A$2:$E$1141,5,0)</f>
        <v>OOTC (Staff of DPST)</v>
      </c>
      <c r="G172" s="16" t="str">
        <f>VLOOKUP(A172,[1]Sheet1!$A$2:$F$1141,6,0)</f>
        <v>Manager</v>
      </c>
      <c r="H172" s="1" t="s">
        <v>988</v>
      </c>
      <c r="I172" s="1" t="s">
        <v>28</v>
      </c>
      <c r="J172" s="1" t="s">
        <v>989</v>
      </c>
      <c r="K172" s="1" t="str">
        <f>VLOOKUP(A172,[1]Sheet1!$A$2:$I$1141,9,0)</f>
        <v>Staff of Pres Dir (Dana Pensiun)</v>
      </c>
      <c r="L172" s="1" t="e">
        <f>VLOOKUP(A172,[1]Sheet1!$A$2:$J$1141,10,0)</f>
        <v>#REF!</v>
      </c>
      <c r="M172" s="2">
        <v>27687</v>
      </c>
      <c r="N172" s="1" t="s">
        <v>29</v>
      </c>
      <c r="O172" s="1" t="s">
        <v>30</v>
      </c>
      <c r="P172" s="1" t="s">
        <v>997</v>
      </c>
      <c r="Q172" s="1" t="s">
        <v>991</v>
      </c>
      <c r="R172" s="1" t="s">
        <v>989</v>
      </c>
      <c r="S172" s="1" t="s">
        <v>992</v>
      </c>
      <c r="T172" s="14">
        <v>48153</v>
      </c>
      <c r="U172" s="1" t="s">
        <v>1001</v>
      </c>
      <c r="V172" s="1" t="s">
        <v>36</v>
      </c>
      <c r="W172" s="3" t="str">
        <f t="shared" si="2"/>
        <v>50 tahun</v>
      </c>
      <c r="X172" s="1" t="s">
        <v>361</v>
      </c>
      <c r="Y172" s="1" t="s">
        <v>48</v>
      </c>
      <c r="Z172" s="2">
        <v>35034</v>
      </c>
      <c r="AA172" s="2">
        <v>35400</v>
      </c>
      <c r="AB172" s="2" t="s">
        <v>1002</v>
      </c>
    </row>
    <row r="173" spans="1:28" x14ac:dyDescent="0.35">
      <c r="A173" s="12">
        <v>5069</v>
      </c>
      <c r="B173" s="12">
        <v>7495225</v>
      </c>
      <c r="C173" s="12" t="s">
        <v>50</v>
      </c>
      <c r="D173" s="12">
        <v>50065629</v>
      </c>
      <c r="E173" s="16" t="s">
        <v>1003</v>
      </c>
      <c r="F173" s="1" t="str">
        <f>VLOOKUP(A173,[1]Sheet1!$A$2:$E$1141,5,0)</f>
        <v>OOTC (Staff of DPST)</v>
      </c>
      <c r="G173" s="16" t="str">
        <f>VLOOKUP(A173,[1]Sheet1!$A$2:$F$1141,6,0)</f>
        <v>Manager</v>
      </c>
      <c r="H173" s="1" t="s">
        <v>988</v>
      </c>
      <c r="I173" s="1" t="s">
        <v>28</v>
      </c>
      <c r="J173" s="1" t="s">
        <v>989</v>
      </c>
      <c r="K173" s="1" t="str">
        <f>VLOOKUP(A173,[1]Sheet1!$A$2:$I$1141,9,0)</f>
        <v>Staff of Pres Dir (Dana Pensiun)</v>
      </c>
      <c r="L173" s="1" t="e">
        <f>VLOOKUP(A173,[1]Sheet1!$A$2:$J$1141,10,0)</f>
        <v>#REF!</v>
      </c>
      <c r="M173" s="2">
        <v>27245</v>
      </c>
      <c r="N173" s="1" t="s">
        <v>29</v>
      </c>
      <c r="O173" s="1" t="s">
        <v>30</v>
      </c>
      <c r="P173" s="1" t="s">
        <v>1004</v>
      </c>
      <c r="Q173" s="1" t="s">
        <v>991</v>
      </c>
      <c r="R173" s="1" t="s">
        <v>989</v>
      </c>
      <c r="S173" s="1" t="s">
        <v>992</v>
      </c>
      <c r="T173" s="14">
        <v>47727</v>
      </c>
      <c r="U173" s="1" t="s">
        <v>1005</v>
      </c>
      <c r="V173" s="1" t="s">
        <v>36</v>
      </c>
      <c r="W173" s="3" t="str">
        <f t="shared" si="2"/>
        <v>52 tahun</v>
      </c>
      <c r="X173" s="1" t="s">
        <v>55</v>
      </c>
      <c r="Y173" s="1" t="s">
        <v>48</v>
      </c>
      <c r="Z173" s="2">
        <v>35002</v>
      </c>
      <c r="AA173" s="2">
        <v>35370</v>
      </c>
      <c r="AB173" s="2" t="s">
        <v>84</v>
      </c>
    </row>
    <row r="174" spans="1:28" x14ac:dyDescent="0.35">
      <c r="A174" s="12">
        <v>5270</v>
      </c>
      <c r="B174" s="12">
        <v>8208023</v>
      </c>
      <c r="C174" s="12" t="s">
        <v>25</v>
      </c>
      <c r="D174" s="12">
        <v>50007165</v>
      </c>
      <c r="E174" s="15" t="s">
        <v>1006</v>
      </c>
      <c r="F174" s="1" t="str">
        <f>VLOOKUP(A174,[1]Sheet1!$A$2:$E$1141,5,0)</f>
        <v>OOTC (Dir of Investment DPST)</v>
      </c>
      <c r="G174" s="15" t="str">
        <f>VLOOKUP(A174,[1]Sheet1!$A$2:$F$1141,6,0)</f>
        <v>Senior Manager</v>
      </c>
      <c r="H174" s="1" t="s">
        <v>988</v>
      </c>
      <c r="I174" s="1" t="s">
        <v>28</v>
      </c>
      <c r="J174" s="1" t="s">
        <v>989</v>
      </c>
      <c r="K174" s="1" t="str">
        <f>VLOOKUP(A174,[1]Sheet1!$A$2:$I$1141,9,0)</f>
        <v>Staff of Pres Dir (Dana Pensiun)</v>
      </c>
      <c r="L174" s="1" t="e">
        <f>VLOOKUP(A174,[1]Sheet1!$A$2:$J$1141,10,0)</f>
        <v>#REF!</v>
      </c>
      <c r="M174" s="2">
        <v>30062</v>
      </c>
      <c r="N174" s="1" t="s">
        <v>59</v>
      </c>
      <c r="O174" s="1" t="s">
        <v>30</v>
      </c>
      <c r="P174" s="1" t="s">
        <v>1007</v>
      </c>
      <c r="Q174" s="1" t="s">
        <v>991</v>
      </c>
      <c r="R174" s="1" t="s">
        <v>989</v>
      </c>
      <c r="S174" s="1" t="s">
        <v>992</v>
      </c>
      <c r="T174" s="14">
        <v>50526</v>
      </c>
      <c r="U174" s="1" t="s">
        <v>1008</v>
      </c>
      <c r="V174" s="1" t="s">
        <v>36</v>
      </c>
      <c r="W174" s="3" t="str">
        <f t="shared" si="2"/>
        <v>44 tahun</v>
      </c>
      <c r="X174" s="1" t="s">
        <v>1009</v>
      </c>
      <c r="Y174" s="1" t="s">
        <v>48</v>
      </c>
      <c r="Z174" s="2">
        <v>39814</v>
      </c>
      <c r="AA174" s="2">
        <v>39934</v>
      </c>
      <c r="AB174" s="2" t="s">
        <v>84</v>
      </c>
    </row>
    <row r="175" spans="1:28" x14ac:dyDescent="0.35">
      <c r="A175" s="12">
        <v>5052</v>
      </c>
      <c r="B175" s="12">
        <v>7495285</v>
      </c>
      <c r="C175" s="12" t="s">
        <v>50</v>
      </c>
      <c r="D175" s="12">
        <v>50007166</v>
      </c>
      <c r="E175" s="1" t="s">
        <v>1010</v>
      </c>
      <c r="F175" s="1" t="str">
        <f>VLOOKUP(A175,[1]Sheet1!$A$2:$E$1141,5,0)</f>
        <v>OOTC (Staff of DPST)</v>
      </c>
      <c r="G175" s="17" t="str">
        <f>VLOOKUP(A175,[1]Sheet1!$A$2:$F$1141,6,0)</f>
        <v>Supervisor</v>
      </c>
      <c r="H175" s="1" t="s">
        <v>988</v>
      </c>
      <c r="I175" s="1" t="s">
        <v>28</v>
      </c>
      <c r="J175" s="1" t="s">
        <v>989</v>
      </c>
      <c r="K175" s="1" t="str">
        <f>VLOOKUP(A175,[1]Sheet1!$A$2:$I$1141,9,0)</f>
        <v>Staff of Pres Dir (Dana Pensiun)</v>
      </c>
      <c r="L175" s="1" t="e">
        <f>VLOOKUP(A175,[1]Sheet1!$A$2:$J$1141,10,0)</f>
        <v>#REF!</v>
      </c>
      <c r="M175" s="2">
        <v>27189</v>
      </c>
      <c r="N175" s="1" t="s">
        <v>59</v>
      </c>
      <c r="O175" s="1" t="s">
        <v>30</v>
      </c>
      <c r="P175" s="1" t="s">
        <v>1011</v>
      </c>
      <c r="Q175" s="1" t="s">
        <v>991</v>
      </c>
      <c r="R175" s="1" t="s">
        <v>989</v>
      </c>
      <c r="S175" s="1" t="s">
        <v>992</v>
      </c>
      <c r="T175" s="14">
        <v>47665</v>
      </c>
      <c r="U175" s="1" t="s">
        <v>1012</v>
      </c>
      <c r="V175" s="1" t="s">
        <v>36</v>
      </c>
      <c r="W175" s="3" t="str">
        <f t="shared" si="2"/>
        <v>52 tahun</v>
      </c>
      <c r="X175" s="1" t="s">
        <v>248</v>
      </c>
      <c r="Y175" s="1" t="s">
        <v>56</v>
      </c>
      <c r="Z175" s="2">
        <v>35034</v>
      </c>
      <c r="AA175" s="2">
        <v>35400</v>
      </c>
      <c r="AB175" s="2" t="s">
        <v>84</v>
      </c>
    </row>
    <row r="176" spans="1:28" x14ac:dyDescent="0.35">
      <c r="A176" s="12">
        <v>5028</v>
      </c>
      <c r="B176" s="12">
        <v>7495109</v>
      </c>
      <c r="C176" s="12" t="s">
        <v>50</v>
      </c>
      <c r="D176" s="12">
        <v>50065626</v>
      </c>
      <c r="E176" s="1" t="s">
        <v>1013</v>
      </c>
      <c r="F176" s="1" t="str">
        <f>VLOOKUP(A176,[1]Sheet1!$A$2:$E$1141,5,0)</f>
        <v>OOTC (Staff of DPST)</v>
      </c>
      <c r="G176" s="17" t="str">
        <f>VLOOKUP(A176,[1]Sheet1!$A$2:$F$1141,6,0)</f>
        <v>Supervisor</v>
      </c>
      <c r="H176" s="1" t="s">
        <v>988</v>
      </c>
      <c r="I176" s="1" t="s">
        <v>28</v>
      </c>
      <c r="J176" s="1" t="s">
        <v>989</v>
      </c>
      <c r="K176" s="1" t="str">
        <f>VLOOKUP(A176,[1]Sheet1!$A$2:$I$1141,9,0)</f>
        <v>Staff of Pres Dir (Dana Pensiun)</v>
      </c>
      <c r="L176" s="1" t="e">
        <f>VLOOKUP(A176,[1]Sheet1!$A$2:$J$1141,10,0)</f>
        <v>#REF!</v>
      </c>
      <c r="M176" s="2">
        <v>27146</v>
      </c>
      <c r="N176" s="1" t="s">
        <v>29</v>
      </c>
      <c r="O176" s="1" t="s">
        <v>30</v>
      </c>
      <c r="P176" s="1" t="s">
        <v>1014</v>
      </c>
      <c r="Q176" s="1" t="s">
        <v>991</v>
      </c>
      <c r="R176" s="1" t="s">
        <v>989</v>
      </c>
      <c r="S176" s="1" t="s">
        <v>992</v>
      </c>
      <c r="T176" s="14">
        <v>47604</v>
      </c>
      <c r="U176" s="1" t="s">
        <v>1015</v>
      </c>
      <c r="V176" s="1" t="s">
        <v>186</v>
      </c>
      <c r="W176" s="3" t="str">
        <f t="shared" si="2"/>
        <v>52 tahun</v>
      </c>
      <c r="X176" s="1" t="s">
        <v>580</v>
      </c>
      <c r="Y176" s="1" t="s">
        <v>38</v>
      </c>
      <c r="Z176" s="2">
        <v>34932</v>
      </c>
      <c r="AA176" s="2">
        <v>35309</v>
      </c>
      <c r="AB176" s="2" t="s">
        <v>1016</v>
      </c>
    </row>
    <row r="177" spans="1:28" x14ac:dyDescent="0.35">
      <c r="A177" s="12">
        <v>5342</v>
      </c>
      <c r="B177" s="12">
        <v>8508049</v>
      </c>
      <c r="C177" s="12" t="s">
        <v>25</v>
      </c>
      <c r="D177" s="12">
        <v>50071166</v>
      </c>
      <c r="E177" s="1" t="s">
        <v>1017</v>
      </c>
      <c r="F177" s="1" t="str">
        <f>VLOOKUP(A177,[1]Sheet1!$A$2:$E$1141,5,0)</f>
        <v>OOTC (Staff of DPST)</v>
      </c>
      <c r="G177" s="17" t="str">
        <f>VLOOKUP(A177,[1]Sheet1!$A$2:$F$1141,6,0)</f>
        <v>Supervisor</v>
      </c>
      <c r="H177" s="1" t="s">
        <v>988</v>
      </c>
      <c r="I177" s="1" t="s">
        <v>28</v>
      </c>
      <c r="J177" s="1" t="s">
        <v>989</v>
      </c>
      <c r="K177" s="1" t="str">
        <f>VLOOKUP(A177,[1]Sheet1!$A$2:$I$1141,9,0)</f>
        <v>Staff of Pres Dir (Dana Pensiun)</v>
      </c>
      <c r="L177" s="1" t="e">
        <f>VLOOKUP(A177,[1]Sheet1!$A$2:$J$1141,10,0)</f>
        <v>#REF!</v>
      </c>
      <c r="M177" s="2">
        <v>31216</v>
      </c>
      <c r="N177" s="1" t="s">
        <v>59</v>
      </c>
      <c r="O177" s="1" t="s">
        <v>30</v>
      </c>
      <c r="P177" s="1" t="s">
        <v>1018</v>
      </c>
      <c r="Q177" s="1" t="s">
        <v>991</v>
      </c>
      <c r="R177" s="1" t="s">
        <v>989</v>
      </c>
      <c r="S177" s="1" t="s">
        <v>992</v>
      </c>
      <c r="T177" s="14">
        <v>51683</v>
      </c>
      <c r="U177" s="1" t="s">
        <v>1019</v>
      </c>
      <c r="V177" s="1" t="s">
        <v>36</v>
      </c>
      <c r="W177" s="3" t="str">
        <f t="shared" si="2"/>
        <v>41 tahun</v>
      </c>
      <c r="X177" s="1" t="s">
        <v>580</v>
      </c>
      <c r="Y177" s="1" t="s">
        <v>38</v>
      </c>
      <c r="Z177" s="2">
        <v>39814</v>
      </c>
      <c r="AA177" s="2">
        <v>39934</v>
      </c>
      <c r="AB177" s="2" t="s">
        <v>84</v>
      </c>
    </row>
    <row r="178" spans="1:28" x14ac:dyDescent="0.35">
      <c r="A178" s="12">
        <v>5039</v>
      </c>
      <c r="B178" s="12">
        <v>7495283</v>
      </c>
      <c r="C178" s="12" t="s">
        <v>50</v>
      </c>
      <c r="D178" s="12">
        <v>50007169</v>
      </c>
      <c r="E178" s="15" t="s">
        <v>1020</v>
      </c>
      <c r="F178" s="1" t="str">
        <f>VLOOKUP(A178,[1]Sheet1!$A$2:$E$1141,5,0)</f>
        <v>OOTC (Pres Dir of Kopkar PTST)</v>
      </c>
      <c r="G178" s="15" t="str">
        <f>VLOOKUP(A178,[1]Sheet1!$A$2:$F$1141,6,0)</f>
        <v>Senior Manager</v>
      </c>
      <c r="H178" s="1" t="s">
        <v>1021</v>
      </c>
      <c r="I178" s="1" t="s">
        <v>28</v>
      </c>
      <c r="J178" s="1" t="s">
        <v>1022</v>
      </c>
      <c r="K178" s="1" t="str">
        <f>VLOOKUP(A178,[1]Sheet1!$A$2:$I$1141,9,0)</f>
        <v>Staff of Pres Dir (Kopkar)</v>
      </c>
      <c r="L178" s="1" t="e">
        <f>VLOOKUP(A178,[1]Sheet1!$A$2:$J$1141,10,0)</f>
        <v>#REF!</v>
      </c>
      <c r="M178" s="2">
        <v>27151</v>
      </c>
      <c r="N178" s="1" t="s">
        <v>29</v>
      </c>
      <c r="O178" s="1" t="s">
        <v>30</v>
      </c>
      <c r="P178" s="1" t="s">
        <v>1023</v>
      </c>
      <c r="Q178" s="1" t="s">
        <v>1024</v>
      </c>
      <c r="R178" s="1" t="s">
        <v>1022</v>
      </c>
      <c r="S178" s="1" t="s">
        <v>1025</v>
      </c>
      <c r="T178" s="14">
        <v>47635</v>
      </c>
      <c r="U178" s="1" t="s">
        <v>1026</v>
      </c>
      <c r="V178" s="1" t="s">
        <v>36</v>
      </c>
      <c r="W178" s="3" t="str">
        <f t="shared" si="2"/>
        <v>52 tahun</v>
      </c>
      <c r="X178" s="1" t="s">
        <v>356</v>
      </c>
      <c r="Y178" s="1" t="s">
        <v>48</v>
      </c>
      <c r="Z178" s="2">
        <v>35034</v>
      </c>
      <c r="AA178" s="2">
        <v>35400</v>
      </c>
      <c r="AB178" s="2" t="s">
        <v>1027</v>
      </c>
    </row>
    <row r="179" spans="1:28" x14ac:dyDescent="0.35">
      <c r="A179" s="12">
        <v>5145</v>
      </c>
      <c r="B179" s="12">
        <v>7595292</v>
      </c>
      <c r="C179" s="12" t="s">
        <v>50</v>
      </c>
      <c r="D179" s="12">
        <v>50064189</v>
      </c>
      <c r="E179" s="15" t="s">
        <v>1028</v>
      </c>
      <c r="F179" s="1" t="str">
        <f>VLOOKUP(A179,[1]Sheet1!$A$2:$E$1141,5,0)</f>
        <v>OOTC (Dir of Finance PT Pelsindo)</v>
      </c>
      <c r="G179" s="15" t="str">
        <f>VLOOKUP(A179,[1]Sheet1!$A$2:$F$1141,6,0)</f>
        <v>Senior Manager</v>
      </c>
      <c r="H179" s="1" t="s">
        <v>1029</v>
      </c>
      <c r="I179" s="1" t="s">
        <v>28</v>
      </c>
      <c r="J179" s="1" t="s">
        <v>1030</v>
      </c>
      <c r="K179" s="1" t="str">
        <f>VLOOKUP(A179,[1]Sheet1!$A$2:$I$1141,9,0)</f>
        <v>Staff of Pres Dir ( Pelsindo )</v>
      </c>
      <c r="L179" s="1" t="e">
        <f>VLOOKUP(A179,[1]Sheet1!$A$2:$J$1141,10,0)</f>
        <v>#REF!</v>
      </c>
      <c r="M179" s="2">
        <v>27564</v>
      </c>
      <c r="N179" s="1" t="s">
        <v>59</v>
      </c>
      <c r="O179" s="1" t="s">
        <v>30</v>
      </c>
      <c r="P179" s="1" t="s">
        <v>1031</v>
      </c>
      <c r="Q179" s="1" t="s">
        <v>43</v>
      </c>
      <c r="R179" s="1" t="s">
        <v>1030</v>
      </c>
      <c r="S179" s="1" t="s">
        <v>1032</v>
      </c>
      <c r="T179" s="14">
        <v>48030</v>
      </c>
      <c r="U179" s="1" t="s">
        <v>1033</v>
      </c>
      <c r="V179" s="1" t="s">
        <v>36</v>
      </c>
      <c r="W179" s="3" t="str">
        <f t="shared" si="2"/>
        <v>51 tahun</v>
      </c>
      <c r="X179" s="1" t="s">
        <v>55</v>
      </c>
      <c r="Y179" s="1" t="s">
        <v>48</v>
      </c>
      <c r="Z179" s="2">
        <v>35034</v>
      </c>
      <c r="AA179" s="2">
        <v>35400</v>
      </c>
      <c r="AB179" s="2" t="s">
        <v>84</v>
      </c>
    </row>
    <row r="180" spans="1:28" x14ac:dyDescent="0.35">
      <c r="A180" s="12">
        <v>5047</v>
      </c>
      <c r="B180" s="12">
        <v>7495034</v>
      </c>
      <c r="C180" s="12" t="s">
        <v>50</v>
      </c>
      <c r="D180" s="12">
        <v>50067127</v>
      </c>
      <c r="E180" s="15" t="s">
        <v>1034</v>
      </c>
      <c r="F180" s="1" t="str">
        <f>VLOOKUP(A180,[1]Sheet1!$A$2:$E$1141,5,0)</f>
        <v>OOTC (Pres Dir of PT BR)</v>
      </c>
      <c r="G180" s="15" t="str">
        <f>VLOOKUP(A180,[1]Sheet1!$A$2:$F$1141,6,0)</f>
        <v>Senior Manager</v>
      </c>
      <c r="H180" s="1" t="s">
        <v>1035</v>
      </c>
      <c r="I180" s="1" t="s">
        <v>28</v>
      </c>
      <c r="J180" s="1" t="s">
        <v>1036</v>
      </c>
      <c r="K180" s="1" t="str">
        <f>VLOOKUP(A180,[1]Sheet1!$A$2:$I$1141,9,0)</f>
        <v>Staff of Pres Dir (BKS Raya)</v>
      </c>
      <c r="L180" s="1" t="e">
        <f>VLOOKUP(A180,[1]Sheet1!$A$2:$J$1141,10,0)</f>
        <v>#REF!</v>
      </c>
      <c r="M180" s="2">
        <v>27192</v>
      </c>
      <c r="N180" s="1" t="s">
        <v>29</v>
      </c>
      <c r="O180" s="1" t="s">
        <v>30</v>
      </c>
      <c r="P180" s="1" t="s">
        <v>1037</v>
      </c>
      <c r="Q180" s="1" t="s">
        <v>43</v>
      </c>
      <c r="R180" s="1" t="s">
        <v>1036</v>
      </c>
      <c r="S180" s="1" t="s">
        <v>1038</v>
      </c>
      <c r="T180" s="14">
        <v>47665</v>
      </c>
      <c r="U180" s="1" t="s">
        <v>1039</v>
      </c>
      <c r="V180" s="1" t="s">
        <v>36</v>
      </c>
      <c r="W180" s="3" t="str">
        <f t="shared" si="2"/>
        <v>52 tahun</v>
      </c>
      <c r="X180" s="1" t="s">
        <v>906</v>
      </c>
      <c r="Y180" s="1" t="s">
        <v>48</v>
      </c>
      <c r="Z180" s="2">
        <v>34897</v>
      </c>
      <c r="AA180" s="2">
        <v>35278</v>
      </c>
      <c r="AB180" s="2" t="s">
        <v>1040</v>
      </c>
    </row>
    <row r="181" spans="1:28" x14ac:dyDescent="0.35">
      <c r="A181" s="12">
        <v>5277</v>
      </c>
      <c r="B181" s="12">
        <v>8208028</v>
      </c>
      <c r="C181" s="12" t="s">
        <v>25</v>
      </c>
      <c r="D181" s="12">
        <v>50007368</v>
      </c>
      <c r="E181" s="15" t="s">
        <v>1041</v>
      </c>
      <c r="F181" s="1" t="str">
        <f>VLOOKUP(A181,[1]Sheet1!$A$2:$E$1141,5,0)</f>
        <v>OOTC (Dir. of Operation PT BR)</v>
      </c>
      <c r="G181" s="15" t="str">
        <f>VLOOKUP(A181,[1]Sheet1!$A$2:$F$1141,6,0)</f>
        <v>Senior Manager</v>
      </c>
      <c r="H181" s="1" t="s">
        <v>1035</v>
      </c>
      <c r="I181" s="1" t="s">
        <v>28</v>
      </c>
      <c r="J181" s="1" t="s">
        <v>1036</v>
      </c>
      <c r="K181" s="1" t="str">
        <f>VLOOKUP(A181,[1]Sheet1!$A$2:$I$1141,9,0)</f>
        <v>Staff of Pres Dir (BKS Raya)</v>
      </c>
      <c r="L181" s="1" t="e">
        <f>VLOOKUP(A181,[1]Sheet1!$A$2:$J$1141,10,0)</f>
        <v>#REF!</v>
      </c>
      <c r="M181" s="2">
        <v>30261</v>
      </c>
      <c r="N181" s="1" t="s">
        <v>29</v>
      </c>
      <c r="O181" s="1" t="s">
        <v>30</v>
      </c>
      <c r="P181" s="1" t="s">
        <v>1042</v>
      </c>
      <c r="Q181" s="1" t="s">
        <v>53</v>
      </c>
      <c r="R181" s="1" t="s">
        <v>1036</v>
      </c>
      <c r="S181" s="1" t="s">
        <v>1038</v>
      </c>
      <c r="T181" s="14">
        <v>50740</v>
      </c>
      <c r="U181" s="1" t="s">
        <v>1043</v>
      </c>
      <c r="V181" s="1" t="s">
        <v>36</v>
      </c>
      <c r="W181" s="3" t="str">
        <f t="shared" si="2"/>
        <v>43 tahun</v>
      </c>
      <c r="X181" s="1" t="s">
        <v>1044</v>
      </c>
      <c r="Y181" s="1" t="s">
        <v>38</v>
      </c>
      <c r="Z181" s="2">
        <v>39814</v>
      </c>
      <c r="AA181" s="2">
        <v>39934</v>
      </c>
      <c r="AB181" s="2" t="s">
        <v>1045</v>
      </c>
    </row>
    <row r="182" spans="1:28" x14ac:dyDescent="0.35">
      <c r="A182" s="12">
        <v>5100</v>
      </c>
      <c r="B182" s="12">
        <v>7495290</v>
      </c>
      <c r="C182" s="12" t="s">
        <v>50</v>
      </c>
      <c r="D182" s="12">
        <v>50008536</v>
      </c>
      <c r="E182" s="15" t="s">
        <v>1046</v>
      </c>
      <c r="F182" s="1" t="str">
        <f>VLOOKUP(A182,[1]Sheet1!$A$2:$E$1141,5,0)</f>
        <v>OOTC (Pres Dir of PT Topabiring Trans)</v>
      </c>
      <c r="G182" s="15" t="str">
        <f>VLOOKUP(A182,[1]Sheet1!$A$2:$F$1141,6,0)</f>
        <v>Senior Manager</v>
      </c>
      <c r="H182" s="1" t="s">
        <v>1047</v>
      </c>
      <c r="I182" s="1" t="s">
        <v>28</v>
      </c>
      <c r="J182" s="1" t="s">
        <v>1048</v>
      </c>
      <c r="K182" s="1" t="str">
        <f>VLOOKUP(A182,[1]Sheet1!$A$2:$I$1141,9,0)</f>
        <v>Staff of Pres Dir (Topabiring)</v>
      </c>
      <c r="L182" s="1" t="e">
        <f>VLOOKUP(A182,[1]Sheet1!$A$2:$J$1141,10,0)</f>
        <v>#REF!</v>
      </c>
      <c r="M182" s="2">
        <v>27394</v>
      </c>
      <c r="N182" s="1" t="s">
        <v>29</v>
      </c>
      <c r="O182" s="1" t="s">
        <v>30</v>
      </c>
      <c r="P182" s="1" t="s">
        <v>1049</v>
      </c>
      <c r="Q182" s="1" t="s">
        <v>1050</v>
      </c>
      <c r="R182" s="1" t="s">
        <v>1048</v>
      </c>
      <c r="S182" s="1" t="s">
        <v>1051</v>
      </c>
      <c r="T182" s="14">
        <v>47849</v>
      </c>
      <c r="U182" s="1" t="s">
        <v>1052</v>
      </c>
      <c r="V182" s="1" t="s">
        <v>36</v>
      </c>
      <c r="W182" s="3" t="str">
        <f t="shared" si="2"/>
        <v>51 tahun</v>
      </c>
      <c r="X182" s="1" t="s">
        <v>101</v>
      </c>
      <c r="Y182" s="1" t="s">
        <v>48</v>
      </c>
      <c r="Z182" s="2">
        <v>35034</v>
      </c>
      <c r="AA182" s="2">
        <v>35400</v>
      </c>
      <c r="AB182" s="2" t="s">
        <v>84</v>
      </c>
    </row>
    <row r="183" spans="1:28" x14ac:dyDescent="0.35">
      <c r="A183" s="12">
        <v>5361</v>
      </c>
      <c r="B183" s="12">
        <v>8510036</v>
      </c>
      <c r="C183" s="12" t="s">
        <v>139</v>
      </c>
      <c r="D183" s="12">
        <v>50023634</v>
      </c>
      <c r="E183" s="15" t="s">
        <v>1053</v>
      </c>
      <c r="F183" s="1" t="str">
        <f>VLOOKUP(A183,[1]Sheet1!$A$2:$E$1141,5,0)</f>
        <v>OOTC (Dir of Technical PT Topa. Trans)</v>
      </c>
      <c r="G183" s="15" t="str">
        <f>VLOOKUP(A183,[1]Sheet1!$A$2:$F$1141,6,0)</f>
        <v>Senior Manager</v>
      </c>
      <c r="H183" s="1" t="s">
        <v>1047</v>
      </c>
      <c r="I183" s="1" t="s">
        <v>28</v>
      </c>
      <c r="J183" s="1" t="s">
        <v>1048</v>
      </c>
      <c r="K183" s="1" t="str">
        <f>VLOOKUP(A183,[1]Sheet1!$A$2:$I$1141,9,0)</f>
        <v>Staff of Pres Dir (Topabiring)</v>
      </c>
      <c r="L183" s="1" t="e">
        <f>VLOOKUP(A183,[1]Sheet1!$A$2:$J$1141,10,0)</f>
        <v>#REF!</v>
      </c>
      <c r="M183" s="2">
        <v>31359</v>
      </c>
      <c r="N183" s="1" t="s">
        <v>29</v>
      </c>
      <c r="O183" s="1" t="s">
        <v>30</v>
      </c>
      <c r="P183" s="1" t="s">
        <v>1054</v>
      </c>
      <c r="Q183" s="1" t="s">
        <v>1050</v>
      </c>
      <c r="R183" s="1" t="s">
        <v>1048</v>
      </c>
      <c r="S183" s="1" t="s">
        <v>1051</v>
      </c>
      <c r="T183" s="14">
        <v>51836</v>
      </c>
      <c r="U183" s="1" t="s">
        <v>1055</v>
      </c>
      <c r="V183" s="1" t="s">
        <v>36</v>
      </c>
      <c r="W183" s="3" t="str">
        <f t="shared" si="2"/>
        <v>40 tahun</v>
      </c>
      <c r="X183" s="1" t="s">
        <v>1056</v>
      </c>
      <c r="Y183" s="1" t="s">
        <v>38</v>
      </c>
      <c r="Z183" s="2">
        <v>40544</v>
      </c>
      <c r="AA183" s="2">
        <v>40634</v>
      </c>
      <c r="AB183" s="2" t="s">
        <v>1057</v>
      </c>
    </row>
    <row r="184" spans="1:28" x14ac:dyDescent="0.35">
      <c r="A184" s="12">
        <v>5380</v>
      </c>
      <c r="B184" s="12">
        <v>8610048</v>
      </c>
      <c r="C184" s="12" t="s">
        <v>139</v>
      </c>
      <c r="D184" s="12">
        <v>50055753</v>
      </c>
      <c r="E184" s="15" t="s">
        <v>1058</v>
      </c>
      <c r="F184" s="1" t="str">
        <f>VLOOKUP(A184,[1]Sheet1!$A$2:$E$1141,5,0)</f>
        <v>OOTC (Dir of Finance PT BR)</v>
      </c>
      <c r="G184" s="15" t="str">
        <f>VLOOKUP(A184,[1]Sheet1!$A$2:$F$1141,6,0)</f>
        <v>Senior Manager</v>
      </c>
      <c r="H184" s="1" t="s">
        <v>1035</v>
      </c>
      <c r="I184" s="1" t="s">
        <v>28</v>
      </c>
      <c r="J184" s="1" t="s">
        <v>1036</v>
      </c>
      <c r="K184" s="1" t="str">
        <f>VLOOKUP(A184,[1]Sheet1!$A$2:$I$1141,9,0)</f>
        <v>Staff of Pres Dir (BKS Raya)</v>
      </c>
      <c r="L184" s="1" t="e">
        <f>VLOOKUP(A184,[1]Sheet1!$A$2:$J$1141,10,0)</f>
        <v>#REF!</v>
      </c>
      <c r="M184" s="2">
        <v>31722</v>
      </c>
      <c r="N184" s="1" t="s">
        <v>59</v>
      </c>
      <c r="O184" s="1" t="s">
        <v>30</v>
      </c>
      <c r="P184" s="1" t="s">
        <v>1054</v>
      </c>
      <c r="Q184" s="1" t="s">
        <v>1050</v>
      </c>
      <c r="R184" s="1" t="s">
        <v>1036</v>
      </c>
      <c r="S184" s="1" t="s">
        <v>1038</v>
      </c>
      <c r="T184" s="14">
        <v>52201</v>
      </c>
      <c r="U184" s="1" t="s">
        <v>1059</v>
      </c>
      <c r="V184" s="1" t="s">
        <v>36</v>
      </c>
      <c r="W184" s="3" t="str">
        <f t="shared" si="2"/>
        <v>39 tahun</v>
      </c>
      <c r="X184" s="1" t="s">
        <v>55</v>
      </c>
      <c r="Y184" s="1" t="s">
        <v>48</v>
      </c>
      <c r="Z184" s="2">
        <v>40544</v>
      </c>
      <c r="AA184" s="2">
        <v>40664</v>
      </c>
      <c r="AB184" s="2" t="s">
        <v>1060</v>
      </c>
    </row>
    <row r="185" spans="1:28" x14ac:dyDescent="0.35">
      <c r="A185" s="12">
        <v>5275</v>
      </c>
      <c r="B185" s="12">
        <v>8208027</v>
      </c>
      <c r="C185" s="12" t="s">
        <v>25</v>
      </c>
      <c r="D185" s="12">
        <v>50067126</v>
      </c>
      <c r="E185" s="15" t="s">
        <v>1061</v>
      </c>
      <c r="F185" s="1" t="str">
        <f>VLOOKUP(A185,[1]Sheet1!$A$2:$E$1141,5,0)</f>
        <v>OOTC (Press Dir of PT PKM)</v>
      </c>
      <c r="G185" s="15" t="str">
        <f>VLOOKUP(A185,[1]Sheet1!$A$2:$F$1141,6,0)</f>
        <v>Senior Manager</v>
      </c>
      <c r="H185" s="1" t="s">
        <v>1062</v>
      </c>
      <c r="I185" s="1" t="s">
        <v>28</v>
      </c>
      <c r="J185" s="1" t="s">
        <v>1063</v>
      </c>
      <c r="K185" s="1" t="str">
        <f>VLOOKUP(A185,[1]Sheet1!$A$2:$I$1141,9,0)</f>
        <v>Staff of Pres Dir (PKM)</v>
      </c>
      <c r="L185" s="1" t="e">
        <f>VLOOKUP(A185,[1]Sheet1!$A$2:$J$1141,10,0)</f>
        <v>#REF!</v>
      </c>
      <c r="M185" s="2">
        <v>30240</v>
      </c>
      <c r="N185" s="1" t="s">
        <v>29</v>
      </c>
      <c r="O185" s="1" t="s">
        <v>30</v>
      </c>
      <c r="P185" s="1" t="s">
        <v>1064</v>
      </c>
      <c r="Q185" s="1" t="s">
        <v>1065</v>
      </c>
      <c r="R185" s="1" t="s">
        <v>1063</v>
      </c>
      <c r="S185" s="1" t="s">
        <v>1066</v>
      </c>
      <c r="T185" s="14">
        <v>50710</v>
      </c>
      <c r="U185" s="1" t="s">
        <v>1067</v>
      </c>
      <c r="V185" s="1" t="s">
        <v>36</v>
      </c>
      <c r="W185" s="3" t="str">
        <f t="shared" si="2"/>
        <v>43 tahun</v>
      </c>
      <c r="X185" s="1" t="s">
        <v>1068</v>
      </c>
      <c r="Y185" s="1" t="s">
        <v>48</v>
      </c>
      <c r="Z185" s="2">
        <v>39814</v>
      </c>
      <c r="AA185" s="2">
        <v>39965</v>
      </c>
      <c r="AB185" s="2" t="s">
        <v>1069</v>
      </c>
    </row>
    <row r="186" spans="1:28" x14ac:dyDescent="0.35">
      <c r="A186" s="12">
        <v>5036</v>
      </c>
      <c r="B186" s="12">
        <v>7495159</v>
      </c>
      <c r="C186" s="12" t="s">
        <v>50</v>
      </c>
      <c r="D186" s="12">
        <v>50069899</v>
      </c>
      <c r="E186" s="16" t="s">
        <v>1070</v>
      </c>
      <c r="F186" s="1" t="str">
        <f>VLOOKUP(A186,[1]Sheet1!$A$2:$E$1141,5,0)</f>
        <v>OOTC (Dir of Technical PT PKM)</v>
      </c>
      <c r="G186" s="16" t="str">
        <f>VLOOKUP(A186,[1]Sheet1!$A$2:$F$1141,6,0)</f>
        <v>Manager</v>
      </c>
      <c r="H186" s="1" t="s">
        <v>1062</v>
      </c>
      <c r="I186" s="1" t="s">
        <v>28</v>
      </c>
      <c r="J186" s="1" t="s">
        <v>1063</v>
      </c>
      <c r="K186" s="1" t="str">
        <f>VLOOKUP(A186,[1]Sheet1!$A$2:$I$1141,9,0)</f>
        <v>Staff of Pres Dir (PKM)</v>
      </c>
      <c r="L186" s="1" t="e">
        <f>VLOOKUP(A186,[1]Sheet1!$A$2:$J$1141,10,0)</f>
        <v>#REF!</v>
      </c>
      <c r="M186" s="2">
        <v>27170</v>
      </c>
      <c r="N186" s="1" t="s">
        <v>29</v>
      </c>
      <c r="O186" s="1" t="s">
        <v>30</v>
      </c>
      <c r="P186" s="1" t="s">
        <v>1071</v>
      </c>
      <c r="Q186" s="1" t="s">
        <v>1065</v>
      </c>
      <c r="R186" s="1" t="s">
        <v>1063</v>
      </c>
      <c r="S186" s="1" t="s">
        <v>1066</v>
      </c>
      <c r="T186" s="14">
        <v>47635</v>
      </c>
      <c r="U186" s="1" t="s">
        <v>1072</v>
      </c>
      <c r="V186" s="1" t="s">
        <v>36</v>
      </c>
      <c r="W186" s="3" t="str">
        <f t="shared" si="2"/>
        <v>52 tahun</v>
      </c>
      <c r="X186" s="1" t="s">
        <v>91</v>
      </c>
      <c r="Y186" s="1" t="s">
        <v>48</v>
      </c>
      <c r="Z186" s="2">
        <v>34943</v>
      </c>
      <c r="AA186" s="2">
        <v>35490</v>
      </c>
      <c r="AB186" s="2" t="s">
        <v>1073</v>
      </c>
    </row>
    <row r="187" spans="1:28" x14ac:dyDescent="0.35">
      <c r="A187" s="12">
        <v>5420</v>
      </c>
      <c r="B187" s="12">
        <v>8810063</v>
      </c>
      <c r="C187" s="12" t="s">
        <v>139</v>
      </c>
      <c r="D187" s="12">
        <v>50069925</v>
      </c>
      <c r="E187" s="16" t="s">
        <v>1074</v>
      </c>
      <c r="F187" s="1" t="str">
        <f>VLOOKUP(A187,[1]Sheet1!$A$2:$E$1141,5,0)</f>
        <v>OOTC (Dir of Finance PT PKM)</v>
      </c>
      <c r="G187" s="16" t="str">
        <f>VLOOKUP(A187,[1]Sheet1!$A$2:$F$1141,6,0)</f>
        <v>Manager</v>
      </c>
      <c r="H187" s="1" t="s">
        <v>1062</v>
      </c>
      <c r="I187" s="1" t="s">
        <v>28</v>
      </c>
      <c r="J187" s="1" t="s">
        <v>1063</v>
      </c>
      <c r="K187" s="1" t="str">
        <f>VLOOKUP(A187,[1]Sheet1!$A$2:$I$1141,9,0)</f>
        <v>Staff of Pres Dir (PKM)</v>
      </c>
      <c r="L187" s="1" t="e">
        <f>VLOOKUP(A187,[1]Sheet1!$A$2:$J$1141,10,0)</f>
        <v>#REF!</v>
      </c>
      <c r="M187" s="2">
        <v>32423</v>
      </c>
      <c r="N187" s="1" t="s">
        <v>29</v>
      </c>
      <c r="O187" s="1" t="s">
        <v>30</v>
      </c>
      <c r="P187" s="1" t="s">
        <v>1075</v>
      </c>
      <c r="Q187" s="1" t="s">
        <v>1065</v>
      </c>
      <c r="R187" s="1" t="s">
        <v>1063</v>
      </c>
      <c r="S187" s="1" t="s">
        <v>1066</v>
      </c>
      <c r="T187" s="14">
        <v>52902</v>
      </c>
      <c r="U187" s="1" t="s">
        <v>1076</v>
      </c>
      <c r="V187" s="1" t="s">
        <v>36</v>
      </c>
      <c r="W187" s="3" t="str">
        <f t="shared" si="2"/>
        <v>37 tahun</v>
      </c>
      <c r="X187" s="1" t="s">
        <v>1077</v>
      </c>
      <c r="Y187" s="1" t="s">
        <v>48</v>
      </c>
      <c r="Z187" s="2">
        <v>40544</v>
      </c>
      <c r="AA187" s="2">
        <v>40664</v>
      </c>
      <c r="AB187" s="2" t="s">
        <v>1078</v>
      </c>
    </row>
    <row r="188" spans="1:28" x14ac:dyDescent="0.35">
      <c r="A188" s="12">
        <v>5265</v>
      </c>
      <c r="B188" s="12">
        <v>8108017</v>
      </c>
      <c r="C188" s="12" t="s">
        <v>25</v>
      </c>
      <c r="D188" s="12">
        <v>50009055</v>
      </c>
      <c r="E188" s="13" t="s">
        <v>1079</v>
      </c>
      <c r="F188" s="1" t="str">
        <f>VLOOKUP(A188,[1]Sheet1!$A$2:$E$1141,5,0)</f>
        <v>OOTC (Pres Dir of PT Ton Lines)</v>
      </c>
      <c r="G188" s="13" t="str">
        <f>VLOOKUP(A188,[1]Sheet1!$A$2:$F$1141,6,0)</f>
        <v>General Manager</v>
      </c>
      <c r="H188" s="1" t="s">
        <v>1080</v>
      </c>
      <c r="I188" s="1" t="s">
        <v>28</v>
      </c>
      <c r="J188" s="1" t="s">
        <v>1081</v>
      </c>
      <c r="K188" s="1" t="str">
        <f>VLOOKUP(A188,[1]Sheet1!$A$2:$I$1141,9,0)</f>
        <v>Staff of Pres Dir (Tonasa Lines)</v>
      </c>
      <c r="L188" s="1" t="e">
        <f>VLOOKUP(A188,[1]Sheet1!$A$2:$J$1141,10,0)</f>
        <v>#REF!</v>
      </c>
      <c r="M188" s="2">
        <v>29921</v>
      </c>
      <c r="N188" s="1" t="s">
        <v>29</v>
      </c>
      <c r="O188" s="1" t="s">
        <v>30</v>
      </c>
      <c r="P188" s="1" t="s">
        <v>1082</v>
      </c>
      <c r="Q188" s="1" t="s">
        <v>1083</v>
      </c>
      <c r="R188" s="1" t="s">
        <v>1081</v>
      </c>
      <c r="S188" s="1" t="s">
        <v>1084</v>
      </c>
      <c r="T188" s="14">
        <v>50406</v>
      </c>
      <c r="U188" s="1" t="s">
        <v>1085</v>
      </c>
      <c r="V188" s="1" t="s">
        <v>36</v>
      </c>
      <c r="W188" s="3" t="str">
        <f t="shared" si="2"/>
        <v>44 tahun</v>
      </c>
      <c r="X188" s="1" t="s">
        <v>1086</v>
      </c>
      <c r="Y188" s="1" t="s">
        <v>48</v>
      </c>
      <c r="Z188" s="2">
        <v>39814</v>
      </c>
      <c r="AA188" s="2">
        <v>39934</v>
      </c>
      <c r="AB188" s="2" t="s">
        <v>1087</v>
      </c>
    </row>
    <row r="189" spans="1:28" x14ac:dyDescent="0.35">
      <c r="A189" s="12">
        <v>4880</v>
      </c>
      <c r="B189" s="12">
        <v>7298022</v>
      </c>
      <c r="C189" s="12" t="s">
        <v>986</v>
      </c>
      <c r="D189" s="12">
        <v>50048082</v>
      </c>
      <c r="E189" s="15" t="s">
        <v>1088</v>
      </c>
      <c r="F189" s="1" t="str">
        <f>VLOOKUP(A189,[1]Sheet1!$A$2:$E$1141,5,0)</f>
        <v>OOTC (Dir of Finance PT Topa. Trans)</v>
      </c>
      <c r="G189" s="15" t="str">
        <f>VLOOKUP(A189,[1]Sheet1!$A$2:$F$1141,6,0)</f>
        <v>Senior Manager</v>
      </c>
      <c r="H189" s="1" t="s">
        <v>1047</v>
      </c>
      <c r="I189" s="1" t="s">
        <v>28</v>
      </c>
      <c r="J189" s="1" t="s">
        <v>1048</v>
      </c>
      <c r="K189" s="1" t="str">
        <f>VLOOKUP(A189,[1]Sheet1!$A$2:$I$1141,9,0)</f>
        <v>Staff of Pres Dir (Topabiring)</v>
      </c>
      <c r="L189" s="1" t="e">
        <f>VLOOKUP(A189,[1]Sheet1!$A$2:$J$1141,10,0)</f>
        <v>#REF!</v>
      </c>
      <c r="M189" s="2">
        <v>26604</v>
      </c>
      <c r="N189" s="1" t="s">
        <v>59</v>
      </c>
      <c r="O189" s="1" t="s">
        <v>30</v>
      </c>
      <c r="P189" s="1" t="s">
        <v>1089</v>
      </c>
      <c r="Q189" s="1" t="s">
        <v>1083</v>
      </c>
      <c r="R189" s="1" t="s">
        <v>1048</v>
      </c>
      <c r="S189" s="1" t="s">
        <v>1051</v>
      </c>
      <c r="T189" s="14">
        <v>47088</v>
      </c>
      <c r="U189" s="1" t="s">
        <v>1090</v>
      </c>
      <c r="V189" s="1" t="s">
        <v>36</v>
      </c>
      <c r="W189" s="3" t="str">
        <f t="shared" si="2"/>
        <v>53 tahun</v>
      </c>
      <c r="X189" s="1" t="s">
        <v>1091</v>
      </c>
      <c r="Y189" s="1" t="s">
        <v>48</v>
      </c>
      <c r="Z189" s="2">
        <v>35920</v>
      </c>
      <c r="AA189" s="2">
        <v>36220</v>
      </c>
      <c r="AB189" s="2" t="s">
        <v>1092</v>
      </c>
    </row>
    <row r="190" spans="1:28" x14ac:dyDescent="0.35">
      <c r="A190" s="12">
        <v>5304</v>
      </c>
      <c r="B190" s="12">
        <v>8408040</v>
      </c>
      <c r="C190" s="12" t="s">
        <v>25</v>
      </c>
      <c r="D190" s="12">
        <v>50009057</v>
      </c>
      <c r="E190" s="15" t="s">
        <v>1093</v>
      </c>
      <c r="F190" s="1" t="str">
        <f>VLOOKUP(A190,[1]Sheet1!$A$2:$E$1141,5,0)</f>
        <v>OOTC (Dir of Technical PT Tonasa Lines)</v>
      </c>
      <c r="G190" s="15" t="str">
        <f>VLOOKUP(A190,[1]Sheet1!$A$2:$F$1141,6,0)</f>
        <v>Senior Manager</v>
      </c>
      <c r="H190" s="1" t="s">
        <v>1080</v>
      </c>
      <c r="I190" s="1" t="s">
        <v>28</v>
      </c>
      <c r="J190" s="1" t="s">
        <v>1081</v>
      </c>
      <c r="K190" s="1" t="str">
        <f>VLOOKUP(A190,[1]Sheet1!$A$2:$I$1141,9,0)</f>
        <v>Staff of Pres Dir (Tonasa Lines)</v>
      </c>
      <c r="L190" s="1" t="e">
        <f>VLOOKUP(A190,[1]Sheet1!$A$2:$J$1141,10,0)</f>
        <v>#REF!</v>
      </c>
      <c r="M190" s="2">
        <v>30746</v>
      </c>
      <c r="N190" s="1" t="s">
        <v>29</v>
      </c>
      <c r="O190" s="1" t="s">
        <v>30</v>
      </c>
      <c r="P190" s="1" t="s">
        <v>1094</v>
      </c>
      <c r="Q190" s="1" t="s">
        <v>1083</v>
      </c>
      <c r="R190" s="1" t="s">
        <v>1081</v>
      </c>
      <c r="S190" s="1" t="s">
        <v>1084</v>
      </c>
      <c r="T190" s="14">
        <v>51227</v>
      </c>
      <c r="U190" s="1" t="s">
        <v>1095</v>
      </c>
      <c r="V190" s="1" t="s">
        <v>36</v>
      </c>
      <c r="W190" s="3" t="str">
        <f t="shared" si="2"/>
        <v>42 tahun</v>
      </c>
      <c r="X190" s="1" t="s">
        <v>551</v>
      </c>
      <c r="Y190" s="1" t="s">
        <v>38</v>
      </c>
      <c r="Z190" s="2">
        <v>39814</v>
      </c>
      <c r="AA190" s="2">
        <v>39934</v>
      </c>
      <c r="AB190" s="2" t="s">
        <v>1096</v>
      </c>
    </row>
    <row r="191" spans="1:28" x14ac:dyDescent="0.35">
      <c r="A191" s="12">
        <v>5353</v>
      </c>
      <c r="B191" s="12">
        <v>8510034</v>
      </c>
      <c r="C191" s="12" t="s">
        <v>139</v>
      </c>
      <c r="D191" s="12">
        <v>50069787</v>
      </c>
      <c r="E191" s="16" t="s">
        <v>1097</v>
      </c>
      <c r="F191" s="1" t="str">
        <f>VLOOKUP(A191,[1]Sheet1!$A$2:$E$1141,5,0)</f>
        <v>OOTC (Pres Dir of PT SETRA)</v>
      </c>
      <c r="G191" s="16" t="str">
        <f>VLOOKUP(A191,[1]Sheet1!$A$2:$F$1141,6,0)</f>
        <v>Manager</v>
      </c>
      <c r="H191" s="1" t="s">
        <v>1098</v>
      </c>
      <c r="I191" s="1" t="s">
        <v>28</v>
      </c>
      <c r="J191" s="1" t="s">
        <v>1099</v>
      </c>
      <c r="K191" s="1" t="str">
        <f>VLOOKUP(A191,[1]Sheet1!$A$2:$I$1141,9,0)</f>
        <v>Staff of Pres Dir(Sedaya Multi Matra)</v>
      </c>
      <c r="L191" s="1" t="e">
        <f>VLOOKUP(A191,[1]Sheet1!$A$2:$J$1141,10,0)</f>
        <v>#REF!</v>
      </c>
      <c r="M191" s="2">
        <v>31295</v>
      </c>
      <c r="N191" s="1" t="s">
        <v>29</v>
      </c>
      <c r="O191" s="1" t="s">
        <v>30</v>
      </c>
      <c r="P191" s="1" t="s">
        <v>1100</v>
      </c>
      <c r="Q191" s="1" t="s">
        <v>1101</v>
      </c>
      <c r="R191" s="1" t="s">
        <v>1099</v>
      </c>
      <c r="S191" s="1" t="s">
        <v>1102</v>
      </c>
      <c r="T191" s="14">
        <v>51775</v>
      </c>
      <c r="U191" s="1" t="s">
        <v>1103</v>
      </c>
      <c r="V191" s="1" t="s">
        <v>36</v>
      </c>
      <c r="W191" s="3" t="str">
        <f t="shared" si="2"/>
        <v>40 tahun</v>
      </c>
      <c r="X191" s="1" t="s">
        <v>1104</v>
      </c>
      <c r="Y191" s="1" t="s">
        <v>68</v>
      </c>
      <c r="Z191" s="2">
        <v>40544</v>
      </c>
      <c r="AA191" s="2">
        <v>40664</v>
      </c>
      <c r="AB191" s="2" t="s">
        <v>1105</v>
      </c>
    </row>
    <row r="192" spans="1:28" x14ac:dyDescent="0.35">
      <c r="A192" s="12">
        <v>4878</v>
      </c>
      <c r="B192" s="12">
        <v>7295268</v>
      </c>
      <c r="C192" s="12" t="s">
        <v>50</v>
      </c>
      <c r="D192" s="12">
        <v>50054100</v>
      </c>
      <c r="E192" s="15" t="s">
        <v>1106</v>
      </c>
      <c r="F192" s="1" t="str">
        <f>VLOOKUP(A192,[1]Sheet1!$A$2:$E$1141,5,0)</f>
        <v>OOTC (Pres Dir of PT PELSINDO)</v>
      </c>
      <c r="G192" s="15" t="str">
        <f>VLOOKUP(A192,[1]Sheet1!$A$2:$F$1141,6,0)</f>
        <v>Senior Manager</v>
      </c>
      <c r="H192" s="1" t="s">
        <v>1029</v>
      </c>
      <c r="I192" s="1" t="s">
        <v>28</v>
      </c>
      <c r="J192" s="1" t="s">
        <v>1030</v>
      </c>
      <c r="K192" s="1" t="str">
        <f>VLOOKUP(A192,[1]Sheet1!$A$2:$I$1141,9,0)</f>
        <v>Staff of Pres Dir ( Pelsindo )</v>
      </c>
      <c r="L192" s="1" t="e">
        <f>VLOOKUP(A192,[1]Sheet1!$A$2:$J$1141,10,0)</f>
        <v>#REF!</v>
      </c>
      <c r="M192" s="2">
        <v>26592</v>
      </c>
      <c r="N192" s="1" t="s">
        <v>29</v>
      </c>
      <c r="O192" s="1" t="s">
        <v>30</v>
      </c>
      <c r="P192" s="1" t="s">
        <v>1107</v>
      </c>
      <c r="Q192" s="1" t="s">
        <v>1108</v>
      </c>
      <c r="R192" s="1" t="s">
        <v>1030</v>
      </c>
      <c r="S192" s="1" t="s">
        <v>1032</v>
      </c>
      <c r="T192" s="14">
        <v>47058</v>
      </c>
      <c r="U192" s="1" t="s">
        <v>1109</v>
      </c>
      <c r="V192" s="1" t="s">
        <v>36</v>
      </c>
      <c r="W192" s="3" t="str">
        <f t="shared" si="2"/>
        <v>53 tahun</v>
      </c>
      <c r="X192" s="1" t="s">
        <v>96</v>
      </c>
      <c r="Y192" s="1" t="s">
        <v>48</v>
      </c>
      <c r="Z192" s="2">
        <v>35034</v>
      </c>
      <c r="AA192" s="2">
        <v>35400</v>
      </c>
      <c r="AB192" s="2" t="s">
        <v>1110</v>
      </c>
    </row>
    <row r="193" spans="1:28" x14ac:dyDescent="0.35">
      <c r="A193" s="12">
        <v>5339</v>
      </c>
      <c r="B193" s="12">
        <v>8510031</v>
      </c>
      <c r="C193" s="12" t="s">
        <v>139</v>
      </c>
      <c r="D193" s="12">
        <v>50009056</v>
      </c>
      <c r="E193" s="15" t="s">
        <v>1111</v>
      </c>
      <c r="F193" s="1" t="str">
        <f>VLOOKUP(A193,[1]Sheet1!$A$2:$E$1141,5,0)</f>
        <v>OOTC (Dir of Finance PT Ton Lines)</v>
      </c>
      <c r="G193" s="15" t="str">
        <f>VLOOKUP(A193,[1]Sheet1!$A$2:$F$1141,6,0)</f>
        <v>Senior Manager</v>
      </c>
      <c r="H193" s="1" t="s">
        <v>1080</v>
      </c>
      <c r="I193" s="1" t="s">
        <v>28</v>
      </c>
      <c r="J193" s="1" t="s">
        <v>1081</v>
      </c>
      <c r="K193" s="1" t="str">
        <f>VLOOKUP(A193,[1]Sheet1!$A$2:$I$1141,9,0)</f>
        <v>Staff of Pres Dir (Tonasa Lines)</v>
      </c>
      <c r="L193" s="1" t="e">
        <f>VLOOKUP(A193,[1]Sheet1!$A$2:$J$1141,10,0)</f>
        <v>#REF!</v>
      </c>
      <c r="M193" s="2">
        <v>31166</v>
      </c>
      <c r="N193" s="1" t="s">
        <v>59</v>
      </c>
      <c r="O193" s="1" t="s">
        <v>30</v>
      </c>
      <c r="P193" s="1" t="s">
        <v>1112</v>
      </c>
      <c r="Q193" s="1" t="s">
        <v>1108</v>
      </c>
      <c r="R193" s="1" t="s">
        <v>1081</v>
      </c>
      <c r="S193" s="1" t="s">
        <v>1084</v>
      </c>
      <c r="T193" s="14">
        <v>51622</v>
      </c>
      <c r="U193" s="1" t="s">
        <v>1113</v>
      </c>
      <c r="V193" s="1" t="s">
        <v>36</v>
      </c>
      <c r="W193" s="3" t="str">
        <f t="shared" si="2"/>
        <v>41 tahun</v>
      </c>
      <c r="X193" s="1" t="s">
        <v>204</v>
      </c>
      <c r="Y193" s="1" t="s">
        <v>38</v>
      </c>
      <c r="Z193" s="2">
        <v>40544</v>
      </c>
      <c r="AA193" s="2">
        <v>40634</v>
      </c>
      <c r="AB193" s="2" t="s">
        <v>1114</v>
      </c>
    </row>
    <row r="194" spans="1:28" x14ac:dyDescent="0.35">
      <c r="A194" s="12">
        <v>5286</v>
      </c>
      <c r="B194" s="12">
        <v>8308034</v>
      </c>
      <c r="C194" s="12" t="s">
        <v>25</v>
      </c>
      <c r="D194" s="12">
        <v>50069142</v>
      </c>
      <c r="E194" s="15" t="s">
        <v>1115</v>
      </c>
      <c r="F194" s="1" t="str">
        <f>VLOOKUP(A194,[1]Sheet1!$A$2:$E$1141,5,0)</f>
        <v>SM of Quality Assurance</v>
      </c>
      <c r="G194" s="15" t="str">
        <f>VLOOKUP(A194,[1]Sheet1!$A$2:$F$1141,6,0)</f>
        <v>Senior Manager</v>
      </c>
      <c r="H194" s="1" t="s">
        <v>1116</v>
      </c>
      <c r="I194" s="1" t="s">
        <v>1117</v>
      </c>
      <c r="J194" s="1" t="s">
        <v>1118</v>
      </c>
      <c r="K194" s="1" t="str">
        <f>VLOOKUP(A194,[1]Sheet1!$A$2:$I$1141,9,0)</f>
        <v>Unit of Quality Assurance</v>
      </c>
      <c r="L194" s="1" t="e">
        <f>VLOOKUP(A194,[1]Sheet1!$A$2:$J$1141,10,0)</f>
        <v>#REF!</v>
      </c>
      <c r="M194" s="2">
        <v>30506</v>
      </c>
      <c r="N194" s="1" t="s">
        <v>29</v>
      </c>
      <c r="O194" s="1" t="s">
        <v>30</v>
      </c>
      <c r="P194" s="1" t="s">
        <v>1119</v>
      </c>
      <c r="Q194" s="1" t="s">
        <v>1120</v>
      </c>
      <c r="R194" s="1" t="s">
        <v>1118</v>
      </c>
      <c r="S194" s="1" t="s">
        <v>1121</v>
      </c>
      <c r="T194" s="14">
        <v>50983</v>
      </c>
      <c r="U194" s="1" t="s">
        <v>1122</v>
      </c>
      <c r="V194" s="1" t="s">
        <v>36</v>
      </c>
      <c r="W194" s="3" t="str">
        <f t="shared" si="2"/>
        <v>43 tahun</v>
      </c>
      <c r="X194" s="1" t="s">
        <v>1123</v>
      </c>
      <c r="Y194" s="1" t="s">
        <v>48</v>
      </c>
      <c r="Z194" s="2">
        <v>39814</v>
      </c>
      <c r="AA194" s="2">
        <v>39934</v>
      </c>
      <c r="AB194" s="2" t="s">
        <v>1124</v>
      </c>
    </row>
    <row r="195" spans="1:28" x14ac:dyDescent="0.35">
      <c r="A195" s="12">
        <v>5934</v>
      </c>
      <c r="B195" s="12">
        <v>8712100</v>
      </c>
      <c r="C195" s="12" t="s">
        <v>103</v>
      </c>
      <c r="D195" s="12">
        <v>50069146</v>
      </c>
      <c r="E195" s="1" t="s">
        <v>1125</v>
      </c>
      <c r="F195" s="1" t="str">
        <f>VLOOKUP(A195,[1]Sheet1!$A$2:$E$1141,5,0)</f>
        <v>Spv of Planner &amp; Calibration</v>
      </c>
      <c r="G195" s="17" t="str">
        <f>VLOOKUP(A195,[1]Sheet1!$A$2:$F$1141,6,0)</f>
        <v>Supervisor</v>
      </c>
      <c r="H195" s="1" t="s">
        <v>1116</v>
      </c>
      <c r="I195" s="1" t="s">
        <v>1117</v>
      </c>
      <c r="J195" s="1" t="s">
        <v>1118</v>
      </c>
      <c r="K195" s="1" t="str">
        <f>VLOOKUP(A195,[1]Sheet1!$A$2:$I$1141,9,0)</f>
        <v>Unit of Quality Assurance</v>
      </c>
      <c r="L195" s="1" t="e">
        <f>VLOOKUP(A195,[1]Sheet1!$A$2:$J$1141,10,0)</f>
        <v>#REF!</v>
      </c>
      <c r="M195" s="2">
        <v>32052</v>
      </c>
      <c r="N195" s="1" t="s">
        <v>29</v>
      </c>
      <c r="O195" s="1" t="s">
        <v>30</v>
      </c>
      <c r="P195" s="1" t="s">
        <v>1126</v>
      </c>
      <c r="Q195" s="1" t="s">
        <v>1120</v>
      </c>
      <c r="R195" s="1" t="s">
        <v>1118</v>
      </c>
      <c r="S195" s="1" t="s">
        <v>1121</v>
      </c>
      <c r="T195" s="14">
        <v>52536</v>
      </c>
      <c r="U195" s="1" t="s">
        <v>1127</v>
      </c>
      <c r="V195" s="1" t="s">
        <v>186</v>
      </c>
      <c r="W195" s="3" t="str">
        <f t="shared" ref="W195:W258" si="3">DATEDIF(M195,$W$1,"Y")&amp;" "&amp;"tahun"</f>
        <v>38 tahun</v>
      </c>
      <c r="X195" s="1" t="s">
        <v>37</v>
      </c>
      <c r="Y195" s="1" t="s">
        <v>56</v>
      </c>
      <c r="Z195" s="2">
        <v>41275</v>
      </c>
      <c r="AA195" s="2">
        <v>41395</v>
      </c>
      <c r="AB195" s="2" t="s">
        <v>1128</v>
      </c>
    </row>
    <row r="196" spans="1:28" x14ac:dyDescent="0.35">
      <c r="A196" s="12">
        <v>5336</v>
      </c>
      <c r="B196" s="12">
        <v>8508077</v>
      </c>
      <c r="C196" s="12" t="s">
        <v>25</v>
      </c>
      <c r="D196" s="12">
        <v>50069155</v>
      </c>
      <c r="E196" s="16" t="s">
        <v>1129</v>
      </c>
      <c r="F196" s="1" t="str">
        <f>VLOOKUP(A196,[1]Sheet1!$A$2:$E$1141,5,0)</f>
        <v>Mgr of Material Quality Assurance</v>
      </c>
      <c r="G196" s="16" t="str">
        <f>VLOOKUP(A196,[1]Sheet1!$A$2:$F$1141,6,0)</f>
        <v>Manager</v>
      </c>
      <c r="H196" s="1" t="s">
        <v>1130</v>
      </c>
      <c r="I196" s="1" t="s">
        <v>1117</v>
      </c>
      <c r="J196" s="1" t="s">
        <v>1118</v>
      </c>
      <c r="K196" s="1" t="str">
        <f>VLOOKUP(A196,[1]Sheet1!$A$2:$I$1141,9,0)</f>
        <v>Unit of Quality Assurance</v>
      </c>
      <c r="L196" s="1" t="str">
        <f>VLOOKUP(A196,[1]Sheet1!$A$2:$J$1141,10,0)</f>
        <v>Section of Material Quality Assurance</v>
      </c>
      <c r="M196" s="2">
        <v>31148</v>
      </c>
      <c r="N196" s="1" t="s">
        <v>59</v>
      </c>
      <c r="O196" s="1" t="s">
        <v>30</v>
      </c>
      <c r="P196" s="1" t="s">
        <v>1131</v>
      </c>
      <c r="Q196" s="1" t="s">
        <v>1132</v>
      </c>
      <c r="R196" s="1" t="s">
        <v>1133</v>
      </c>
      <c r="S196" s="1" t="s">
        <v>1134</v>
      </c>
      <c r="T196" s="14">
        <v>51622</v>
      </c>
      <c r="U196" s="1" t="s">
        <v>1135</v>
      </c>
      <c r="V196" s="1" t="s">
        <v>36</v>
      </c>
      <c r="W196" s="3" t="str">
        <f t="shared" si="3"/>
        <v>41 tahun</v>
      </c>
      <c r="X196" s="1" t="s">
        <v>37</v>
      </c>
      <c r="Y196" s="1" t="s">
        <v>48</v>
      </c>
      <c r="Z196" s="2">
        <v>39814</v>
      </c>
      <c r="AA196" s="2">
        <v>39934</v>
      </c>
      <c r="AB196" s="2" t="s">
        <v>1136</v>
      </c>
    </row>
    <row r="197" spans="1:28" x14ac:dyDescent="0.35">
      <c r="A197" s="12">
        <v>5394</v>
      </c>
      <c r="B197" s="12">
        <v>8709005</v>
      </c>
      <c r="C197" s="12" t="s">
        <v>1137</v>
      </c>
      <c r="D197" s="12">
        <v>50069156</v>
      </c>
      <c r="E197" s="1" t="s">
        <v>1138</v>
      </c>
      <c r="F197" s="1" t="str">
        <f>VLOOKUP(A197,[1]Sheet1!$A$2:$E$1141,5,0)</f>
        <v>Incoming &amp; Sup Material Lab Jr officer</v>
      </c>
      <c r="G197" s="17" t="str">
        <f>VLOOKUP(A197,[1]Sheet1!$A$2:$F$1141,6,0)</f>
        <v>Supervisor</v>
      </c>
      <c r="H197" s="1" t="s">
        <v>1130</v>
      </c>
      <c r="I197" s="1" t="s">
        <v>1117</v>
      </c>
      <c r="J197" s="1" t="s">
        <v>1118</v>
      </c>
      <c r="K197" s="1" t="str">
        <f>VLOOKUP(A197,[1]Sheet1!$A$2:$I$1141,9,0)</f>
        <v>Unit of Quality Assurance</v>
      </c>
      <c r="L197" s="1" t="str">
        <f>VLOOKUP(A197,[1]Sheet1!$A$2:$J$1141,10,0)</f>
        <v>Section of Material Quality Assurance</v>
      </c>
      <c r="M197" s="2">
        <v>31939</v>
      </c>
      <c r="N197" s="1" t="s">
        <v>29</v>
      </c>
      <c r="O197" s="1" t="s">
        <v>30</v>
      </c>
      <c r="P197" s="1" t="s">
        <v>1139</v>
      </c>
      <c r="Q197" s="1" t="s">
        <v>1140</v>
      </c>
      <c r="R197" s="1" t="s">
        <v>1141</v>
      </c>
      <c r="S197" s="1" t="s">
        <v>1134</v>
      </c>
      <c r="T197" s="14">
        <v>52413</v>
      </c>
      <c r="U197" s="1" t="s">
        <v>1142</v>
      </c>
      <c r="V197" s="1" t="s">
        <v>36</v>
      </c>
      <c r="W197" s="3" t="str">
        <f t="shared" si="3"/>
        <v>39 tahun</v>
      </c>
      <c r="X197" s="1" t="s">
        <v>37</v>
      </c>
      <c r="Y197" s="1" t="s">
        <v>48</v>
      </c>
      <c r="Z197" s="2">
        <v>40087</v>
      </c>
      <c r="AA197" s="2">
        <v>40391</v>
      </c>
      <c r="AB197" s="2" t="s">
        <v>1143</v>
      </c>
    </row>
    <row r="198" spans="1:28" x14ac:dyDescent="0.35">
      <c r="A198" s="12">
        <v>6116</v>
      </c>
      <c r="B198" s="12">
        <v>9012285</v>
      </c>
      <c r="C198" s="12" t="s">
        <v>103</v>
      </c>
      <c r="D198" s="12">
        <v>50069156</v>
      </c>
      <c r="E198" s="1" t="s">
        <v>1144</v>
      </c>
      <c r="F198" s="1" t="str">
        <f>VLOOKUP(A198,[1]Sheet1!$A$2:$E$1141,5,0)</f>
        <v>Incoming &amp; Sup Material Lab Jr officer</v>
      </c>
      <c r="G198" s="17" t="str">
        <f>VLOOKUP(A198,[1]Sheet1!$A$2:$F$1141,6,0)</f>
        <v>Supervisor</v>
      </c>
      <c r="H198" s="1" t="s">
        <v>1130</v>
      </c>
      <c r="I198" s="1" t="s">
        <v>1117</v>
      </c>
      <c r="J198" s="1" t="s">
        <v>1118</v>
      </c>
      <c r="K198" s="1" t="str">
        <f>VLOOKUP(A198,[1]Sheet1!$A$2:$I$1141,9,0)</f>
        <v>Unit of Quality Assurance</v>
      </c>
      <c r="L198" s="1" t="str">
        <f>VLOOKUP(A198,[1]Sheet1!$A$2:$J$1141,10,0)</f>
        <v>Section of Material Quality Assurance</v>
      </c>
      <c r="M198" s="2">
        <v>33121</v>
      </c>
      <c r="N198" s="1" t="s">
        <v>29</v>
      </c>
      <c r="O198" s="1" t="s">
        <v>30</v>
      </c>
      <c r="P198" s="1" t="s">
        <v>1139</v>
      </c>
      <c r="Q198" s="1" t="s">
        <v>1140</v>
      </c>
      <c r="R198" s="1" t="s">
        <v>1141</v>
      </c>
      <c r="S198" s="1" t="s">
        <v>1134</v>
      </c>
      <c r="T198" s="14">
        <v>53601</v>
      </c>
      <c r="U198" s="1" t="s">
        <v>1145</v>
      </c>
      <c r="V198" s="1" t="s">
        <v>186</v>
      </c>
      <c r="W198" s="3" t="str">
        <f t="shared" si="3"/>
        <v>35 tahun</v>
      </c>
      <c r="X198" s="1" t="s">
        <v>1146</v>
      </c>
      <c r="Y198" s="1" t="s">
        <v>56</v>
      </c>
      <c r="Z198" s="2">
        <v>41275</v>
      </c>
      <c r="AA198" s="2">
        <v>41395</v>
      </c>
      <c r="AB198" s="2" t="s">
        <v>1147</v>
      </c>
    </row>
    <row r="199" spans="1:28" x14ac:dyDescent="0.35">
      <c r="A199" s="12">
        <v>5941</v>
      </c>
      <c r="B199" s="12">
        <v>8712107</v>
      </c>
      <c r="C199" s="12" t="s">
        <v>103</v>
      </c>
      <c r="D199" s="12">
        <v>50069157</v>
      </c>
      <c r="E199" s="1" t="s">
        <v>1148</v>
      </c>
      <c r="F199" s="1" t="str">
        <f>VLOOKUP(A199,[1]Sheet1!$A$2:$E$1141,5,0)</f>
        <v>Incoming &amp; Sup Material Lab Jr officer</v>
      </c>
      <c r="G199" s="17" t="str">
        <f>VLOOKUP(A199,[1]Sheet1!$A$2:$F$1141,6,0)</f>
        <v>Supervisor</v>
      </c>
      <c r="H199" s="1" t="s">
        <v>1130</v>
      </c>
      <c r="I199" s="1" t="s">
        <v>1117</v>
      </c>
      <c r="J199" s="1" t="s">
        <v>1118</v>
      </c>
      <c r="K199" s="1" t="str">
        <f>VLOOKUP(A199,[1]Sheet1!$A$2:$I$1141,9,0)</f>
        <v>Unit of Quality Assurance</v>
      </c>
      <c r="L199" s="1" t="str">
        <f>VLOOKUP(A199,[1]Sheet1!$A$2:$J$1141,10,0)</f>
        <v>Section of Material Quality Assurance</v>
      </c>
      <c r="M199" s="2">
        <v>32076</v>
      </c>
      <c r="N199" s="1" t="s">
        <v>29</v>
      </c>
      <c r="O199" s="1" t="s">
        <v>30</v>
      </c>
      <c r="P199" s="1" t="s">
        <v>1149</v>
      </c>
      <c r="Q199" s="1" t="s">
        <v>1140</v>
      </c>
      <c r="R199" s="1" t="s">
        <v>1141</v>
      </c>
      <c r="S199" s="1" t="s">
        <v>1134</v>
      </c>
      <c r="T199" s="14">
        <v>52536</v>
      </c>
      <c r="U199" s="1" t="s">
        <v>1150</v>
      </c>
      <c r="V199" s="1" t="s">
        <v>36</v>
      </c>
      <c r="W199" s="3" t="str">
        <f t="shared" si="3"/>
        <v>38 tahun</v>
      </c>
      <c r="X199" s="1" t="s">
        <v>1151</v>
      </c>
      <c r="Y199" s="1" t="s">
        <v>48</v>
      </c>
      <c r="Z199" s="2">
        <v>41275</v>
      </c>
      <c r="AA199" s="2">
        <v>41365</v>
      </c>
      <c r="AB199" s="2" t="s">
        <v>1152</v>
      </c>
    </row>
    <row r="200" spans="1:28" x14ac:dyDescent="0.35">
      <c r="A200" s="12">
        <v>6059</v>
      </c>
      <c r="B200" s="12">
        <v>8912315</v>
      </c>
      <c r="C200" s="12" t="s">
        <v>103</v>
      </c>
      <c r="D200" s="12">
        <v>50069158</v>
      </c>
      <c r="E200" s="1" t="s">
        <v>1153</v>
      </c>
      <c r="F200" s="1" t="str">
        <f>VLOOKUP(A200,[1]Sheet1!$A$2:$E$1141,5,0)</f>
        <v>Incoming &amp; Sup Mat Lab Anal Jr Officer</v>
      </c>
      <c r="G200" s="17" t="str">
        <f>VLOOKUP(A200,[1]Sheet1!$A$2:$F$1141,6,0)</f>
        <v>Supervisor</v>
      </c>
      <c r="H200" s="1" t="s">
        <v>1130</v>
      </c>
      <c r="I200" s="1" t="s">
        <v>1117</v>
      </c>
      <c r="J200" s="1" t="s">
        <v>1118</v>
      </c>
      <c r="K200" s="1" t="str">
        <f>VLOOKUP(A200,[1]Sheet1!$A$2:$I$1141,9,0)</f>
        <v>Unit of Quality Assurance</v>
      </c>
      <c r="L200" s="1" t="str">
        <f>VLOOKUP(A200,[1]Sheet1!$A$2:$J$1141,10,0)</f>
        <v>Section of Material Quality Assurance</v>
      </c>
      <c r="M200" s="2">
        <v>32826</v>
      </c>
      <c r="N200" s="1" t="s">
        <v>29</v>
      </c>
      <c r="O200" s="1" t="s">
        <v>30</v>
      </c>
      <c r="P200" s="1" t="s">
        <v>1154</v>
      </c>
      <c r="Q200" s="1" t="s">
        <v>1155</v>
      </c>
      <c r="R200" s="1" t="s">
        <v>1156</v>
      </c>
      <c r="S200" s="1" t="s">
        <v>1134</v>
      </c>
      <c r="T200" s="14">
        <v>53297</v>
      </c>
      <c r="U200" s="1" t="s">
        <v>1157</v>
      </c>
      <c r="V200" s="1" t="s">
        <v>36</v>
      </c>
      <c r="W200" s="3" t="str">
        <f t="shared" si="3"/>
        <v>36 tahun</v>
      </c>
      <c r="X200" s="1" t="s">
        <v>37</v>
      </c>
      <c r="Y200" s="1" t="s">
        <v>48</v>
      </c>
      <c r="Z200" s="2">
        <v>41275</v>
      </c>
      <c r="AA200" s="2">
        <v>41426</v>
      </c>
      <c r="AB200" s="2" t="s">
        <v>1158</v>
      </c>
    </row>
    <row r="201" spans="1:28" x14ac:dyDescent="0.35">
      <c r="A201" s="12">
        <v>6061</v>
      </c>
      <c r="B201" s="12">
        <v>8912228</v>
      </c>
      <c r="C201" s="12" t="s">
        <v>103</v>
      </c>
      <c r="D201" s="12">
        <v>50069159</v>
      </c>
      <c r="E201" s="1" t="s">
        <v>1159</v>
      </c>
      <c r="F201" s="1" t="str">
        <f>VLOOKUP(A201,[1]Sheet1!$A$2:$E$1141,5,0)</f>
        <v>Incoming &amp; Sup Mat Lab Anal Jr Officer</v>
      </c>
      <c r="G201" s="17" t="str">
        <f>VLOOKUP(A201,[1]Sheet1!$A$2:$F$1141,6,0)</f>
        <v>Supervisor</v>
      </c>
      <c r="H201" s="1" t="s">
        <v>1130</v>
      </c>
      <c r="I201" s="1" t="s">
        <v>1117</v>
      </c>
      <c r="J201" s="1" t="s">
        <v>1118</v>
      </c>
      <c r="K201" s="1" t="str">
        <f>VLOOKUP(A201,[1]Sheet1!$A$2:$I$1141,9,0)</f>
        <v>Unit of Quality Assurance</v>
      </c>
      <c r="L201" s="1" t="str">
        <f>VLOOKUP(A201,[1]Sheet1!$A$2:$J$1141,10,0)</f>
        <v>Section of Material Quality Assurance</v>
      </c>
      <c r="M201" s="2">
        <v>32848</v>
      </c>
      <c r="N201" s="1" t="s">
        <v>29</v>
      </c>
      <c r="O201" s="1" t="s">
        <v>30</v>
      </c>
      <c r="P201" s="1" t="s">
        <v>1160</v>
      </c>
      <c r="Q201" s="1" t="s">
        <v>1155</v>
      </c>
      <c r="R201" s="1" t="s">
        <v>1156</v>
      </c>
      <c r="S201" s="1" t="s">
        <v>1134</v>
      </c>
      <c r="T201" s="14">
        <v>53328</v>
      </c>
      <c r="U201" s="1" t="s">
        <v>1161</v>
      </c>
      <c r="V201" s="1" t="s">
        <v>36</v>
      </c>
      <c r="W201" s="3" t="str">
        <f t="shared" si="3"/>
        <v>36 tahun</v>
      </c>
      <c r="X201" s="1" t="s">
        <v>204</v>
      </c>
      <c r="Y201" s="1" t="s">
        <v>48</v>
      </c>
      <c r="Z201" s="2">
        <v>41275</v>
      </c>
      <c r="AA201" s="2">
        <v>41365</v>
      </c>
      <c r="AB201" s="2" t="s">
        <v>1162</v>
      </c>
    </row>
    <row r="202" spans="1:28" x14ac:dyDescent="0.35">
      <c r="A202" s="12">
        <v>6174</v>
      </c>
      <c r="B202" s="12">
        <v>9112341</v>
      </c>
      <c r="C202" s="12" t="s">
        <v>103</v>
      </c>
      <c r="D202" s="12">
        <v>50069160</v>
      </c>
      <c r="E202" s="1" t="s">
        <v>1163</v>
      </c>
      <c r="F202" s="1" t="str">
        <f>VLOOKUP(A202,[1]Sheet1!$A$2:$E$1141,5,0)</f>
        <v>Incoming &amp; Sup Mat Lab Anal Jr Officer</v>
      </c>
      <c r="G202" s="17" t="str">
        <f>VLOOKUP(A202,[1]Sheet1!$A$2:$F$1141,6,0)</f>
        <v>Supervisor</v>
      </c>
      <c r="H202" s="1" t="s">
        <v>1130</v>
      </c>
      <c r="I202" s="1" t="s">
        <v>1117</v>
      </c>
      <c r="J202" s="1" t="s">
        <v>1118</v>
      </c>
      <c r="K202" s="1" t="str">
        <f>VLOOKUP(A202,[1]Sheet1!$A$2:$I$1141,9,0)</f>
        <v>Unit of Quality Assurance</v>
      </c>
      <c r="L202" s="1" t="str">
        <f>VLOOKUP(A202,[1]Sheet1!$A$2:$J$1141,10,0)</f>
        <v>Section of Material Quality Assurance</v>
      </c>
      <c r="M202" s="2">
        <v>33343</v>
      </c>
      <c r="N202" s="1" t="s">
        <v>29</v>
      </c>
      <c r="O202" s="1" t="s">
        <v>30</v>
      </c>
      <c r="P202" s="1" t="s">
        <v>1164</v>
      </c>
      <c r="Q202" s="1" t="s">
        <v>1155</v>
      </c>
      <c r="R202" s="1" t="s">
        <v>1156</v>
      </c>
      <c r="S202" s="1" t="s">
        <v>1134</v>
      </c>
      <c r="T202" s="14">
        <v>53813</v>
      </c>
      <c r="U202" s="1" t="s">
        <v>1165</v>
      </c>
      <c r="V202" s="1" t="s">
        <v>36</v>
      </c>
      <c r="W202" s="3" t="str">
        <f t="shared" si="3"/>
        <v>35 tahun</v>
      </c>
      <c r="X202" s="1" t="s">
        <v>527</v>
      </c>
      <c r="Y202" s="1" t="s">
        <v>48</v>
      </c>
      <c r="Z202" s="2">
        <v>41275</v>
      </c>
      <c r="AA202" s="2">
        <v>41395</v>
      </c>
      <c r="AB202" s="2" t="s">
        <v>1166</v>
      </c>
    </row>
    <row r="203" spans="1:28" x14ac:dyDescent="0.35">
      <c r="A203" s="12">
        <v>4799</v>
      </c>
      <c r="B203" s="12">
        <v>7306377</v>
      </c>
      <c r="C203" s="12" t="s">
        <v>219</v>
      </c>
      <c r="D203" s="12">
        <v>50069161</v>
      </c>
      <c r="E203" s="1" t="s">
        <v>1167</v>
      </c>
      <c r="F203" s="1" t="str">
        <f>VLOOKUP(A203,[1]Sheet1!$A$2:$E$1141,5,0)</f>
        <v>Incoming &amp; Sup Mat Lab Anal Jr Officer</v>
      </c>
      <c r="G203" s="17" t="str">
        <f>VLOOKUP(A203,[1]Sheet1!$A$2:$F$1141,6,0)</f>
        <v>Supervisor</v>
      </c>
      <c r="H203" s="1" t="s">
        <v>1130</v>
      </c>
      <c r="I203" s="1" t="s">
        <v>1117</v>
      </c>
      <c r="J203" s="1" t="s">
        <v>1118</v>
      </c>
      <c r="K203" s="1" t="str">
        <f>VLOOKUP(A203,[1]Sheet1!$A$2:$I$1141,9,0)</f>
        <v>Unit of Quality Assurance</v>
      </c>
      <c r="L203" s="1" t="str">
        <f>VLOOKUP(A203,[1]Sheet1!$A$2:$J$1141,10,0)</f>
        <v>Section of Material Quality Assurance</v>
      </c>
      <c r="M203" s="2">
        <v>26666</v>
      </c>
      <c r="N203" s="1" t="s">
        <v>29</v>
      </c>
      <c r="O203" s="1" t="s">
        <v>30</v>
      </c>
      <c r="P203" s="1" t="s">
        <v>1168</v>
      </c>
      <c r="Q203" s="1" t="s">
        <v>1155</v>
      </c>
      <c r="R203" s="1" t="s">
        <v>1156</v>
      </c>
      <c r="S203" s="1" t="s">
        <v>1134</v>
      </c>
      <c r="T203" s="14">
        <v>47150</v>
      </c>
      <c r="U203" s="1" t="s">
        <v>1169</v>
      </c>
      <c r="V203" s="1" t="s">
        <v>36</v>
      </c>
      <c r="W203" s="3" t="str">
        <f t="shared" si="3"/>
        <v>53 tahun</v>
      </c>
      <c r="X203" s="1" t="s">
        <v>121</v>
      </c>
      <c r="Y203" s="1" t="s">
        <v>56</v>
      </c>
      <c r="Z203" s="2">
        <v>38718</v>
      </c>
      <c r="AA203" s="2">
        <v>41030</v>
      </c>
      <c r="AB203" s="2" t="s">
        <v>1170</v>
      </c>
    </row>
    <row r="204" spans="1:28" x14ac:dyDescent="0.35">
      <c r="A204" s="12">
        <v>5398</v>
      </c>
      <c r="B204" s="12">
        <v>8710056</v>
      </c>
      <c r="C204" s="12" t="s">
        <v>139</v>
      </c>
      <c r="D204" s="12">
        <v>50069162</v>
      </c>
      <c r="E204" s="16" t="s">
        <v>1171</v>
      </c>
      <c r="F204" s="1" t="str">
        <f>VLOOKUP(A204,[1]Sheet1!$A$2:$E$1141,5,0)</f>
        <v>Mgr of Product Quality Assurance</v>
      </c>
      <c r="G204" s="16" t="str">
        <f>VLOOKUP(A204,[1]Sheet1!$A$2:$F$1141,6,0)</f>
        <v>Manager</v>
      </c>
      <c r="H204" s="1" t="s">
        <v>1172</v>
      </c>
      <c r="I204" s="1" t="s">
        <v>1117</v>
      </c>
      <c r="J204" s="1" t="s">
        <v>1118</v>
      </c>
      <c r="K204" s="1" t="str">
        <f>VLOOKUP(A204,[1]Sheet1!$A$2:$I$1141,9,0)</f>
        <v>Unit of Quality Assurance</v>
      </c>
      <c r="L204" s="1" t="str">
        <f>VLOOKUP(A204,[1]Sheet1!$A$2:$J$1141,10,0)</f>
        <v>Section of Product Quality Assurance</v>
      </c>
      <c r="M204" s="2">
        <v>31981</v>
      </c>
      <c r="N204" s="1" t="s">
        <v>59</v>
      </c>
      <c r="O204" s="1" t="s">
        <v>30</v>
      </c>
      <c r="P204" s="1" t="s">
        <v>1173</v>
      </c>
      <c r="Q204" s="1" t="s">
        <v>1174</v>
      </c>
      <c r="R204" s="1" t="s">
        <v>1175</v>
      </c>
      <c r="S204" s="1" t="s">
        <v>1176</v>
      </c>
      <c r="T204" s="14">
        <v>52444</v>
      </c>
      <c r="U204" s="1" t="s">
        <v>1177</v>
      </c>
      <c r="V204" s="1" t="s">
        <v>36</v>
      </c>
      <c r="W204" s="3" t="str">
        <f t="shared" si="3"/>
        <v>39 tahun</v>
      </c>
      <c r="X204" s="1" t="s">
        <v>590</v>
      </c>
      <c r="Y204" s="1" t="s">
        <v>68</v>
      </c>
      <c r="Z204" s="2">
        <v>40544</v>
      </c>
      <c r="AA204" s="2">
        <v>40664</v>
      </c>
      <c r="AB204" s="2" t="s">
        <v>1178</v>
      </c>
    </row>
    <row r="205" spans="1:28" x14ac:dyDescent="0.35">
      <c r="A205" s="12">
        <v>5393</v>
      </c>
      <c r="B205" s="12">
        <v>8709004</v>
      </c>
      <c r="C205" s="12" t="s">
        <v>1137</v>
      </c>
      <c r="D205" s="12">
        <v>50069163</v>
      </c>
      <c r="E205" s="1" t="s">
        <v>1179</v>
      </c>
      <c r="F205" s="1" t="str">
        <f>VLOOKUP(A205,[1]Sheet1!$A$2:$E$1141,5,0)</f>
        <v>Physical &amp; Chemical Lab Jr Officer</v>
      </c>
      <c r="G205" s="17" t="str">
        <f>VLOOKUP(A205,[1]Sheet1!$A$2:$F$1141,6,0)</f>
        <v>Supervisor</v>
      </c>
      <c r="H205" s="1" t="s">
        <v>1172</v>
      </c>
      <c r="I205" s="1" t="s">
        <v>1117</v>
      </c>
      <c r="J205" s="1" t="s">
        <v>1118</v>
      </c>
      <c r="K205" s="1" t="str">
        <f>VLOOKUP(A205,[1]Sheet1!$A$2:$I$1141,9,0)</f>
        <v>Unit of Quality Assurance</v>
      </c>
      <c r="L205" s="1" t="str">
        <f>VLOOKUP(A205,[1]Sheet1!$A$2:$J$1141,10,0)</f>
        <v>Section of Product Quality Assurance</v>
      </c>
      <c r="M205" s="2">
        <v>31928</v>
      </c>
      <c r="N205" s="1" t="s">
        <v>29</v>
      </c>
      <c r="O205" s="1" t="s">
        <v>30</v>
      </c>
      <c r="P205" s="1" t="s">
        <v>1180</v>
      </c>
      <c r="Q205" s="1" t="s">
        <v>1181</v>
      </c>
      <c r="R205" s="1" t="s">
        <v>1182</v>
      </c>
      <c r="S205" s="1" t="s">
        <v>1176</v>
      </c>
      <c r="T205" s="14">
        <v>52383</v>
      </c>
      <c r="U205" s="1" t="s">
        <v>1183</v>
      </c>
      <c r="V205" s="1" t="s">
        <v>186</v>
      </c>
      <c r="W205" s="3" t="str">
        <f t="shared" si="3"/>
        <v>39 tahun</v>
      </c>
      <c r="X205" s="1" t="s">
        <v>37</v>
      </c>
      <c r="Y205" s="1" t="s">
        <v>48</v>
      </c>
      <c r="Z205" s="2">
        <v>40087</v>
      </c>
      <c r="AA205" s="2">
        <v>40391</v>
      </c>
      <c r="AB205" s="2" t="s">
        <v>1184</v>
      </c>
    </row>
    <row r="206" spans="1:28" x14ac:dyDescent="0.35">
      <c r="A206" s="12">
        <v>6146</v>
      </c>
      <c r="B206" s="12">
        <v>9012314</v>
      </c>
      <c r="C206" s="12" t="s">
        <v>103</v>
      </c>
      <c r="D206" s="12">
        <v>50069164</v>
      </c>
      <c r="E206" s="1" t="s">
        <v>1185</v>
      </c>
      <c r="F206" s="1" t="str">
        <f>VLOOKUP(A206,[1]Sheet1!$A$2:$E$1141,5,0)</f>
        <v>Physical &amp; Chemical Lab Jr Officer</v>
      </c>
      <c r="G206" s="17" t="str">
        <f>VLOOKUP(A206,[1]Sheet1!$A$2:$F$1141,6,0)</f>
        <v>Supervisor</v>
      </c>
      <c r="H206" s="1" t="s">
        <v>1172</v>
      </c>
      <c r="I206" s="1" t="s">
        <v>1117</v>
      </c>
      <c r="J206" s="1" t="s">
        <v>1118</v>
      </c>
      <c r="K206" s="1" t="str">
        <f>VLOOKUP(A206,[1]Sheet1!$A$2:$I$1141,9,0)</f>
        <v>Unit of Quality Assurance</v>
      </c>
      <c r="L206" s="1" t="str">
        <f>VLOOKUP(A206,[1]Sheet1!$A$2:$J$1141,10,0)</f>
        <v>Section of Product Quality Assurance</v>
      </c>
      <c r="M206" s="2">
        <v>33226</v>
      </c>
      <c r="N206" s="1" t="s">
        <v>59</v>
      </c>
      <c r="O206" s="1" t="s">
        <v>30</v>
      </c>
      <c r="P206" s="1" t="s">
        <v>1186</v>
      </c>
      <c r="Q206" s="1" t="s">
        <v>1181</v>
      </c>
      <c r="R206" s="1" t="s">
        <v>1182</v>
      </c>
      <c r="S206" s="1" t="s">
        <v>1176</v>
      </c>
      <c r="T206" s="14">
        <v>53693</v>
      </c>
      <c r="U206" s="1" t="s">
        <v>1187</v>
      </c>
      <c r="V206" s="1" t="s">
        <v>36</v>
      </c>
      <c r="W206" s="3" t="str">
        <f t="shared" si="3"/>
        <v>35 tahun</v>
      </c>
      <c r="X206" s="1" t="s">
        <v>55</v>
      </c>
      <c r="Y206" s="1" t="s">
        <v>56</v>
      </c>
      <c r="Z206" s="2">
        <v>41275</v>
      </c>
      <c r="AA206" s="2">
        <v>41395</v>
      </c>
      <c r="AB206" s="2" t="s">
        <v>1188</v>
      </c>
    </row>
    <row r="207" spans="1:28" x14ac:dyDescent="0.35">
      <c r="A207" s="12">
        <v>4804</v>
      </c>
      <c r="B207" s="12">
        <v>7202181</v>
      </c>
      <c r="C207" s="12" t="s">
        <v>164</v>
      </c>
      <c r="D207" s="12">
        <v>50069165</v>
      </c>
      <c r="E207" s="1" t="s">
        <v>1189</v>
      </c>
      <c r="F207" s="1" t="str">
        <f>VLOOKUP(A207,[1]Sheet1!$A$2:$E$1141,5,0)</f>
        <v>Physical &amp; Chemical Lab Anal Jr Officer</v>
      </c>
      <c r="G207" s="17" t="str">
        <f>VLOOKUP(A207,[1]Sheet1!$A$2:$F$1141,6,0)</f>
        <v>Supervisor</v>
      </c>
      <c r="H207" s="1" t="s">
        <v>1172</v>
      </c>
      <c r="I207" s="1" t="s">
        <v>1117</v>
      </c>
      <c r="J207" s="1" t="s">
        <v>1118</v>
      </c>
      <c r="K207" s="1" t="str">
        <f>VLOOKUP(A207,[1]Sheet1!$A$2:$I$1141,9,0)</f>
        <v>Unit of Quality Assurance</v>
      </c>
      <c r="L207" s="1" t="str">
        <f>VLOOKUP(A207,[1]Sheet1!$A$2:$J$1141,10,0)</f>
        <v>Section of Product Quality Assurance</v>
      </c>
      <c r="M207" s="2">
        <v>26357</v>
      </c>
      <c r="N207" s="1" t="s">
        <v>29</v>
      </c>
      <c r="O207" s="1" t="s">
        <v>30</v>
      </c>
      <c r="P207" s="1" t="s">
        <v>1190</v>
      </c>
      <c r="Q207" s="1" t="s">
        <v>1191</v>
      </c>
      <c r="R207" s="1" t="s">
        <v>1192</v>
      </c>
      <c r="S207" s="1" t="s">
        <v>1176</v>
      </c>
      <c r="T207" s="14">
        <v>46813</v>
      </c>
      <c r="U207" s="1" t="s">
        <v>1193</v>
      </c>
      <c r="V207" s="1" t="s">
        <v>36</v>
      </c>
      <c r="W207" s="3" t="str">
        <f t="shared" si="3"/>
        <v>54 tahun</v>
      </c>
      <c r="X207" s="1" t="s">
        <v>96</v>
      </c>
      <c r="Y207" s="1" t="s">
        <v>56</v>
      </c>
      <c r="Z207" s="2">
        <v>37469</v>
      </c>
      <c r="AA207" s="2">
        <v>38718</v>
      </c>
      <c r="AB207" s="2" t="s">
        <v>1194</v>
      </c>
    </row>
    <row r="208" spans="1:28" x14ac:dyDescent="0.35">
      <c r="A208" s="12">
        <v>6140</v>
      </c>
      <c r="B208" s="12">
        <v>9012308</v>
      </c>
      <c r="C208" s="12" t="s">
        <v>103</v>
      </c>
      <c r="D208" s="12">
        <v>50069166</v>
      </c>
      <c r="E208" s="1" t="s">
        <v>1195</v>
      </c>
      <c r="F208" s="1" t="str">
        <f>VLOOKUP(A208,[1]Sheet1!$A$2:$E$1141,5,0)</f>
        <v>Physical &amp; Chemical Lab Anal Jr Officer</v>
      </c>
      <c r="G208" s="17" t="str">
        <f>VLOOKUP(A208,[1]Sheet1!$A$2:$F$1141,6,0)</f>
        <v>Supervisor</v>
      </c>
      <c r="H208" s="1" t="s">
        <v>1172</v>
      </c>
      <c r="I208" s="1" t="s">
        <v>1117</v>
      </c>
      <c r="J208" s="1" t="s">
        <v>1118</v>
      </c>
      <c r="K208" s="1" t="str">
        <f>VLOOKUP(A208,[1]Sheet1!$A$2:$I$1141,9,0)</f>
        <v>Unit of Quality Assurance</v>
      </c>
      <c r="L208" s="1" t="str">
        <f>VLOOKUP(A208,[1]Sheet1!$A$2:$J$1141,10,0)</f>
        <v>Section of Product Quality Assurance</v>
      </c>
      <c r="M208" s="2">
        <v>33203</v>
      </c>
      <c r="N208" s="1" t="s">
        <v>29</v>
      </c>
      <c r="O208" s="1" t="s">
        <v>30</v>
      </c>
      <c r="P208" s="1" t="s">
        <v>1196</v>
      </c>
      <c r="Q208" s="1" t="s">
        <v>1191</v>
      </c>
      <c r="R208" s="1" t="s">
        <v>1192</v>
      </c>
      <c r="S208" s="1" t="s">
        <v>1176</v>
      </c>
      <c r="T208" s="14">
        <v>53662</v>
      </c>
      <c r="U208" s="1" t="s">
        <v>1197</v>
      </c>
      <c r="V208" s="1" t="s">
        <v>36</v>
      </c>
      <c r="W208" s="3" t="str">
        <f t="shared" si="3"/>
        <v>35 tahun</v>
      </c>
      <c r="X208" s="1" t="s">
        <v>67</v>
      </c>
      <c r="Y208" s="1" t="s">
        <v>56</v>
      </c>
      <c r="Z208" s="2">
        <v>41275</v>
      </c>
      <c r="AA208" s="2">
        <v>41395</v>
      </c>
      <c r="AB208" s="2" t="s">
        <v>1198</v>
      </c>
    </row>
    <row r="209" spans="1:28" x14ac:dyDescent="0.35">
      <c r="A209" s="12">
        <v>6161</v>
      </c>
      <c r="B209" s="12">
        <v>9112328</v>
      </c>
      <c r="C209" s="12" t="s">
        <v>103</v>
      </c>
      <c r="D209" s="12">
        <v>50069167</v>
      </c>
      <c r="E209" s="1" t="s">
        <v>1199</v>
      </c>
      <c r="F209" s="1" t="str">
        <f>VLOOKUP(A209,[1]Sheet1!$A$2:$E$1141,5,0)</f>
        <v>Physical &amp; Chemical Lab Anal Jr Officer</v>
      </c>
      <c r="G209" s="17" t="str">
        <f>VLOOKUP(A209,[1]Sheet1!$A$2:$F$1141,6,0)</f>
        <v>Supervisor</v>
      </c>
      <c r="H209" s="1" t="s">
        <v>1172</v>
      </c>
      <c r="I209" s="1" t="s">
        <v>1117</v>
      </c>
      <c r="J209" s="1" t="s">
        <v>1118</v>
      </c>
      <c r="K209" s="1" t="str">
        <f>VLOOKUP(A209,[1]Sheet1!$A$2:$I$1141,9,0)</f>
        <v>Unit of Quality Assurance</v>
      </c>
      <c r="L209" s="1" t="str">
        <f>VLOOKUP(A209,[1]Sheet1!$A$2:$J$1141,10,0)</f>
        <v>Section of Product Quality Assurance</v>
      </c>
      <c r="M209" s="2">
        <v>33298</v>
      </c>
      <c r="N209" s="1" t="s">
        <v>29</v>
      </c>
      <c r="O209" s="1" t="s">
        <v>30</v>
      </c>
      <c r="P209" s="1" t="s">
        <v>1200</v>
      </c>
      <c r="Q209" s="1" t="s">
        <v>1191</v>
      </c>
      <c r="R209" s="1" t="s">
        <v>1192</v>
      </c>
      <c r="S209" s="1" t="s">
        <v>1176</v>
      </c>
      <c r="T209" s="14">
        <v>53783</v>
      </c>
      <c r="U209" s="1" t="s">
        <v>1201</v>
      </c>
      <c r="V209" s="1" t="s">
        <v>186</v>
      </c>
      <c r="W209" s="3" t="str">
        <f t="shared" si="3"/>
        <v>35 tahun</v>
      </c>
      <c r="X209" s="1" t="s">
        <v>824</v>
      </c>
      <c r="Y209" s="1" t="s">
        <v>48</v>
      </c>
      <c r="Z209" s="2">
        <v>41275</v>
      </c>
      <c r="AA209" s="2">
        <v>41426</v>
      </c>
      <c r="AB209" s="2" t="s">
        <v>1202</v>
      </c>
    </row>
    <row r="210" spans="1:28" x14ac:dyDescent="0.35">
      <c r="A210" s="12">
        <v>5943</v>
      </c>
      <c r="B210" s="12">
        <v>8712109</v>
      </c>
      <c r="C210" s="12" t="s">
        <v>103</v>
      </c>
      <c r="D210" s="12">
        <v>50069168</v>
      </c>
      <c r="E210" s="1" t="s">
        <v>1203</v>
      </c>
      <c r="F210" s="1" t="str">
        <f>VLOOKUP(A210,[1]Sheet1!$A$2:$E$1141,5,0)</f>
        <v>Physical &amp; Chemical Lab Anal Jr Officer</v>
      </c>
      <c r="G210" s="17" t="str">
        <f>VLOOKUP(A210,[1]Sheet1!$A$2:$F$1141,6,0)</f>
        <v>Supervisor</v>
      </c>
      <c r="H210" s="1" t="s">
        <v>1172</v>
      </c>
      <c r="I210" s="1" t="s">
        <v>1117</v>
      </c>
      <c r="J210" s="1" t="s">
        <v>1118</v>
      </c>
      <c r="K210" s="1" t="str">
        <f>VLOOKUP(A210,[1]Sheet1!$A$2:$I$1141,9,0)</f>
        <v>Unit of Quality Assurance</v>
      </c>
      <c r="L210" s="1" t="str">
        <f>VLOOKUP(A210,[1]Sheet1!$A$2:$J$1141,10,0)</f>
        <v>Section of Product Quality Assurance</v>
      </c>
      <c r="M210" s="2">
        <v>32082</v>
      </c>
      <c r="N210" s="1" t="s">
        <v>59</v>
      </c>
      <c r="O210" s="1" t="s">
        <v>30</v>
      </c>
      <c r="P210" s="1" t="s">
        <v>1204</v>
      </c>
      <c r="Q210" s="1" t="s">
        <v>1191</v>
      </c>
      <c r="R210" s="1" t="s">
        <v>1192</v>
      </c>
      <c r="S210" s="1" t="s">
        <v>1176</v>
      </c>
      <c r="T210" s="14">
        <v>52566</v>
      </c>
      <c r="U210" s="1" t="s">
        <v>1205</v>
      </c>
      <c r="V210" s="1" t="s">
        <v>36</v>
      </c>
      <c r="W210" s="3" t="str">
        <f t="shared" si="3"/>
        <v>38 tahun</v>
      </c>
      <c r="X210" s="1" t="s">
        <v>204</v>
      </c>
      <c r="Y210" s="1" t="s">
        <v>48</v>
      </c>
      <c r="Z210" s="2">
        <v>41275</v>
      </c>
      <c r="AA210" s="2">
        <v>41395</v>
      </c>
      <c r="AB210" s="2" t="s">
        <v>1206</v>
      </c>
    </row>
    <row r="211" spans="1:28" x14ac:dyDescent="0.35">
      <c r="A211" s="12">
        <v>5097</v>
      </c>
      <c r="B211" s="12">
        <v>7495232</v>
      </c>
      <c r="C211" s="12" t="s">
        <v>50</v>
      </c>
      <c r="D211" s="12">
        <v>50069169</v>
      </c>
      <c r="E211" s="1" t="s">
        <v>1207</v>
      </c>
      <c r="F211" s="1" t="str">
        <f>VLOOKUP(A211,[1]Sheet1!$A$2:$E$1141,5,0)</f>
        <v>Spv of Product Inspection</v>
      </c>
      <c r="G211" s="17" t="str">
        <f>VLOOKUP(A211,[1]Sheet1!$A$2:$F$1141,6,0)</f>
        <v>Supervisor</v>
      </c>
      <c r="H211" s="1" t="s">
        <v>1172</v>
      </c>
      <c r="I211" s="1" t="s">
        <v>1117</v>
      </c>
      <c r="J211" s="1" t="s">
        <v>1118</v>
      </c>
      <c r="K211" s="1" t="str">
        <f>VLOOKUP(A211,[1]Sheet1!$A$2:$I$1141,9,0)</f>
        <v>Unit of Quality Assurance</v>
      </c>
      <c r="L211" s="1" t="str">
        <f>VLOOKUP(A211,[1]Sheet1!$A$2:$J$1141,10,0)</f>
        <v>Section of Product Quality Assurance</v>
      </c>
      <c r="M211" s="2">
        <v>27375</v>
      </c>
      <c r="N211" s="1" t="s">
        <v>29</v>
      </c>
      <c r="O211" s="1" t="s">
        <v>30</v>
      </c>
      <c r="P211" s="1" t="s">
        <v>1208</v>
      </c>
      <c r="Q211" s="1" t="s">
        <v>1209</v>
      </c>
      <c r="R211" s="1" t="s">
        <v>1210</v>
      </c>
      <c r="S211" s="1" t="s">
        <v>1176</v>
      </c>
      <c r="T211" s="14">
        <v>47849</v>
      </c>
      <c r="U211" s="1" t="s">
        <v>1211</v>
      </c>
      <c r="V211" s="1" t="s">
        <v>36</v>
      </c>
      <c r="W211" s="3" t="str">
        <f t="shared" si="3"/>
        <v>51 tahun</v>
      </c>
      <c r="X211" s="1" t="s">
        <v>55</v>
      </c>
      <c r="Y211" s="1" t="s">
        <v>48</v>
      </c>
      <c r="Z211" s="2">
        <v>35002</v>
      </c>
      <c r="AA211" s="2">
        <v>35370</v>
      </c>
      <c r="AB211" s="2" t="s">
        <v>1212</v>
      </c>
    </row>
    <row r="212" spans="1:28" x14ac:dyDescent="0.35">
      <c r="A212" s="12">
        <v>5271</v>
      </c>
      <c r="B212" s="12">
        <v>8210011</v>
      </c>
      <c r="C212" s="12" t="s">
        <v>139</v>
      </c>
      <c r="D212" s="12">
        <v>50069170</v>
      </c>
      <c r="E212" s="16" t="s">
        <v>1213</v>
      </c>
      <c r="F212" s="1" t="str">
        <f>VLOOKUP(A212,[1]Sheet1!$A$2:$E$1141,5,0)</f>
        <v>Mgr of Cement App &amp; Tech Service</v>
      </c>
      <c r="G212" s="16" t="str">
        <f>VLOOKUP(A212,[1]Sheet1!$A$2:$F$1141,6,0)</f>
        <v>Manager</v>
      </c>
      <c r="H212" s="1" t="s">
        <v>1214</v>
      </c>
      <c r="I212" s="1" t="s">
        <v>1117</v>
      </c>
      <c r="J212" s="1" t="s">
        <v>1118</v>
      </c>
      <c r="K212" s="1" t="str">
        <f>VLOOKUP(A212,[1]Sheet1!$A$2:$I$1141,9,0)</f>
        <v>Unit of Quality Assurance</v>
      </c>
      <c r="L212" s="1" t="str">
        <f>VLOOKUP(A212,[1]Sheet1!$A$2:$J$1141,10,0)</f>
        <v>Section of Cement App &amp; Tech Service</v>
      </c>
      <c r="M212" s="2">
        <v>30077</v>
      </c>
      <c r="N212" s="1" t="s">
        <v>29</v>
      </c>
      <c r="O212" s="1" t="s">
        <v>30</v>
      </c>
      <c r="P212" s="1" t="s">
        <v>1215</v>
      </c>
      <c r="Q212" s="1" t="s">
        <v>1216</v>
      </c>
      <c r="R212" s="1" t="s">
        <v>1217</v>
      </c>
      <c r="S212" s="1" t="s">
        <v>1218</v>
      </c>
      <c r="T212" s="14">
        <v>50557</v>
      </c>
      <c r="U212" s="1" t="s">
        <v>1219</v>
      </c>
      <c r="V212" s="1" t="s">
        <v>1220</v>
      </c>
      <c r="W212" s="3" t="str">
        <f t="shared" si="3"/>
        <v>44 tahun</v>
      </c>
      <c r="X212" s="1" t="s">
        <v>1221</v>
      </c>
      <c r="Y212" s="1" t="s">
        <v>48</v>
      </c>
      <c r="Z212" s="2">
        <v>40544</v>
      </c>
      <c r="AA212" s="2">
        <v>40634</v>
      </c>
      <c r="AB212" s="2" t="s">
        <v>866</v>
      </c>
    </row>
    <row r="213" spans="1:28" x14ac:dyDescent="0.35">
      <c r="A213" s="12">
        <v>5917</v>
      </c>
      <c r="B213" s="12">
        <v>8712084</v>
      </c>
      <c r="C213" s="12" t="s">
        <v>103</v>
      </c>
      <c r="D213" s="12">
        <v>50069171</v>
      </c>
      <c r="E213" s="1" t="s">
        <v>1222</v>
      </c>
      <c r="F213" s="1" t="str">
        <f>VLOOKUP(A213,[1]Sheet1!$A$2:$E$1141,5,0)</f>
        <v>Spv of Technical Service</v>
      </c>
      <c r="G213" s="17" t="str">
        <f>VLOOKUP(A213,[1]Sheet1!$A$2:$F$1141,6,0)</f>
        <v>Supervisor</v>
      </c>
      <c r="H213" s="1" t="s">
        <v>1214</v>
      </c>
      <c r="I213" s="1" t="s">
        <v>1117</v>
      </c>
      <c r="J213" s="1" t="s">
        <v>1118</v>
      </c>
      <c r="K213" s="1" t="str">
        <f>VLOOKUP(A213,[1]Sheet1!$A$2:$I$1141,9,0)</f>
        <v>Unit of Quality Assurance</v>
      </c>
      <c r="L213" s="1" t="str">
        <f>VLOOKUP(A213,[1]Sheet1!$A$2:$J$1141,10,0)</f>
        <v>Section of Cement App &amp; Tech Service</v>
      </c>
      <c r="M213" s="2">
        <v>31919</v>
      </c>
      <c r="N213" s="1" t="s">
        <v>59</v>
      </c>
      <c r="O213" s="1" t="s">
        <v>30</v>
      </c>
      <c r="P213" s="1" t="s">
        <v>1223</v>
      </c>
      <c r="Q213" s="1" t="s">
        <v>1224</v>
      </c>
      <c r="R213" s="1" t="s">
        <v>1225</v>
      </c>
      <c r="S213" s="1" t="s">
        <v>1218</v>
      </c>
      <c r="T213" s="14">
        <v>52383</v>
      </c>
      <c r="U213" s="1" t="s">
        <v>1226</v>
      </c>
      <c r="V213" s="1" t="s">
        <v>36</v>
      </c>
      <c r="W213" s="3" t="str">
        <f t="shared" si="3"/>
        <v>39 tahun</v>
      </c>
      <c r="X213" s="1" t="s">
        <v>112</v>
      </c>
      <c r="Y213" s="1" t="s">
        <v>56</v>
      </c>
      <c r="Z213" s="2">
        <v>41275</v>
      </c>
      <c r="AA213" s="2">
        <v>41395</v>
      </c>
      <c r="AB213" s="2" t="s">
        <v>888</v>
      </c>
    </row>
    <row r="214" spans="1:28" x14ac:dyDescent="0.35">
      <c r="A214" s="12">
        <v>5425</v>
      </c>
      <c r="B214" s="12">
        <v>8909011</v>
      </c>
      <c r="C214" s="12" t="s">
        <v>1137</v>
      </c>
      <c r="D214" s="12">
        <v>50069172</v>
      </c>
      <c r="E214" s="1" t="s">
        <v>1227</v>
      </c>
      <c r="F214" s="1" t="str">
        <f>VLOOKUP(A214,[1]Sheet1!$A$2:$E$1141,5,0)</f>
        <v>Cement Application Lab Jr Officer</v>
      </c>
      <c r="G214" s="17" t="str">
        <f>VLOOKUP(A214,[1]Sheet1!$A$2:$F$1141,6,0)</f>
        <v>Supervisor</v>
      </c>
      <c r="H214" s="1" t="s">
        <v>1214</v>
      </c>
      <c r="I214" s="1" t="s">
        <v>1117</v>
      </c>
      <c r="J214" s="1" t="s">
        <v>1118</v>
      </c>
      <c r="K214" s="1" t="str">
        <f>VLOOKUP(A214,[1]Sheet1!$A$2:$I$1141,9,0)</f>
        <v>Unit of Quality Assurance</v>
      </c>
      <c r="L214" s="1" t="str">
        <f>VLOOKUP(A214,[1]Sheet1!$A$2:$J$1141,10,0)</f>
        <v>Section of Cement App &amp; Tech Service</v>
      </c>
      <c r="M214" s="2">
        <v>32518</v>
      </c>
      <c r="N214" s="1" t="s">
        <v>29</v>
      </c>
      <c r="O214" s="1" t="s">
        <v>30</v>
      </c>
      <c r="P214" s="1" t="s">
        <v>1228</v>
      </c>
      <c r="Q214" s="1" t="s">
        <v>1229</v>
      </c>
      <c r="R214" s="1" t="s">
        <v>1230</v>
      </c>
      <c r="S214" s="1" t="s">
        <v>1218</v>
      </c>
      <c r="T214" s="14">
        <v>52994</v>
      </c>
      <c r="U214" s="1" t="s">
        <v>1231</v>
      </c>
      <c r="V214" s="1" t="s">
        <v>36</v>
      </c>
      <c r="W214" s="3" t="str">
        <f t="shared" si="3"/>
        <v>37 tahun</v>
      </c>
      <c r="X214" s="1" t="s">
        <v>204</v>
      </c>
      <c r="Y214" s="1" t="s">
        <v>48</v>
      </c>
      <c r="Z214" s="2">
        <v>40087</v>
      </c>
      <c r="AA214" s="2">
        <v>40391</v>
      </c>
      <c r="AB214" s="2" t="s">
        <v>1232</v>
      </c>
    </row>
    <row r="215" spans="1:28" x14ac:dyDescent="0.35">
      <c r="A215" s="12">
        <v>5919</v>
      </c>
      <c r="B215" s="12">
        <v>8712086</v>
      </c>
      <c r="C215" s="12" t="s">
        <v>103</v>
      </c>
      <c r="D215" s="12">
        <v>50069177</v>
      </c>
      <c r="E215" s="1" t="s">
        <v>1233</v>
      </c>
      <c r="F215" s="1" t="str">
        <f>VLOOKUP(A215,[1]Sheet1!$A$2:$E$1141,5,0)</f>
        <v>Cement App Lab Analyst Jr Officer</v>
      </c>
      <c r="G215" s="17" t="str">
        <f>VLOOKUP(A215,[1]Sheet1!$A$2:$F$1141,6,0)</f>
        <v>Supervisor</v>
      </c>
      <c r="H215" s="1" t="s">
        <v>1214</v>
      </c>
      <c r="I215" s="1" t="s">
        <v>1117</v>
      </c>
      <c r="J215" s="1" t="s">
        <v>1118</v>
      </c>
      <c r="K215" s="1" t="str">
        <f>VLOOKUP(A215,[1]Sheet1!$A$2:$I$1141,9,0)</f>
        <v>Unit of Quality Assurance</v>
      </c>
      <c r="L215" s="1" t="str">
        <f>VLOOKUP(A215,[1]Sheet1!$A$2:$J$1141,10,0)</f>
        <v>Section of Cement App &amp; Tech Service</v>
      </c>
      <c r="M215" s="2">
        <v>31926</v>
      </c>
      <c r="N215" s="1" t="s">
        <v>29</v>
      </c>
      <c r="O215" s="1" t="s">
        <v>30</v>
      </c>
      <c r="P215" s="1" t="s">
        <v>1234</v>
      </c>
      <c r="Q215" s="1" t="s">
        <v>1235</v>
      </c>
      <c r="R215" s="1" t="s">
        <v>1236</v>
      </c>
      <c r="S215" s="1" t="s">
        <v>1218</v>
      </c>
      <c r="T215" s="14">
        <v>52383</v>
      </c>
      <c r="U215" s="1" t="s">
        <v>1237</v>
      </c>
      <c r="V215" s="1" t="s">
        <v>36</v>
      </c>
      <c r="W215" s="3" t="str">
        <f t="shared" si="3"/>
        <v>39 tahun</v>
      </c>
      <c r="X215" s="1" t="s">
        <v>107</v>
      </c>
      <c r="Y215" s="1" t="s">
        <v>48</v>
      </c>
      <c r="Z215" s="2">
        <v>41275</v>
      </c>
      <c r="AA215" s="2">
        <v>41365</v>
      </c>
      <c r="AB215" s="2" t="s">
        <v>1238</v>
      </c>
    </row>
    <row r="216" spans="1:28" x14ac:dyDescent="0.35">
      <c r="A216" s="12">
        <v>5312</v>
      </c>
      <c r="B216" s="12">
        <v>8408045</v>
      </c>
      <c r="C216" s="12" t="s">
        <v>25</v>
      </c>
      <c r="D216" s="12">
        <v>50018453</v>
      </c>
      <c r="E216" s="13" t="s">
        <v>1239</v>
      </c>
      <c r="F216" s="1" t="str">
        <f>VLOOKUP(A216,[1]Sheet1!$A$2:$E$1141,5,0)</f>
        <v>GM of Production Planning &amp; Control</v>
      </c>
      <c r="G216" s="13" t="str">
        <f>VLOOKUP(A216,[1]Sheet1!$A$2:$F$1141,6,0)</f>
        <v>General Manager</v>
      </c>
      <c r="H216" s="1" t="s">
        <v>1240</v>
      </c>
      <c r="I216" s="1" t="s">
        <v>1117</v>
      </c>
      <c r="J216" s="1" t="str">
        <f>VLOOKUP(A216,[1]Sheet1!$A$2:$H$1141,8,0)</f>
        <v>Dept. of Production Planning &amp; Control</v>
      </c>
      <c r="K216" s="1" t="e">
        <f>VLOOKUP(A216,[1]Sheet1!$A$2:$I$1141,9,0)</f>
        <v>#REF!</v>
      </c>
      <c r="L216" s="1" t="e">
        <f>VLOOKUP(A216,[1]Sheet1!$A$2:$J$1141,10,0)</f>
        <v>#REF!</v>
      </c>
      <c r="M216" s="2">
        <v>30811</v>
      </c>
      <c r="N216" s="1" t="s">
        <v>29</v>
      </c>
      <c r="O216" s="1" t="s">
        <v>30</v>
      </c>
      <c r="P216" s="1" t="s">
        <v>1241</v>
      </c>
      <c r="Q216" s="1" t="s">
        <v>1242</v>
      </c>
      <c r="R216" s="1" t="s">
        <v>1243</v>
      </c>
      <c r="S216" s="1" t="s">
        <v>1244</v>
      </c>
      <c r="T216" s="14">
        <v>51288</v>
      </c>
      <c r="U216" s="1" t="s">
        <v>1245</v>
      </c>
      <c r="V216" s="1" t="s">
        <v>36</v>
      </c>
      <c r="W216" s="3" t="str">
        <f t="shared" si="3"/>
        <v>42 tahun</v>
      </c>
      <c r="X216" s="1" t="s">
        <v>1246</v>
      </c>
      <c r="Y216" s="1" t="s">
        <v>48</v>
      </c>
      <c r="Z216" s="2">
        <v>39814</v>
      </c>
      <c r="AA216" s="2">
        <v>39965</v>
      </c>
      <c r="AB216" s="2" t="s">
        <v>1247</v>
      </c>
    </row>
    <row r="217" spans="1:28" x14ac:dyDescent="0.35">
      <c r="A217" s="12">
        <v>5031</v>
      </c>
      <c r="B217" s="12">
        <v>7495030</v>
      </c>
      <c r="C217" s="12" t="s">
        <v>50</v>
      </c>
      <c r="D217" s="12">
        <v>50070844</v>
      </c>
      <c r="E217" s="1" t="s">
        <v>1248</v>
      </c>
      <c r="F217" s="1" t="str">
        <f>VLOOKUP(A217,[1]Sheet1!$A$2:$E$1141,5,0)</f>
        <v>Prod Planning &amp; Control Jr Planner</v>
      </c>
      <c r="G217" s="17" t="str">
        <f>VLOOKUP(A217,[1]Sheet1!$A$2:$F$1141,6,0)</f>
        <v>Supervisor</v>
      </c>
      <c r="H217" s="1" t="s">
        <v>1240</v>
      </c>
      <c r="I217" s="1" t="s">
        <v>1117</v>
      </c>
      <c r="J217" s="1" t="str">
        <f>VLOOKUP(A217,[1]Sheet1!$A$2:$H$1141,8,0)</f>
        <v>Dept. of Production Planning &amp; Control</v>
      </c>
      <c r="K217" s="1" t="e">
        <f>VLOOKUP(A217,[1]Sheet1!$A$2:$I$1141,9,0)</f>
        <v>#REF!</v>
      </c>
      <c r="L217" s="1" t="e">
        <f>VLOOKUP(A217,[1]Sheet1!$A$2:$J$1141,10,0)</f>
        <v>#REF!</v>
      </c>
      <c r="M217" s="2">
        <v>27173</v>
      </c>
      <c r="N217" s="1" t="s">
        <v>29</v>
      </c>
      <c r="O217" s="1" t="s">
        <v>30</v>
      </c>
      <c r="P217" s="1" t="s">
        <v>1249</v>
      </c>
      <c r="Q217" s="1" t="s">
        <v>1242</v>
      </c>
      <c r="R217" s="1" t="s">
        <v>1243</v>
      </c>
      <c r="S217" s="1" t="s">
        <v>1244</v>
      </c>
      <c r="T217" s="14">
        <v>47635</v>
      </c>
      <c r="U217" s="1" t="s">
        <v>1250</v>
      </c>
      <c r="V217" s="1" t="s">
        <v>186</v>
      </c>
      <c r="W217" s="3" t="str">
        <f t="shared" si="3"/>
        <v>52 tahun</v>
      </c>
      <c r="X217" s="1" t="s">
        <v>1146</v>
      </c>
      <c r="Y217" s="1" t="s">
        <v>48</v>
      </c>
      <c r="Z217" s="2">
        <v>34897</v>
      </c>
      <c r="AA217" s="2">
        <v>35278</v>
      </c>
      <c r="AB217" s="2" t="s">
        <v>1251</v>
      </c>
    </row>
    <row r="218" spans="1:28" x14ac:dyDescent="0.35">
      <c r="A218" s="12">
        <v>5309</v>
      </c>
      <c r="B218" s="12">
        <v>8408044</v>
      </c>
      <c r="C218" s="12" t="s">
        <v>25</v>
      </c>
      <c r="D218" s="12">
        <v>50023514</v>
      </c>
      <c r="E218" s="15" t="s">
        <v>1252</v>
      </c>
      <c r="F218" s="1" t="str">
        <f>VLOOKUP(A218,[1]Sheet1!$A$2:$E$1141,5,0)</f>
        <v>SM of Prod. Plan Eval. &amp; Environmental</v>
      </c>
      <c r="G218" s="15" t="str">
        <f>VLOOKUP(A218,[1]Sheet1!$A$2:$F$1141,6,0)</f>
        <v>Senior Manager</v>
      </c>
      <c r="H218" s="1" t="s">
        <v>1253</v>
      </c>
      <c r="I218" s="1" t="s">
        <v>1117</v>
      </c>
      <c r="J218" s="1" t="str">
        <f>VLOOKUP(A218,[1]Sheet1!$A$2:$H$1141,8,0)</f>
        <v>Dept. of Production Planning &amp; Control</v>
      </c>
      <c r="K218" s="1" t="str">
        <f>VLOOKUP(A218,[1]Sheet1!$A$2:$I$1141,9,0)</f>
        <v>Unit of Prod. Plan Eval. &amp; Environmental</v>
      </c>
      <c r="L218" s="1" t="e">
        <f>VLOOKUP(A218,[1]Sheet1!$A$2:$J$1141,10,0)</f>
        <v>#REF!</v>
      </c>
      <c r="M218" s="2">
        <v>30796</v>
      </c>
      <c r="N218" s="1" t="s">
        <v>59</v>
      </c>
      <c r="O218" s="1" t="s">
        <v>30</v>
      </c>
      <c r="P218" s="1" t="s">
        <v>1254</v>
      </c>
      <c r="Q218" s="1" t="s">
        <v>1255</v>
      </c>
      <c r="R218" s="1" t="s">
        <v>1256</v>
      </c>
      <c r="S218" s="1" t="s">
        <v>1257</v>
      </c>
      <c r="T218" s="14">
        <v>51257</v>
      </c>
      <c r="U218" s="1" t="s">
        <v>1258</v>
      </c>
      <c r="V218" s="1" t="s">
        <v>36</v>
      </c>
      <c r="W218" s="3" t="str">
        <f t="shared" si="3"/>
        <v>42 tahun</v>
      </c>
      <c r="X218" s="1" t="s">
        <v>1259</v>
      </c>
      <c r="Y218" s="1" t="s">
        <v>48</v>
      </c>
      <c r="Z218" s="2">
        <v>39814</v>
      </c>
      <c r="AA218" s="2">
        <v>39934</v>
      </c>
      <c r="AB218" s="2" t="s">
        <v>1260</v>
      </c>
    </row>
    <row r="219" spans="1:28" x14ac:dyDescent="0.35">
      <c r="A219" s="12">
        <v>5089</v>
      </c>
      <c r="B219" s="12">
        <v>7495231</v>
      </c>
      <c r="C219" s="12" t="s">
        <v>50</v>
      </c>
      <c r="D219" s="12">
        <v>50061695</v>
      </c>
      <c r="E219" s="16" t="s">
        <v>1261</v>
      </c>
      <c r="F219" s="1" t="str">
        <f>VLOOKUP(A219,[1]Sheet1!$A$2:$E$1141,5,0)</f>
        <v>Mgr of Enviromental Monitoring</v>
      </c>
      <c r="G219" s="16" t="str">
        <f>VLOOKUP(A219,[1]Sheet1!$A$2:$F$1141,6,0)</f>
        <v>Manager</v>
      </c>
      <c r="H219" s="1" t="s">
        <v>1262</v>
      </c>
      <c r="I219" s="1" t="s">
        <v>1117</v>
      </c>
      <c r="J219" s="1" t="str">
        <f>VLOOKUP(A219,[1]Sheet1!$A$2:$H$1141,8,0)</f>
        <v>Dept. of Production Planning &amp; Control</v>
      </c>
      <c r="K219" s="1" t="str">
        <f>VLOOKUP(A219,[1]Sheet1!$A$2:$I$1141,9,0)</f>
        <v>Unit of Prod. Plan Eval. &amp; Environmental</v>
      </c>
      <c r="L219" s="1" t="str">
        <f>VLOOKUP(A219,[1]Sheet1!$A$2:$J$1141,10,0)</f>
        <v>Section of Enviromental Monitoring</v>
      </c>
      <c r="M219" s="2">
        <v>27343</v>
      </c>
      <c r="N219" s="1" t="s">
        <v>29</v>
      </c>
      <c r="O219" s="1" t="s">
        <v>30</v>
      </c>
      <c r="P219" s="1" t="s">
        <v>1263</v>
      </c>
      <c r="Q219" s="1" t="s">
        <v>1264</v>
      </c>
      <c r="R219" s="1" t="s">
        <v>1265</v>
      </c>
      <c r="S219" s="1" t="s">
        <v>1266</v>
      </c>
      <c r="T219" s="14">
        <v>47818</v>
      </c>
      <c r="U219" s="1" t="s">
        <v>1267</v>
      </c>
      <c r="V219" s="1" t="s">
        <v>36</v>
      </c>
      <c r="W219" s="3" t="str">
        <f t="shared" si="3"/>
        <v>51 tahun</v>
      </c>
      <c r="X219" s="1" t="s">
        <v>1268</v>
      </c>
      <c r="Y219" s="1" t="s">
        <v>48</v>
      </c>
      <c r="Z219" s="2">
        <v>35002</v>
      </c>
      <c r="AA219" s="2">
        <v>35370</v>
      </c>
      <c r="AB219" s="2" t="s">
        <v>84</v>
      </c>
    </row>
    <row r="220" spans="1:28" x14ac:dyDescent="0.35">
      <c r="A220" s="12">
        <v>5001</v>
      </c>
      <c r="B220" s="12">
        <v>7495022</v>
      </c>
      <c r="C220" s="12" t="s">
        <v>50</v>
      </c>
      <c r="D220" s="12">
        <v>50062612</v>
      </c>
      <c r="E220" s="1" t="s">
        <v>1269</v>
      </c>
      <c r="F220" s="1" t="str">
        <f>VLOOKUP(A220,[1]Sheet1!$A$2:$E$1141,5,0)</f>
        <v>Jr of Enviromental Monitoring</v>
      </c>
      <c r="G220" s="17" t="str">
        <f>VLOOKUP(A220,[1]Sheet1!$A$2:$F$1141,6,0)</f>
        <v>Supervisor</v>
      </c>
      <c r="H220" s="1" t="s">
        <v>1262</v>
      </c>
      <c r="I220" s="1" t="s">
        <v>1117</v>
      </c>
      <c r="J220" s="1" t="str">
        <f>VLOOKUP(A220,[1]Sheet1!$A$2:$H$1141,8,0)</f>
        <v>Dept. of Production Planning &amp; Control</v>
      </c>
      <c r="K220" s="1" t="str">
        <f>VLOOKUP(A220,[1]Sheet1!$A$2:$I$1141,9,0)</f>
        <v>Unit of Prod. Plan Eval. &amp; Environmental</v>
      </c>
      <c r="L220" s="1" t="str">
        <f>VLOOKUP(A220,[1]Sheet1!$A$2:$J$1141,10,0)</f>
        <v>Section of Enviromental Monitoring</v>
      </c>
      <c r="M220" s="2">
        <v>27043</v>
      </c>
      <c r="N220" s="1" t="s">
        <v>29</v>
      </c>
      <c r="O220" s="1" t="s">
        <v>30</v>
      </c>
      <c r="P220" s="1" t="s">
        <v>1270</v>
      </c>
      <c r="Q220" s="1" t="s">
        <v>1271</v>
      </c>
      <c r="R220" s="1" t="s">
        <v>1272</v>
      </c>
      <c r="S220" s="1" t="s">
        <v>1266</v>
      </c>
      <c r="T220" s="14">
        <v>47515</v>
      </c>
      <c r="U220" s="1" t="s">
        <v>1273</v>
      </c>
      <c r="V220" s="1" t="s">
        <v>186</v>
      </c>
      <c r="W220" s="3" t="str">
        <f t="shared" si="3"/>
        <v>52 tahun</v>
      </c>
      <c r="X220" s="1" t="s">
        <v>1274</v>
      </c>
      <c r="Y220" s="1" t="s">
        <v>56</v>
      </c>
      <c r="Z220" s="2">
        <v>34897</v>
      </c>
      <c r="AA220" s="2">
        <v>35278</v>
      </c>
      <c r="AB220" s="2" t="s">
        <v>84</v>
      </c>
    </row>
    <row r="221" spans="1:28" x14ac:dyDescent="0.35">
      <c r="A221" s="12">
        <v>6255</v>
      </c>
      <c r="B221" s="12">
        <v>9212423</v>
      </c>
      <c r="C221" s="12" t="s">
        <v>103</v>
      </c>
      <c r="D221" s="12">
        <v>50062613</v>
      </c>
      <c r="E221" s="1" t="s">
        <v>1275</v>
      </c>
      <c r="F221" s="1" t="str">
        <f>VLOOKUP(A221,[1]Sheet1!$A$2:$E$1141,5,0)</f>
        <v>Jr of Enviromental Monitoring</v>
      </c>
      <c r="G221" s="17" t="str">
        <f>VLOOKUP(A221,[1]Sheet1!$A$2:$F$1141,6,0)</f>
        <v>Supervisor</v>
      </c>
      <c r="H221" s="1" t="s">
        <v>1262</v>
      </c>
      <c r="I221" s="1" t="s">
        <v>1117</v>
      </c>
      <c r="J221" s="1" t="str">
        <f>VLOOKUP(A221,[1]Sheet1!$A$2:$H$1141,8,0)</f>
        <v>Dept. of Production Planning &amp; Control</v>
      </c>
      <c r="K221" s="1" t="str">
        <f>VLOOKUP(A221,[1]Sheet1!$A$2:$I$1141,9,0)</f>
        <v>Unit of Prod. Plan Eval. &amp; Environmental</v>
      </c>
      <c r="L221" s="1" t="str">
        <f>VLOOKUP(A221,[1]Sheet1!$A$2:$J$1141,10,0)</f>
        <v>Section of Enviromental Monitoring</v>
      </c>
      <c r="M221" s="2">
        <v>33754</v>
      </c>
      <c r="N221" s="1" t="s">
        <v>59</v>
      </c>
      <c r="O221" s="1" t="s">
        <v>30</v>
      </c>
      <c r="P221" s="1" t="s">
        <v>1276</v>
      </c>
      <c r="Q221" s="1" t="s">
        <v>1271</v>
      </c>
      <c r="R221" s="1" t="s">
        <v>1272</v>
      </c>
      <c r="S221" s="1" t="s">
        <v>1266</v>
      </c>
      <c r="T221" s="14">
        <v>54210</v>
      </c>
      <c r="U221" s="1" t="s">
        <v>1277</v>
      </c>
      <c r="V221" s="1" t="s">
        <v>36</v>
      </c>
      <c r="W221" s="3" t="str">
        <f t="shared" si="3"/>
        <v>34 tahun</v>
      </c>
      <c r="X221" s="1" t="s">
        <v>112</v>
      </c>
      <c r="Y221" s="1" t="s">
        <v>56</v>
      </c>
      <c r="Z221" s="2">
        <v>41275</v>
      </c>
      <c r="AA221" s="2">
        <v>41395</v>
      </c>
      <c r="AB221" s="2" t="s">
        <v>1278</v>
      </c>
    </row>
    <row r="222" spans="1:28" x14ac:dyDescent="0.35">
      <c r="A222" s="12">
        <v>4902</v>
      </c>
      <c r="B222" s="12">
        <v>7402203</v>
      </c>
      <c r="C222" s="12" t="s">
        <v>164</v>
      </c>
      <c r="D222" s="12">
        <v>50061702</v>
      </c>
      <c r="E222" s="1" t="s">
        <v>1279</v>
      </c>
      <c r="F222" s="1" t="str">
        <f>VLOOKUP(A222,[1]Sheet1!$A$2:$E$1141,5,0)</f>
        <v>Adm of Enviromental Monitoring</v>
      </c>
      <c r="G222" s="17" t="str">
        <f>VLOOKUP(A222,[1]Sheet1!$A$2:$F$1141,6,0)</f>
        <v>Associate</v>
      </c>
      <c r="H222" s="1" t="s">
        <v>1262</v>
      </c>
      <c r="I222" s="1" t="s">
        <v>1117</v>
      </c>
      <c r="J222" s="1" t="str">
        <f>VLOOKUP(A222,[1]Sheet1!$A$2:$H$1141,8,0)</f>
        <v>Dept. of Production Planning &amp; Control</v>
      </c>
      <c r="K222" s="1" t="str">
        <f>VLOOKUP(A222,[1]Sheet1!$A$2:$I$1141,9,0)</f>
        <v>Unit of Prod. Plan Eval. &amp; Environmental</v>
      </c>
      <c r="L222" s="1" t="str">
        <f>VLOOKUP(A222,[1]Sheet1!$A$2:$J$1141,10,0)</f>
        <v>Section of Enviromental Monitoring</v>
      </c>
      <c r="M222" s="2">
        <v>27054</v>
      </c>
      <c r="N222" s="1" t="s">
        <v>29</v>
      </c>
      <c r="O222" s="1" t="s">
        <v>30</v>
      </c>
      <c r="P222" s="1" t="s">
        <v>1280</v>
      </c>
      <c r="Q222" s="1" t="s">
        <v>1271</v>
      </c>
      <c r="R222" s="1" t="s">
        <v>1272</v>
      </c>
      <c r="S222" s="1" t="s">
        <v>1266</v>
      </c>
      <c r="T222" s="14">
        <v>47515</v>
      </c>
      <c r="U222" s="1" t="s">
        <v>1281</v>
      </c>
      <c r="V222" s="1" t="s">
        <v>36</v>
      </c>
      <c r="W222" s="3" t="str">
        <f t="shared" si="3"/>
        <v>52 tahun</v>
      </c>
      <c r="X222" s="1" t="s">
        <v>96</v>
      </c>
      <c r="Y222" s="1" t="s">
        <v>56</v>
      </c>
      <c r="Z222" s="2">
        <v>37469</v>
      </c>
      <c r="AA222" s="2">
        <v>38718</v>
      </c>
      <c r="AB222" s="2" t="s">
        <v>1282</v>
      </c>
    </row>
    <row r="223" spans="1:28" x14ac:dyDescent="0.35">
      <c r="A223" s="12">
        <v>4868</v>
      </c>
      <c r="B223" s="12">
        <v>7306403</v>
      </c>
      <c r="C223" s="12" t="s">
        <v>219</v>
      </c>
      <c r="D223" s="12">
        <v>50066989</v>
      </c>
      <c r="E223" s="1" t="s">
        <v>1283</v>
      </c>
      <c r="F223" s="1" t="str">
        <f>VLOOKUP(A223,[1]Sheet1!$A$2:$E$1141,5,0)</f>
        <v>E Adm of Enviromental Monitoring</v>
      </c>
      <c r="G223" s="17" t="str">
        <f>VLOOKUP(A223,[1]Sheet1!$A$2:$F$1141,6,0)</f>
        <v>Associate</v>
      </c>
      <c r="H223" s="1" t="s">
        <v>1262</v>
      </c>
      <c r="I223" s="1" t="s">
        <v>1117</v>
      </c>
      <c r="J223" s="1" t="str">
        <f>VLOOKUP(A223,[1]Sheet1!$A$2:$H$1141,8,0)</f>
        <v>Dept. of Production Planning &amp; Control</v>
      </c>
      <c r="K223" s="1" t="str">
        <f>VLOOKUP(A223,[1]Sheet1!$A$2:$I$1141,9,0)</f>
        <v>Unit of Prod. Plan Eval. &amp; Environmental</v>
      </c>
      <c r="L223" s="1" t="str">
        <f>VLOOKUP(A223,[1]Sheet1!$A$2:$J$1141,10,0)</f>
        <v>Section of Enviromental Monitoring</v>
      </c>
      <c r="M223" s="2">
        <v>26878</v>
      </c>
      <c r="N223" s="1" t="s">
        <v>59</v>
      </c>
      <c r="O223" s="1" t="s">
        <v>30</v>
      </c>
      <c r="P223" s="1" t="s">
        <v>1284</v>
      </c>
      <c r="Q223" s="1" t="s">
        <v>1271</v>
      </c>
      <c r="R223" s="1" t="s">
        <v>1272</v>
      </c>
      <c r="S223" s="1" t="s">
        <v>1266</v>
      </c>
      <c r="T223" s="14">
        <v>47362</v>
      </c>
      <c r="U223" s="1" t="s">
        <v>1285</v>
      </c>
      <c r="V223" s="1" t="s">
        <v>186</v>
      </c>
      <c r="W223" s="3" t="str">
        <f t="shared" si="3"/>
        <v>53 tahun</v>
      </c>
      <c r="X223" s="1" t="s">
        <v>248</v>
      </c>
      <c r="Y223" s="1" t="s">
        <v>56</v>
      </c>
      <c r="Z223" s="2">
        <v>38718</v>
      </c>
      <c r="AA223" s="2">
        <v>41030</v>
      </c>
      <c r="AB223" s="2" t="s">
        <v>1286</v>
      </c>
    </row>
    <row r="224" spans="1:28" x14ac:dyDescent="0.35">
      <c r="A224" s="12">
        <v>6092</v>
      </c>
      <c r="B224" s="12">
        <v>9012260</v>
      </c>
      <c r="C224" s="12" t="s">
        <v>103</v>
      </c>
      <c r="D224" s="12">
        <v>50064128</v>
      </c>
      <c r="E224" s="16" t="s">
        <v>1287</v>
      </c>
      <c r="F224" s="1" t="str">
        <f>VLOOKUP(A224,[1]Sheet1!$A$2:$E$1141,5,0)</f>
        <v>Mgr of PROPER &amp; CDM</v>
      </c>
      <c r="G224" s="16" t="str">
        <f>VLOOKUP(A224,[1]Sheet1!$A$2:$F$1141,6,0)</f>
        <v>Manager</v>
      </c>
      <c r="H224" s="1" t="s">
        <v>1288</v>
      </c>
      <c r="I224" s="1" t="s">
        <v>1117</v>
      </c>
      <c r="J224" s="1" t="str">
        <f>VLOOKUP(A224,[1]Sheet1!$A$2:$H$1141,8,0)</f>
        <v>Dept. of Production Planning &amp; Control</v>
      </c>
      <c r="K224" s="1" t="str">
        <f>VLOOKUP(A224,[1]Sheet1!$A$2:$I$1141,9,0)</f>
        <v>Unit of Prod. Plan Eval. &amp; Environmental</v>
      </c>
      <c r="L224" s="1" t="str">
        <f>VLOOKUP(A224,[1]Sheet1!$A$2:$J$1141,10,0)</f>
        <v>Section of PROPER &amp; CDM</v>
      </c>
      <c r="M224" s="2">
        <v>32994</v>
      </c>
      <c r="N224" s="1" t="s">
        <v>29</v>
      </c>
      <c r="O224" s="1" t="s">
        <v>30</v>
      </c>
      <c r="P224" s="1" t="s">
        <v>1289</v>
      </c>
      <c r="Q224" s="1" t="s">
        <v>1290</v>
      </c>
      <c r="R224" s="1" t="s">
        <v>1291</v>
      </c>
      <c r="S224" s="1" t="s">
        <v>1292</v>
      </c>
      <c r="T224" s="14">
        <v>53479</v>
      </c>
      <c r="U224" s="1" t="s">
        <v>1293</v>
      </c>
      <c r="V224" s="1" t="s">
        <v>36</v>
      </c>
      <c r="W224" s="3" t="str">
        <f t="shared" si="3"/>
        <v>36 tahun</v>
      </c>
      <c r="X224" s="1" t="s">
        <v>37</v>
      </c>
      <c r="Y224" s="1" t="s">
        <v>48</v>
      </c>
      <c r="Z224" s="2">
        <v>41275</v>
      </c>
      <c r="AA224" s="2">
        <v>41426</v>
      </c>
      <c r="AB224" s="2" t="s">
        <v>1294</v>
      </c>
    </row>
    <row r="225" spans="1:28" x14ac:dyDescent="0.35">
      <c r="A225" s="12">
        <v>8282</v>
      </c>
      <c r="B225" s="12">
        <v>9923008</v>
      </c>
      <c r="C225" s="12" t="s">
        <v>158</v>
      </c>
      <c r="D225" s="12">
        <v>50066608</v>
      </c>
      <c r="E225" s="1" t="s">
        <v>1295</v>
      </c>
      <c r="F225" s="1" t="str">
        <f>VLOOKUP(A225,[1]Sheet1!$A$2:$E$1141,5,0)</f>
        <v>Proper &amp; CDM Jr Officer</v>
      </c>
      <c r="G225" s="17" t="str">
        <f>VLOOKUP(A225,[1]Sheet1!$A$2:$F$1141,6,0)</f>
        <v>Supervisor</v>
      </c>
      <c r="H225" s="1" t="s">
        <v>1288</v>
      </c>
      <c r="I225" s="1" t="s">
        <v>1117</v>
      </c>
      <c r="J225" s="1" t="str">
        <f>VLOOKUP(A225,[1]Sheet1!$A$2:$H$1141,8,0)</f>
        <v>Dept. of Production Planning &amp; Control</v>
      </c>
      <c r="K225" s="1" t="str">
        <f>VLOOKUP(A225,[1]Sheet1!$A$2:$I$1141,9,0)</f>
        <v>Unit of Prod. Plan Eval. &amp; Environmental</v>
      </c>
      <c r="L225" s="1" t="str">
        <f>VLOOKUP(A225,[1]Sheet1!$A$2:$J$1141,10,0)</f>
        <v>Section of PROPER &amp; CDM</v>
      </c>
      <c r="M225" s="2">
        <v>35043</v>
      </c>
      <c r="N225" s="1" t="s">
        <v>29</v>
      </c>
      <c r="O225" s="1" t="s">
        <v>30</v>
      </c>
      <c r="P225" s="1" t="s">
        <v>1296</v>
      </c>
      <c r="Q225" s="1" t="s">
        <v>1297</v>
      </c>
      <c r="R225" s="1" t="s">
        <v>1298</v>
      </c>
      <c r="S225" s="1" t="s">
        <v>1292</v>
      </c>
      <c r="T225" s="14">
        <v>55519</v>
      </c>
      <c r="U225" s="1" t="s">
        <v>1299</v>
      </c>
      <c r="V225" s="1" t="s">
        <v>186</v>
      </c>
      <c r="W225" s="3" t="str">
        <f t="shared" si="3"/>
        <v>30 tahun</v>
      </c>
      <c r="X225" s="1" t="s">
        <v>1300</v>
      </c>
      <c r="Y225" s="1" t="s">
        <v>48</v>
      </c>
      <c r="Z225" s="2">
        <v>45200</v>
      </c>
      <c r="AA225" s="2">
        <v>45566</v>
      </c>
      <c r="AB225" s="2" t="e">
        <v>#VALUE!</v>
      </c>
    </row>
    <row r="226" spans="1:28" x14ac:dyDescent="0.35">
      <c r="A226" s="12">
        <v>4742</v>
      </c>
      <c r="B226" s="12">
        <v>7002148</v>
      </c>
      <c r="C226" s="12" t="s">
        <v>164</v>
      </c>
      <c r="D226" s="12">
        <v>50061699</v>
      </c>
      <c r="E226" s="1" t="s">
        <v>1301</v>
      </c>
      <c r="F226" s="1" t="str">
        <f>VLOOKUP(A226,[1]Sheet1!$A$2:$E$1141,5,0)</f>
        <v>Jr of PROPER &amp; CDM</v>
      </c>
      <c r="G226" s="17" t="str">
        <f>VLOOKUP(A226,[1]Sheet1!$A$2:$F$1141,6,0)</f>
        <v>Supervisor</v>
      </c>
      <c r="H226" s="1" t="s">
        <v>1288</v>
      </c>
      <c r="I226" s="1" t="s">
        <v>1117</v>
      </c>
      <c r="J226" s="1" t="str">
        <f>VLOOKUP(A226,[1]Sheet1!$A$2:$H$1141,8,0)</f>
        <v>Dept. of Production Planning &amp; Control</v>
      </c>
      <c r="K226" s="1" t="str">
        <f>VLOOKUP(A226,[1]Sheet1!$A$2:$I$1141,9,0)</f>
        <v>Unit of Prod. Plan Eval. &amp; Environmental</v>
      </c>
      <c r="L226" s="1" t="str">
        <f>VLOOKUP(A226,[1]Sheet1!$A$2:$J$1141,10,0)</f>
        <v>Section of PROPER &amp; CDM</v>
      </c>
      <c r="M226" s="2">
        <v>25897</v>
      </c>
      <c r="N226" s="1" t="s">
        <v>29</v>
      </c>
      <c r="O226" s="1" t="s">
        <v>30</v>
      </c>
      <c r="P226" s="1" t="s">
        <v>1302</v>
      </c>
      <c r="Q226" s="1" t="s">
        <v>1297</v>
      </c>
      <c r="R226" s="1" t="s">
        <v>1298</v>
      </c>
      <c r="S226" s="1" t="s">
        <v>1292</v>
      </c>
      <c r="T226" s="14">
        <v>46357</v>
      </c>
      <c r="U226" s="1" t="s">
        <v>1303</v>
      </c>
      <c r="V226" s="1" t="s">
        <v>36</v>
      </c>
      <c r="W226" s="3" t="str">
        <f t="shared" si="3"/>
        <v>55 tahun</v>
      </c>
      <c r="X226" s="1" t="s">
        <v>96</v>
      </c>
      <c r="Y226" s="1" t="s">
        <v>48</v>
      </c>
      <c r="Z226" s="2">
        <v>37469</v>
      </c>
      <c r="AA226" s="2">
        <v>38718</v>
      </c>
      <c r="AB226" s="2" t="s">
        <v>1304</v>
      </c>
    </row>
    <row r="227" spans="1:28" x14ac:dyDescent="0.35">
      <c r="A227" s="12">
        <v>5024</v>
      </c>
      <c r="B227" s="12">
        <v>7495215</v>
      </c>
      <c r="C227" s="12" t="s">
        <v>50</v>
      </c>
      <c r="D227" s="12">
        <v>50062616</v>
      </c>
      <c r="E227" s="1" t="s">
        <v>1305</v>
      </c>
      <c r="F227" s="1" t="str">
        <f>VLOOKUP(A227,[1]Sheet1!$A$2:$E$1141,5,0)</f>
        <v>Jr of PROPER &amp; CDM</v>
      </c>
      <c r="G227" s="17" t="str">
        <f>VLOOKUP(A227,[1]Sheet1!$A$2:$F$1141,6,0)</f>
        <v>Supervisor</v>
      </c>
      <c r="H227" s="1" t="s">
        <v>1288</v>
      </c>
      <c r="I227" s="1" t="s">
        <v>1117</v>
      </c>
      <c r="J227" s="1" t="str">
        <f>VLOOKUP(A227,[1]Sheet1!$A$2:$H$1141,8,0)</f>
        <v>Dept. of Production Planning &amp; Control</v>
      </c>
      <c r="K227" s="1" t="str">
        <f>VLOOKUP(A227,[1]Sheet1!$A$2:$I$1141,9,0)</f>
        <v>Unit of Prod. Plan Eval. &amp; Environmental</v>
      </c>
      <c r="L227" s="1" t="str">
        <f>VLOOKUP(A227,[1]Sheet1!$A$2:$J$1141,10,0)</f>
        <v>Section of PROPER &amp; CDM</v>
      </c>
      <c r="M227" s="2">
        <v>27114</v>
      </c>
      <c r="N227" s="1" t="s">
        <v>29</v>
      </c>
      <c r="O227" s="1" t="s">
        <v>30</v>
      </c>
      <c r="P227" s="1" t="s">
        <v>1306</v>
      </c>
      <c r="Q227" s="1" t="s">
        <v>1297</v>
      </c>
      <c r="R227" s="1" t="s">
        <v>1298</v>
      </c>
      <c r="S227" s="1" t="s">
        <v>1292</v>
      </c>
      <c r="T227" s="14">
        <v>47574</v>
      </c>
      <c r="U227" s="1" t="s">
        <v>1307</v>
      </c>
      <c r="V227" s="1" t="s">
        <v>36</v>
      </c>
      <c r="W227" s="3" t="str">
        <f t="shared" si="3"/>
        <v>52 tahun</v>
      </c>
      <c r="X227" s="1" t="s">
        <v>55</v>
      </c>
      <c r="Y227" s="1" t="s">
        <v>48</v>
      </c>
      <c r="Z227" s="2">
        <v>35002</v>
      </c>
      <c r="AA227" s="2">
        <v>35370</v>
      </c>
      <c r="AB227" s="2" t="s">
        <v>1308</v>
      </c>
    </row>
    <row r="228" spans="1:28" x14ac:dyDescent="0.35">
      <c r="A228" s="12">
        <v>5300</v>
      </c>
      <c r="B228" s="12">
        <v>8408061</v>
      </c>
      <c r="C228" s="12" t="s">
        <v>25</v>
      </c>
      <c r="D228" s="12">
        <v>50052203</v>
      </c>
      <c r="E228" s="16" t="s">
        <v>1309</v>
      </c>
      <c r="F228" s="1" t="str">
        <f>VLOOKUP(A228,[1]Sheet1!$A$2:$E$1141,5,0)</f>
        <v>Mgr of Production Planning</v>
      </c>
      <c r="G228" s="16" t="str">
        <f>VLOOKUP(A228,[1]Sheet1!$A$2:$F$1141,6,0)</f>
        <v>Manager</v>
      </c>
      <c r="H228" s="1" t="s">
        <v>1253</v>
      </c>
      <c r="I228" s="1" t="s">
        <v>1117</v>
      </c>
      <c r="J228" s="1" t="str">
        <f>VLOOKUP(A228,[1]Sheet1!$A$2:$H$1141,8,0)</f>
        <v>Dept. of Production Planning &amp; Control</v>
      </c>
      <c r="K228" s="1" t="str">
        <f>VLOOKUP(A228,[1]Sheet1!$A$2:$I$1141,9,0)</f>
        <v>Unit of Prod. Plan Eval. &amp; Environmental</v>
      </c>
      <c r="L228" s="1" t="str">
        <f>VLOOKUP(A228,[1]Sheet1!$A$2:$J$1141,10,0)</f>
        <v>Section of Production Planning</v>
      </c>
      <c r="M228" s="2">
        <v>30686</v>
      </c>
      <c r="N228" s="1" t="s">
        <v>29</v>
      </c>
      <c r="O228" s="1" t="s">
        <v>30</v>
      </c>
      <c r="P228" s="1" t="s">
        <v>1310</v>
      </c>
      <c r="Q228" s="1" t="s">
        <v>1311</v>
      </c>
      <c r="R228" s="1" t="s">
        <v>1312</v>
      </c>
      <c r="S228" s="1" t="s">
        <v>1257</v>
      </c>
      <c r="T228" s="14">
        <v>51167</v>
      </c>
      <c r="U228" s="1" t="s">
        <v>1313</v>
      </c>
      <c r="V228" s="1" t="s">
        <v>186</v>
      </c>
      <c r="W228" s="3" t="str">
        <f t="shared" si="3"/>
        <v>42 tahun</v>
      </c>
      <c r="X228" s="1" t="s">
        <v>1314</v>
      </c>
      <c r="Y228" s="1" t="s">
        <v>68</v>
      </c>
      <c r="Z228" s="2">
        <v>39814</v>
      </c>
      <c r="AA228" s="2">
        <v>39934</v>
      </c>
      <c r="AB228" s="2" t="s">
        <v>1315</v>
      </c>
    </row>
    <row r="229" spans="1:28" x14ac:dyDescent="0.35">
      <c r="A229" s="12">
        <v>5405</v>
      </c>
      <c r="B229" s="12">
        <v>8709007</v>
      </c>
      <c r="C229" s="12" t="s">
        <v>1137</v>
      </c>
      <c r="D229" s="12">
        <v>50043109</v>
      </c>
      <c r="E229" s="1" t="s">
        <v>1316</v>
      </c>
      <c r="F229" s="1" t="str">
        <f>VLOOKUP(A229,[1]Sheet1!$A$2:$E$1141,5,0)</f>
        <v>Production Planning Jr Officer</v>
      </c>
      <c r="G229" s="17" t="str">
        <f>VLOOKUP(A229,[1]Sheet1!$A$2:$F$1141,6,0)</f>
        <v>Supervisor</v>
      </c>
      <c r="H229" s="1" t="s">
        <v>1253</v>
      </c>
      <c r="I229" s="1" t="s">
        <v>1117</v>
      </c>
      <c r="J229" s="1" t="str">
        <f>VLOOKUP(A229,[1]Sheet1!$A$2:$H$1141,8,0)</f>
        <v>Dept. of Production Planning &amp; Control</v>
      </c>
      <c r="K229" s="1" t="str">
        <f>VLOOKUP(A229,[1]Sheet1!$A$2:$I$1141,9,0)</f>
        <v>Unit of Prod. Plan Eval. &amp; Environmental</v>
      </c>
      <c r="L229" s="1" t="str">
        <f>VLOOKUP(A229,[1]Sheet1!$A$2:$J$1141,10,0)</f>
        <v>Section of Production Planning</v>
      </c>
      <c r="M229" s="2">
        <v>32059</v>
      </c>
      <c r="N229" s="1" t="s">
        <v>29</v>
      </c>
      <c r="O229" s="1" t="s">
        <v>30</v>
      </c>
      <c r="P229" s="1" t="s">
        <v>1317</v>
      </c>
      <c r="Q229" s="1" t="s">
        <v>1318</v>
      </c>
      <c r="R229" s="1" t="s">
        <v>1319</v>
      </c>
      <c r="S229" s="1" t="s">
        <v>1257</v>
      </c>
      <c r="T229" s="14">
        <v>52536</v>
      </c>
      <c r="U229" s="1" t="s">
        <v>1320</v>
      </c>
      <c r="V229" s="1" t="s">
        <v>36</v>
      </c>
      <c r="W229" s="3" t="str">
        <f t="shared" si="3"/>
        <v>38 tahun</v>
      </c>
      <c r="X229" s="1" t="s">
        <v>37</v>
      </c>
      <c r="Y229" s="1" t="s">
        <v>48</v>
      </c>
      <c r="Z229" s="2">
        <v>40087</v>
      </c>
      <c r="AA229" s="2">
        <v>40391</v>
      </c>
      <c r="AB229" s="2" t="s">
        <v>1321</v>
      </c>
    </row>
    <row r="230" spans="1:28" x14ac:dyDescent="0.35">
      <c r="A230" s="12">
        <v>5922</v>
      </c>
      <c r="B230" s="12">
        <v>8712089</v>
      </c>
      <c r="C230" s="12" t="s">
        <v>103</v>
      </c>
      <c r="D230" s="12">
        <v>50052664</v>
      </c>
      <c r="E230" s="1" t="s">
        <v>1322</v>
      </c>
      <c r="F230" s="1" t="str">
        <f>VLOOKUP(A230,[1]Sheet1!$A$2:$E$1141,5,0)</f>
        <v>Production Planning Jr Officer</v>
      </c>
      <c r="G230" s="17" t="str">
        <f>VLOOKUP(A230,[1]Sheet1!$A$2:$F$1141,6,0)</f>
        <v>Supervisor</v>
      </c>
      <c r="H230" s="1" t="s">
        <v>1253</v>
      </c>
      <c r="I230" s="1" t="s">
        <v>1117</v>
      </c>
      <c r="J230" s="1" t="str">
        <f>VLOOKUP(A230,[1]Sheet1!$A$2:$H$1141,8,0)</f>
        <v>Dept. of Production Planning &amp; Control</v>
      </c>
      <c r="K230" s="1" t="str">
        <f>VLOOKUP(A230,[1]Sheet1!$A$2:$I$1141,9,0)</f>
        <v>Unit of Prod. Plan Eval. &amp; Environmental</v>
      </c>
      <c r="L230" s="1" t="str">
        <f>VLOOKUP(A230,[1]Sheet1!$A$2:$J$1141,10,0)</f>
        <v>Section of Production Planning</v>
      </c>
      <c r="M230" s="2">
        <v>31959</v>
      </c>
      <c r="N230" s="1" t="s">
        <v>29</v>
      </c>
      <c r="O230" s="1" t="s">
        <v>30</v>
      </c>
      <c r="P230" s="1" t="s">
        <v>1323</v>
      </c>
      <c r="Q230" s="1" t="s">
        <v>1318</v>
      </c>
      <c r="R230" s="1" t="s">
        <v>1319</v>
      </c>
      <c r="S230" s="1" t="s">
        <v>1257</v>
      </c>
      <c r="T230" s="14">
        <v>52444</v>
      </c>
      <c r="U230" s="1" t="s">
        <v>1324</v>
      </c>
      <c r="V230" s="1" t="s">
        <v>36</v>
      </c>
      <c r="W230" s="3" t="str">
        <f t="shared" si="3"/>
        <v>39 tahun</v>
      </c>
      <c r="X230" s="1" t="s">
        <v>55</v>
      </c>
      <c r="Y230" s="1" t="s">
        <v>48</v>
      </c>
      <c r="Z230" s="2">
        <v>41275</v>
      </c>
      <c r="AA230" s="2">
        <v>41395</v>
      </c>
      <c r="AB230" s="2" t="s">
        <v>1325</v>
      </c>
    </row>
    <row r="231" spans="1:28" x14ac:dyDescent="0.35">
      <c r="A231" s="12">
        <v>5422</v>
      </c>
      <c r="B231" s="12">
        <v>8809010</v>
      </c>
      <c r="C231" s="12" t="s">
        <v>1137</v>
      </c>
      <c r="D231" s="12">
        <v>50052204</v>
      </c>
      <c r="E231" s="16" t="s">
        <v>1326</v>
      </c>
      <c r="F231" s="1" t="str">
        <f>VLOOKUP(A231,[1]Sheet1!$A$2:$E$1141,5,0)</f>
        <v>Mgr of RKC Evaluation</v>
      </c>
      <c r="G231" s="16" t="str">
        <f>VLOOKUP(A231,[1]Sheet1!$A$2:$F$1141,6,0)</f>
        <v>Manager</v>
      </c>
      <c r="H231" s="1" t="s">
        <v>1253</v>
      </c>
      <c r="I231" s="1" t="s">
        <v>1117</v>
      </c>
      <c r="J231" s="1" t="str">
        <f>VLOOKUP(A231,[1]Sheet1!$A$2:$H$1141,8,0)</f>
        <v>Dept. of Production Planning &amp; Control</v>
      </c>
      <c r="K231" s="1" t="str">
        <f>VLOOKUP(A231,[1]Sheet1!$A$2:$I$1141,9,0)</f>
        <v>Unit of Prod. Plan Eval. &amp; Environmental</v>
      </c>
      <c r="L231" s="1" t="str">
        <f>VLOOKUP(A231,[1]Sheet1!$A$2:$J$1141,10,0)</f>
        <v>Section of RKC Evaluation</v>
      </c>
      <c r="M231" s="2">
        <v>32452</v>
      </c>
      <c r="N231" s="1" t="s">
        <v>29</v>
      </c>
      <c r="O231" s="1" t="s">
        <v>30</v>
      </c>
      <c r="P231" s="1" t="s">
        <v>1327</v>
      </c>
      <c r="Q231" s="1" t="s">
        <v>1328</v>
      </c>
      <c r="R231" s="1" t="s">
        <v>1329</v>
      </c>
      <c r="S231" s="1" t="s">
        <v>1257</v>
      </c>
      <c r="T231" s="14">
        <v>52932</v>
      </c>
      <c r="U231" s="1" t="s">
        <v>1330</v>
      </c>
      <c r="V231" s="1" t="s">
        <v>36</v>
      </c>
      <c r="W231" s="3" t="str">
        <f t="shared" si="3"/>
        <v>37 tahun</v>
      </c>
      <c r="X231" s="1" t="s">
        <v>101</v>
      </c>
      <c r="Y231" s="1" t="s">
        <v>38</v>
      </c>
      <c r="Z231" s="2">
        <v>40087</v>
      </c>
      <c r="AA231" s="2">
        <v>40391</v>
      </c>
      <c r="AB231" s="2" t="s">
        <v>1331</v>
      </c>
    </row>
    <row r="232" spans="1:28" x14ac:dyDescent="0.35">
      <c r="A232" s="12">
        <v>5137</v>
      </c>
      <c r="B232" s="12">
        <v>7595238</v>
      </c>
      <c r="C232" s="12" t="s">
        <v>50</v>
      </c>
      <c r="D232" s="12">
        <v>50024529</v>
      </c>
      <c r="E232" s="1" t="s">
        <v>1332</v>
      </c>
      <c r="F232" s="1" t="str">
        <f>VLOOKUP(A232,[1]Sheet1!$A$2:$E$1141,5,0)</f>
        <v>D RKC Evaluation Jr Officer</v>
      </c>
      <c r="G232" s="17" t="str">
        <f>VLOOKUP(A232,[1]Sheet1!$A$2:$F$1141,6,0)</f>
        <v>Supervisor</v>
      </c>
      <c r="H232" s="1" t="s">
        <v>1253</v>
      </c>
      <c r="I232" s="1" t="s">
        <v>1117</v>
      </c>
      <c r="J232" s="1" t="str">
        <f>VLOOKUP(A232,[1]Sheet1!$A$2:$H$1141,8,0)</f>
        <v>Dept. of Production Planning &amp; Control</v>
      </c>
      <c r="K232" s="1" t="str">
        <f>VLOOKUP(A232,[1]Sheet1!$A$2:$I$1141,9,0)</f>
        <v>Unit of Prod. Plan Eval. &amp; Environmental</v>
      </c>
      <c r="L232" s="1" t="str">
        <f>VLOOKUP(A232,[1]Sheet1!$A$2:$J$1141,10,0)</f>
        <v>Section of RKC Evaluation</v>
      </c>
      <c r="M232" s="2">
        <v>27524</v>
      </c>
      <c r="N232" s="1" t="s">
        <v>29</v>
      </c>
      <c r="O232" s="1" t="s">
        <v>30</v>
      </c>
      <c r="P232" s="1" t="s">
        <v>1333</v>
      </c>
      <c r="Q232" s="1" t="s">
        <v>1328</v>
      </c>
      <c r="R232" s="1" t="s">
        <v>1329</v>
      </c>
      <c r="S232" s="1" t="s">
        <v>1257</v>
      </c>
      <c r="T232" s="14">
        <v>48000</v>
      </c>
      <c r="U232" s="1" t="s">
        <v>1334</v>
      </c>
      <c r="V232" s="1" t="s">
        <v>36</v>
      </c>
      <c r="W232" s="3" t="str">
        <f t="shared" si="3"/>
        <v>51 tahun</v>
      </c>
      <c r="X232" s="1" t="s">
        <v>55</v>
      </c>
      <c r="Y232" s="1" t="s">
        <v>56</v>
      </c>
      <c r="Z232" s="2">
        <v>35002</v>
      </c>
      <c r="AA232" s="2">
        <v>35370</v>
      </c>
      <c r="AB232" s="2" t="s">
        <v>84</v>
      </c>
    </row>
    <row r="233" spans="1:28" x14ac:dyDescent="0.35">
      <c r="A233" s="12">
        <v>6222</v>
      </c>
      <c r="B233" s="12">
        <v>9112388</v>
      </c>
      <c r="C233" s="12" t="s">
        <v>103</v>
      </c>
      <c r="D233" s="12">
        <v>50066740</v>
      </c>
      <c r="E233" s="1" t="s">
        <v>1335</v>
      </c>
      <c r="F233" s="1" t="str">
        <f>VLOOKUP(A233,[1]Sheet1!$A$2:$E$1141,5,0)</f>
        <v>D RKC Evaluation Jr Officer</v>
      </c>
      <c r="G233" s="17" t="str">
        <f>VLOOKUP(A233,[1]Sheet1!$A$2:$F$1141,6,0)</f>
        <v>Supervisor</v>
      </c>
      <c r="H233" s="1" t="s">
        <v>1253</v>
      </c>
      <c r="I233" s="1" t="s">
        <v>1117</v>
      </c>
      <c r="J233" s="1" t="str">
        <f>VLOOKUP(A233,[1]Sheet1!$A$2:$H$1141,8,0)</f>
        <v>Dept. of Production Planning &amp; Control</v>
      </c>
      <c r="K233" s="1" t="str">
        <f>VLOOKUP(A233,[1]Sheet1!$A$2:$I$1141,9,0)</f>
        <v>Unit of Prod. Plan Eval. &amp; Environmental</v>
      </c>
      <c r="L233" s="1" t="str">
        <f>VLOOKUP(A233,[1]Sheet1!$A$2:$J$1141,10,0)</f>
        <v>Section of RKC Evaluation</v>
      </c>
      <c r="M233" s="2">
        <v>33564</v>
      </c>
      <c r="N233" s="1" t="s">
        <v>29</v>
      </c>
      <c r="O233" s="1" t="s">
        <v>30</v>
      </c>
      <c r="P233" s="1" t="s">
        <v>1336</v>
      </c>
      <c r="Q233" s="1" t="s">
        <v>1328</v>
      </c>
      <c r="R233" s="1" t="s">
        <v>1329</v>
      </c>
      <c r="S233" s="1" t="s">
        <v>1257</v>
      </c>
      <c r="T233" s="14">
        <v>54027</v>
      </c>
      <c r="U233" s="1" t="s">
        <v>1337</v>
      </c>
      <c r="V233" s="1" t="s">
        <v>36</v>
      </c>
      <c r="W233" s="3" t="str">
        <f t="shared" si="3"/>
        <v>34 tahun</v>
      </c>
      <c r="X233" s="1" t="s">
        <v>873</v>
      </c>
      <c r="Y233" s="1" t="s">
        <v>56</v>
      </c>
      <c r="Z233" s="2">
        <v>41275</v>
      </c>
      <c r="AA233" s="2">
        <v>41395</v>
      </c>
      <c r="AB233" s="2" t="s">
        <v>1338</v>
      </c>
    </row>
    <row r="234" spans="1:28" x14ac:dyDescent="0.35">
      <c r="A234" s="12">
        <v>5421</v>
      </c>
      <c r="B234" s="12">
        <v>8810094</v>
      </c>
      <c r="C234" s="12" t="s">
        <v>139</v>
      </c>
      <c r="D234" s="12">
        <v>50023516</v>
      </c>
      <c r="E234" s="16" t="s">
        <v>1339</v>
      </c>
      <c r="F234" s="1" t="str">
        <f>VLOOKUP(A234,[1]Sheet1!$A$2:$E$1141,5,0)</f>
        <v>Mgr of Raw Material &amp; Cement Mill Eval</v>
      </c>
      <c r="G234" s="16" t="str">
        <f>VLOOKUP(A234,[1]Sheet1!$A$2:$F$1141,6,0)</f>
        <v>Manager</v>
      </c>
      <c r="H234" s="1" t="s">
        <v>1253</v>
      </c>
      <c r="I234" s="1" t="s">
        <v>1117</v>
      </c>
      <c r="J234" s="1" t="str">
        <f>VLOOKUP(A234,[1]Sheet1!$A$2:$H$1141,8,0)</f>
        <v>Dept. of Production Planning &amp; Control</v>
      </c>
      <c r="K234" s="1" t="str">
        <f>VLOOKUP(A234,[1]Sheet1!$A$2:$I$1141,9,0)</f>
        <v>Unit of Prod. Plan Eval. &amp; Environmental</v>
      </c>
      <c r="L234" s="1" t="str">
        <f>VLOOKUP(A234,[1]Sheet1!$A$2:$J$1141,10,0)</f>
        <v>Section of Raw Material &amp; Cement Mill Ev</v>
      </c>
      <c r="M234" s="2">
        <v>32430</v>
      </c>
      <c r="N234" s="1" t="s">
        <v>29</v>
      </c>
      <c r="O234" s="1" t="s">
        <v>30</v>
      </c>
      <c r="P234" s="1" t="s">
        <v>1340</v>
      </c>
      <c r="Q234" s="1" t="s">
        <v>1341</v>
      </c>
      <c r="R234" s="1" t="s">
        <v>1342</v>
      </c>
      <c r="S234" s="1" t="s">
        <v>1257</v>
      </c>
      <c r="T234" s="14">
        <v>52902</v>
      </c>
      <c r="U234" s="1" t="s">
        <v>1343</v>
      </c>
      <c r="V234" s="1" t="s">
        <v>36</v>
      </c>
      <c r="W234" s="3" t="str">
        <f t="shared" si="3"/>
        <v>37 tahun</v>
      </c>
      <c r="X234" s="1" t="s">
        <v>55</v>
      </c>
      <c r="Y234" s="1" t="s">
        <v>68</v>
      </c>
      <c r="Z234" s="2">
        <v>40544</v>
      </c>
      <c r="AA234" s="2">
        <v>40725</v>
      </c>
      <c r="AB234" s="2" t="s">
        <v>866</v>
      </c>
    </row>
    <row r="235" spans="1:28" x14ac:dyDescent="0.35">
      <c r="A235" s="12">
        <v>5899</v>
      </c>
      <c r="B235" s="12">
        <v>8612066</v>
      </c>
      <c r="C235" s="12" t="s">
        <v>103</v>
      </c>
      <c r="D235" s="12">
        <v>50023518</v>
      </c>
      <c r="E235" s="1" t="s">
        <v>1344</v>
      </c>
      <c r="F235" s="1" t="str">
        <f>VLOOKUP(A235,[1]Sheet1!$A$2:$E$1141,5,0)</f>
        <v>D Raw Mat&amp; Cement Mill Eval Jr Offic</v>
      </c>
      <c r="G235" s="17" t="str">
        <f>VLOOKUP(A235,[1]Sheet1!$A$2:$F$1141,6,0)</f>
        <v>Supervisor</v>
      </c>
      <c r="H235" s="1" t="s">
        <v>1253</v>
      </c>
      <c r="I235" s="1" t="s">
        <v>1117</v>
      </c>
      <c r="J235" s="1" t="str">
        <f>VLOOKUP(A235,[1]Sheet1!$A$2:$H$1141,8,0)</f>
        <v>Dept. of Production Planning &amp; Control</v>
      </c>
      <c r="K235" s="1" t="str">
        <f>VLOOKUP(A235,[1]Sheet1!$A$2:$I$1141,9,0)</f>
        <v>Unit of Prod. Plan Eval. &amp; Environmental</v>
      </c>
      <c r="L235" s="1" t="str">
        <f>VLOOKUP(A235,[1]Sheet1!$A$2:$J$1141,10,0)</f>
        <v>Section of Raw Material &amp; Cement Mill Ev</v>
      </c>
      <c r="M235" s="2">
        <v>31773</v>
      </c>
      <c r="N235" s="1" t="s">
        <v>29</v>
      </c>
      <c r="O235" s="1" t="s">
        <v>30</v>
      </c>
      <c r="P235" s="1" t="s">
        <v>1345</v>
      </c>
      <c r="Q235" s="1" t="s">
        <v>1341</v>
      </c>
      <c r="R235" s="1" t="s">
        <v>1342</v>
      </c>
      <c r="S235" s="1" t="s">
        <v>1257</v>
      </c>
      <c r="T235" s="14">
        <v>52232</v>
      </c>
      <c r="U235" s="1" t="s">
        <v>1346</v>
      </c>
      <c r="V235" s="1" t="s">
        <v>36</v>
      </c>
      <c r="W235" s="3" t="str">
        <f t="shared" si="3"/>
        <v>39 tahun</v>
      </c>
      <c r="X235" s="1" t="s">
        <v>37</v>
      </c>
      <c r="Y235" s="1" t="s">
        <v>48</v>
      </c>
      <c r="Z235" s="2">
        <v>41275</v>
      </c>
      <c r="AA235" s="2">
        <v>41395</v>
      </c>
      <c r="AB235" s="2" t="s">
        <v>1347</v>
      </c>
    </row>
    <row r="236" spans="1:28" x14ac:dyDescent="0.35">
      <c r="A236" s="12">
        <v>6018</v>
      </c>
      <c r="B236" s="12">
        <v>8912185</v>
      </c>
      <c r="C236" s="12" t="s">
        <v>103</v>
      </c>
      <c r="D236" s="12">
        <v>50069457</v>
      </c>
      <c r="E236" s="1" t="s">
        <v>1348</v>
      </c>
      <c r="F236" s="1" t="str">
        <f>VLOOKUP(A236,[1]Sheet1!$A$2:$E$1141,5,0)</f>
        <v>Raw Mat. &amp; Cement Mill Eval Jr Officer</v>
      </c>
      <c r="G236" s="17" t="str">
        <f>VLOOKUP(A236,[1]Sheet1!$A$2:$F$1141,6,0)</f>
        <v>Supervisor</v>
      </c>
      <c r="H236" s="1" t="s">
        <v>1253</v>
      </c>
      <c r="I236" s="1" t="s">
        <v>1117</v>
      </c>
      <c r="J236" s="1" t="str">
        <f>VLOOKUP(A236,[1]Sheet1!$A$2:$H$1141,8,0)</f>
        <v>Dept. of Production Planning &amp; Control</v>
      </c>
      <c r="K236" s="1" t="str">
        <f>VLOOKUP(A236,[1]Sheet1!$A$2:$I$1141,9,0)</f>
        <v>Unit of Prod. Plan Eval. &amp; Environmental</v>
      </c>
      <c r="L236" s="1" t="str">
        <f>VLOOKUP(A236,[1]Sheet1!$A$2:$J$1141,10,0)</f>
        <v>Section of Raw Material &amp; Cement Mill Ev</v>
      </c>
      <c r="M236" s="2">
        <v>32624</v>
      </c>
      <c r="N236" s="1" t="s">
        <v>29</v>
      </c>
      <c r="O236" s="1" t="s">
        <v>30</v>
      </c>
      <c r="P236" s="1" t="s">
        <v>1349</v>
      </c>
      <c r="Q236" s="1" t="s">
        <v>1350</v>
      </c>
      <c r="R236" s="1" t="s">
        <v>1351</v>
      </c>
      <c r="S236" s="1" t="s">
        <v>1257</v>
      </c>
      <c r="T236" s="14">
        <v>53083</v>
      </c>
      <c r="U236" s="1" t="s">
        <v>1352</v>
      </c>
      <c r="V236" s="1" t="s">
        <v>36</v>
      </c>
      <c r="W236" s="3" t="str">
        <f t="shared" si="3"/>
        <v>37 tahun</v>
      </c>
      <c r="X236" s="1" t="s">
        <v>121</v>
      </c>
      <c r="Y236" s="1" t="s">
        <v>56</v>
      </c>
      <c r="Z236" s="2">
        <v>41275</v>
      </c>
      <c r="AA236" s="2">
        <v>41426</v>
      </c>
      <c r="AB236" s="2" t="s">
        <v>1353</v>
      </c>
    </row>
    <row r="237" spans="1:28" x14ac:dyDescent="0.35">
      <c r="A237" s="12">
        <v>5320</v>
      </c>
      <c r="B237" s="12">
        <v>8408069</v>
      </c>
      <c r="C237" s="12" t="s">
        <v>25</v>
      </c>
      <c r="D237" s="12">
        <v>50008482</v>
      </c>
      <c r="E237" s="16" t="s">
        <v>1354</v>
      </c>
      <c r="F237" s="1" t="str">
        <f>VLOOKUP(A237,[1]Sheet1!$A$2:$E$1141,5,0)</f>
        <v>Quality Control Officer (2/3)</v>
      </c>
      <c r="G237" s="16" t="str">
        <f>VLOOKUP(A237,[1]Sheet1!$A$2:$F$1141,6,0)</f>
        <v>Manager</v>
      </c>
      <c r="H237" s="1" t="s">
        <v>1355</v>
      </c>
      <c r="I237" s="1" t="s">
        <v>1117</v>
      </c>
      <c r="J237" s="1" t="str">
        <f>VLOOKUP(A237,[1]Sheet1!$A$2:$H$1141,8,0)</f>
        <v>Dept. of Production Planning &amp; Control</v>
      </c>
      <c r="K237" s="1" t="str">
        <f>VLOOKUP(A237,[1]Sheet1!$A$2:$I$1141,9,0)</f>
        <v>Unit of Quality Control</v>
      </c>
      <c r="L237" s="1" t="str">
        <f>VLOOKUP(A237,[1]Sheet1!$A$2:$J$1141,10,0)</f>
        <v>Section of Quality Control (2/3)</v>
      </c>
      <c r="M237" s="2">
        <v>30944</v>
      </c>
      <c r="N237" s="1" t="s">
        <v>59</v>
      </c>
      <c r="O237" s="1" t="s">
        <v>30</v>
      </c>
      <c r="P237" s="1" t="s">
        <v>1356</v>
      </c>
      <c r="Q237" s="1" t="s">
        <v>1357</v>
      </c>
      <c r="R237" s="1" t="s">
        <v>1358</v>
      </c>
      <c r="S237" s="1" t="s">
        <v>1359</v>
      </c>
      <c r="T237" s="14">
        <v>51410</v>
      </c>
      <c r="U237" s="1" t="s">
        <v>1360</v>
      </c>
      <c r="V237" s="1" t="s">
        <v>36</v>
      </c>
      <c r="W237" s="3" t="str">
        <f t="shared" si="3"/>
        <v>41 tahun</v>
      </c>
      <c r="X237" s="1" t="s">
        <v>157</v>
      </c>
      <c r="Y237" s="1" t="s">
        <v>48</v>
      </c>
      <c r="Z237" s="2">
        <v>39814</v>
      </c>
      <c r="AA237" s="2">
        <v>39934</v>
      </c>
      <c r="AB237" s="2" t="s">
        <v>84</v>
      </c>
    </row>
    <row r="238" spans="1:28" x14ac:dyDescent="0.35">
      <c r="A238" s="12">
        <v>4829</v>
      </c>
      <c r="B238" s="12">
        <v>7295086</v>
      </c>
      <c r="C238" s="12" t="s">
        <v>50</v>
      </c>
      <c r="D238" s="12">
        <v>50008484</v>
      </c>
      <c r="E238" s="1" t="s">
        <v>1361</v>
      </c>
      <c r="F238" s="1" t="str">
        <f>VLOOKUP(A238,[1]Sheet1!$A$2:$E$1141,5,0)</f>
        <v>Spv of Line 2/3 QC (Shift) B</v>
      </c>
      <c r="G238" s="17" t="str">
        <f>VLOOKUP(A238,[1]Sheet1!$A$2:$F$1141,6,0)</f>
        <v>Supervisor</v>
      </c>
      <c r="H238" s="1" t="s">
        <v>1355</v>
      </c>
      <c r="I238" s="1" t="s">
        <v>1117</v>
      </c>
      <c r="J238" s="1" t="str">
        <f>VLOOKUP(A238,[1]Sheet1!$A$2:$H$1141,8,0)</f>
        <v>Dept. of Production Planning &amp; Control</v>
      </c>
      <c r="K238" s="1" t="str">
        <f>VLOOKUP(A238,[1]Sheet1!$A$2:$I$1141,9,0)</f>
        <v>Unit of Quality Control</v>
      </c>
      <c r="L238" s="1" t="str">
        <f>VLOOKUP(A238,[1]Sheet1!$A$2:$J$1141,10,0)</f>
        <v>Section of Quality Control (2/3)</v>
      </c>
      <c r="M238" s="2">
        <v>26435</v>
      </c>
      <c r="N238" s="1" t="s">
        <v>29</v>
      </c>
      <c r="O238" s="1" t="s">
        <v>30</v>
      </c>
      <c r="P238" s="1" t="s">
        <v>1362</v>
      </c>
      <c r="Q238" s="1" t="s">
        <v>1363</v>
      </c>
      <c r="R238" s="1" t="s">
        <v>1364</v>
      </c>
      <c r="S238" s="1" t="s">
        <v>1359</v>
      </c>
      <c r="T238" s="14">
        <v>46905</v>
      </c>
      <c r="U238" s="1" t="s">
        <v>1365</v>
      </c>
      <c r="V238" s="1" t="s">
        <v>36</v>
      </c>
      <c r="W238" s="3" t="str">
        <f t="shared" si="3"/>
        <v>54 tahun</v>
      </c>
      <c r="X238" s="1" t="s">
        <v>1366</v>
      </c>
      <c r="Y238" s="1" t="s">
        <v>56</v>
      </c>
      <c r="Z238" s="2">
        <v>34932</v>
      </c>
      <c r="AA238" s="2">
        <v>35309</v>
      </c>
      <c r="AB238" s="2" t="s">
        <v>84</v>
      </c>
    </row>
    <row r="239" spans="1:28" x14ac:dyDescent="0.35">
      <c r="A239" s="12">
        <v>4896</v>
      </c>
      <c r="B239" s="12">
        <v>7395190</v>
      </c>
      <c r="C239" s="12" t="s">
        <v>50</v>
      </c>
      <c r="D239" s="12">
        <v>50008485</v>
      </c>
      <c r="E239" s="1" t="s">
        <v>1367</v>
      </c>
      <c r="F239" s="1" t="str">
        <f>VLOOKUP(A239,[1]Sheet1!$A$2:$E$1141,5,0)</f>
        <v>Spv of Line 2/3 QC (Shift) C</v>
      </c>
      <c r="G239" s="17" t="str">
        <f>VLOOKUP(A239,[1]Sheet1!$A$2:$F$1141,6,0)</f>
        <v>Supervisor</v>
      </c>
      <c r="H239" s="1" t="s">
        <v>1355</v>
      </c>
      <c r="I239" s="1" t="s">
        <v>1117</v>
      </c>
      <c r="J239" s="1" t="str">
        <f>VLOOKUP(A239,[1]Sheet1!$A$2:$H$1141,8,0)</f>
        <v>Dept. of Production Planning &amp; Control</v>
      </c>
      <c r="K239" s="1" t="str">
        <f>VLOOKUP(A239,[1]Sheet1!$A$2:$I$1141,9,0)</f>
        <v>Unit of Quality Control</v>
      </c>
      <c r="L239" s="1" t="str">
        <f>VLOOKUP(A239,[1]Sheet1!$A$2:$J$1141,10,0)</f>
        <v>Section of Quality Control (2/3)</v>
      </c>
      <c r="M239" s="2">
        <v>26666</v>
      </c>
      <c r="N239" s="1" t="s">
        <v>29</v>
      </c>
      <c r="O239" s="1" t="s">
        <v>30</v>
      </c>
      <c r="P239" s="1" t="s">
        <v>1368</v>
      </c>
      <c r="Q239" s="1" t="s">
        <v>1369</v>
      </c>
      <c r="R239" s="1" t="s">
        <v>1370</v>
      </c>
      <c r="S239" s="1" t="s">
        <v>1359</v>
      </c>
      <c r="T239" s="14">
        <v>47150</v>
      </c>
      <c r="U239" s="1" t="s">
        <v>1371</v>
      </c>
      <c r="V239" s="1" t="s">
        <v>36</v>
      </c>
      <c r="W239" s="3" t="str">
        <f t="shared" si="3"/>
        <v>53 tahun</v>
      </c>
      <c r="X239" s="1" t="s">
        <v>600</v>
      </c>
      <c r="Y239" s="1" t="s">
        <v>56</v>
      </c>
      <c r="Z239" s="2">
        <v>35002</v>
      </c>
      <c r="AA239" s="2">
        <v>35370</v>
      </c>
      <c r="AB239" s="2" t="s">
        <v>84</v>
      </c>
    </row>
    <row r="240" spans="1:28" x14ac:dyDescent="0.35">
      <c r="A240" s="12">
        <v>4895</v>
      </c>
      <c r="B240" s="12">
        <v>7395094</v>
      </c>
      <c r="C240" s="12" t="s">
        <v>50</v>
      </c>
      <c r="D240" s="12">
        <v>50008486</v>
      </c>
      <c r="E240" s="1" t="s">
        <v>1372</v>
      </c>
      <c r="F240" s="1" t="str">
        <f>VLOOKUP(A240,[1]Sheet1!$A$2:$E$1141,5,0)</f>
        <v>Spv of Line 2/3 QC (Shift) D</v>
      </c>
      <c r="G240" s="17" t="str">
        <f>VLOOKUP(A240,[1]Sheet1!$A$2:$F$1141,6,0)</f>
        <v>Supervisor</v>
      </c>
      <c r="H240" s="1" t="s">
        <v>1355</v>
      </c>
      <c r="I240" s="1" t="s">
        <v>1117</v>
      </c>
      <c r="J240" s="1" t="str">
        <f>VLOOKUP(A240,[1]Sheet1!$A$2:$H$1141,8,0)</f>
        <v>Dept. of Production Planning &amp; Control</v>
      </c>
      <c r="K240" s="1" t="str">
        <f>VLOOKUP(A240,[1]Sheet1!$A$2:$I$1141,9,0)</f>
        <v>Unit of Quality Control</v>
      </c>
      <c r="L240" s="1" t="str">
        <f>VLOOKUP(A240,[1]Sheet1!$A$2:$J$1141,10,0)</f>
        <v>Section of Quality Control (2/3)</v>
      </c>
      <c r="M240" s="2">
        <v>26686</v>
      </c>
      <c r="N240" s="1" t="s">
        <v>29</v>
      </c>
      <c r="O240" s="1" t="s">
        <v>30</v>
      </c>
      <c r="P240" s="1" t="s">
        <v>1373</v>
      </c>
      <c r="Q240" s="1" t="s">
        <v>1374</v>
      </c>
      <c r="R240" s="1" t="s">
        <v>1375</v>
      </c>
      <c r="S240" s="1" t="s">
        <v>1359</v>
      </c>
      <c r="T240" s="14">
        <v>47150</v>
      </c>
      <c r="U240" s="1" t="s">
        <v>1376</v>
      </c>
      <c r="V240" s="1" t="s">
        <v>36</v>
      </c>
      <c r="W240" s="3" t="str">
        <f t="shared" si="3"/>
        <v>53 tahun</v>
      </c>
      <c r="X240" s="1" t="s">
        <v>55</v>
      </c>
      <c r="Y240" s="1" t="s">
        <v>56</v>
      </c>
      <c r="Z240" s="2">
        <v>34932</v>
      </c>
      <c r="AA240" s="2">
        <v>35309</v>
      </c>
      <c r="AB240" s="2" t="s">
        <v>84</v>
      </c>
    </row>
    <row r="241" spans="1:28" x14ac:dyDescent="0.35">
      <c r="A241" s="12">
        <v>5886</v>
      </c>
      <c r="B241" s="12">
        <v>8612053</v>
      </c>
      <c r="C241" s="12" t="s">
        <v>103</v>
      </c>
      <c r="D241" s="12">
        <v>50066785</v>
      </c>
      <c r="E241" s="1" t="s">
        <v>1377</v>
      </c>
      <c r="F241" s="1" t="str">
        <f>VLOOKUP(A241,[1]Sheet1!$A$2:$E$1141,5,0)</f>
        <v>Spv of Water Lab Eqp</v>
      </c>
      <c r="G241" s="17" t="str">
        <f>VLOOKUP(A241,[1]Sheet1!$A$2:$F$1141,6,0)</f>
        <v>Supervisor</v>
      </c>
      <c r="H241" s="1" t="s">
        <v>1355</v>
      </c>
      <c r="I241" s="1" t="s">
        <v>1117</v>
      </c>
      <c r="J241" s="1" t="str">
        <f>VLOOKUP(A241,[1]Sheet1!$A$2:$H$1141,8,0)</f>
        <v>Dept. of Production Planning &amp; Control</v>
      </c>
      <c r="K241" s="1" t="str">
        <f>VLOOKUP(A241,[1]Sheet1!$A$2:$I$1141,9,0)</f>
        <v>Unit of Quality Control</v>
      </c>
      <c r="L241" s="1" t="str">
        <f>VLOOKUP(A241,[1]Sheet1!$A$2:$J$1141,10,0)</f>
        <v>Section of Quality Control (2/3)</v>
      </c>
      <c r="M241" s="2">
        <v>31671</v>
      </c>
      <c r="N241" s="1" t="s">
        <v>29</v>
      </c>
      <c r="O241" s="1" t="s">
        <v>30</v>
      </c>
      <c r="P241" s="1" t="s">
        <v>1378</v>
      </c>
      <c r="Q241" s="1" t="s">
        <v>1379</v>
      </c>
      <c r="R241" s="1" t="s">
        <v>1380</v>
      </c>
      <c r="S241" s="1" t="s">
        <v>1359</v>
      </c>
      <c r="T241" s="14">
        <v>52140</v>
      </c>
      <c r="U241" s="1" t="s">
        <v>1381</v>
      </c>
      <c r="V241" s="1" t="s">
        <v>36</v>
      </c>
      <c r="W241" s="3" t="str">
        <f t="shared" si="3"/>
        <v>39 tahun</v>
      </c>
      <c r="X241" s="1" t="s">
        <v>846</v>
      </c>
      <c r="Y241" s="1" t="s">
        <v>56</v>
      </c>
      <c r="Z241" s="2">
        <v>41275</v>
      </c>
      <c r="AA241" s="2">
        <v>41365</v>
      </c>
      <c r="AB241" s="2" t="s">
        <v>1382</v>
      </c>
    </row>
    <row r="242" spans="1:28" x14ac:dyDescent="0.35">
      <c r="A242" s="12">
        <v>4737</v>
      </c>
      <c r="B242" s="12">
        <v>7002144</v>
      </c>
      <c r="C242" s="12" t="s">
        <v>164</v>
      </c>
      <c r="D242" s="12">
        <v>50066787</v>
      </c>
      <c r="E242" s="1" t="s">
        <v>1383</v>
      </c>
      <c r="F242" s="1" t="str">
        <f>VLOOKUP(A242,[1]Sheet1!$A$2:$E$1141,5,0)</f>
        <v>Spv of X - Ray &amp; Analysis (2/3)</v>
      </c>
      <c r="G242" s="17" t="str">
        <f>VLOOKUP(A242,[1]Sheet1!$A$2:$F$1141,6,0)</f>
        <v>Supervisor</v>
      </c>
      <c r="H242" s="1" t="s">
        <v>1355</v>
      </c>
      <c r="I242" s="1" t="s">
        <v>1117</v>
      </c>
      <c r="J242" s="1" t="str">
        <f>VLOOKUP(A242,[1]Sheet1!$A$2:$H$1141,8,0)</f>
        <v>Dept. of Production Planning &amp; Control</v>
      </c>
      <c r="K242" s="1" t="str">
        <f>VLOOKUP(A242,[1]Sheet1!$A$2:$I$1141,9,0)</f>
        <v>Unit of Quality Control</v>
      </c>
      <c r="L242" s="1" t="str">
        <f>VLOOKUP(A242,[1]Sheet1!$A$2:$J$1141,10,0)</f>
        <v>Section of Quality Control (2/3)</v>
      </c>
      <c r="M242" s="2">
        <v>25849</v>
      </c>
      <c r="N242" s="1" t="s">
        <v>29</v>
      </c>
      <c r="O242" s="1" t="s">
        <v>30</v>
      </c>
      <c r="P242" s="1" t="s">
        <v>1384</v>
      </c>
      <c r="Q242" s="1" t="s">
        <v>1385</v>
      </c>
      <c r="R242" s="1" t="s">
        <v>1386</v>
      </c>
      <c r="S242" s="1" t="s">
        <v>1359</v>
      </c>
      <c r="T242" s="14">
        <v>46327</v>
      </c>
      <c r="U242" s="1" t="s">
        <v>1387</v>
      </c>
      <c r="V242" s="1" t="s">
        <v>36</v>
      </c>
      <c r="W242" s="3" t="str">
        <f t="shared" si="3"/>
        <v>55 tahun</v>
      </c>
      <c r="X242" s="1" t="s">
        <v>248</v>
      </c>
      <c r="Y242" s="1" t="s">
        <v>56</v>
      </c>
      <c r="Z242" s="2">
        <v>37469</v>
      </c>
      <c r="AA242" s="2">
        <v>38718</v>
      </c>
      <c r="AB242" s="2" t="s">
        <v>1388</v>
      </c>
    </row>
    <row r="243" spans="1:28" x14ac:dyDescent="0.35">
      <c r="A243" s="12">
        <v>6223</v>
      </c>
      <c r="B243" s="12">
        <v>9112389</v>
      </c>
      <c r="C243" s="12" t="s">
        <v>103</v>
      </c>
      <c r="D243" s="12">
        <v>50066788</v>
      </c>
      <c r="E243" s="1" t="s">
        <v>1389</v>
      </c>
      <c r="F243" s="1" t="str">
        <f>VLOOKUP(A243,[1]Sheet1!$A$2:$E$1141,5,0)</f>
        <v>Spv of X - Ray &amp; Analysis (2/3)</v>
      </c>
      <c r="G243" s="17" t="str">
        <f>VLOOKUP(A243,[1]Sheet1!$A$2:$F$1141,6,0)</f>
        <v>Supervisor</v>
      </c>
      <c r="H243" s="1" t="s">
        <v>1355</v>
      </c>
      <c r="I243" s="1" t="s">
        <v>1117</v>
      </c>
      <c r="J243" s="1" t="str">
        <f>VLOOKUP(A243,[1]Sheet1!$A$2:$H$1141,8,0)</f>
        <v>Dept. of Production Planning &amp; Control</v>
      </c>
      <c r="K243" s="1" t="str">
        <f>VLOOKUP(A243,[1]Sheet1!$A$2:$I$1141,9,0)</f>
        <v>Unit of Quality Control</v>
      </c>
      <c r="L243" s="1" t="str">
        <f>VLOOKUP(A243,[1]Sheet1!$A$2:$J$1141,10,0)</f>
        <v>Section of Quality Control (2/3)</v>
      </c>
      <c r="M243" s="2">
        <v>33582</v>
      </c>
      <c r="N243" s="1" t="s">
        <v>29</v>
      </c>
      <c r="O243" s="1" t="s">
        <v>30</v>
      </c>
      <c r="P243" s="1" t="s">
        <v>1390</v>
      </c>
      <c r="Q243" s="1" t="s">
        <v>1385</v>
      </c>
      <c r="R243" s="1" t="s">
        <v>1386</v>
      </c>
      <c r="S243" s="1" t="s">
        <v>1359</v>
      </c>
      <c r="T243" s="14">
        <v>54058</v>
      </c>
      <c r="U243" s="1" t="s">
        <v>1391</v>
      </c>
      <c r="V243" s="1" t="s">
        <v>36</v>
      </c>
      <c r="W243" s="3" t="str">
        <f t="shared" si="3"/>
        <v>34 tahun</v>
      </c>
      <c r="X243" s="1" t="s">
        <v>121</v>
      </c>
      <c r="Y243" s="1" t="s">
        <v>56</v>
      </c>
      <c r="Z243" s="2">
        <v>41275</v>
      </c>
      <c r="AA243" s="2">
        <v>41426</v>
      </c>
      <c r="AB243" s="2" t="s">
        <v>1392</v>
      </c>
    </row>
    <row r="244" spans="1:28" x14ac:dyDescent="0.35">
      <c r="A244" s="12">
        <v>4464</v>
      </c>
      <c r="B244" s="12">
        <v>7206345</v>
      </c>
      <c r="C244" s="12" t="s">
        <v>219</v>
      </c>
      <c r="D244" s="12">
        <v>50066789</v>
      </c>
      <c r="E244" s="1" t="s">
        <v>1393</v>
      </c>
      <c r="F244" s="1" t="str">
        <f>VLOOKUP(A244,[1]Sheet1!$A$2:$E$1141,5,0)</f>
        <v>Spv of X - Ray &amp; Analysis (2/3)</v>
      </c>
      <c r="G244" s="17" t="str">
        <f>VLOOKUP(A244,[1]Sheet1!$A$2:$F$1141,6,0)</f>
        <v>Supervisor</v>
      </c>
      <c r="H244" s="1" t="s">
        <v>1355</v>
      </c>
      <c r="I244" s="1" t="s">
        <v>1117</v>
      </c>
      <c r="J244" s="1" t="str">
        <f>VLOOKUP(A244,[1]Sheet1!$A$2:$H$1141,8,0)</f>
        <v>Dept. of Production Planning &amp; Control</v>
      </c>
      <c r="K244" s="1" t="str">
        <f>VLOOKUP(A244,[1]Sheet1!$A$2:$I$1141,9,0)</f>
        <v>Unit of Quality Control</v>
      </c>
      <c r="L244" s="1" t="str">
        <f>VLOOKUP(A244,[1]Sheet1!$A$2:$J$1141,10,0)</f>
        <v>Section of Quality Control (2/3)</v>
      </c>
      <c r="M244" s="2">
        <v>26373</v>
      </c>
      <c r="N244" s="1" t="s">
        <v>29</v>
      </c>
      <c r="O244" s="1" t="s">
        <v>30</v>
      </c>
      <c r="P244" s="1" t="s">
        <v>1394</v>
      </c>
      <c r="Q244" s="1" t="s">
        <v>1385</v>
      </c>
      <c r="R244" s="1" t="s">
        <v>1386</v>
      </c>
      <c r="S244" s="1" t="s">
        <v>1359</v>
      </c>
      <c r="T244" s="14">
        <v>46844</v>
      </c>
      <c r="U244" s="1" t="s">
        <v>1395</v>
      </c>
      <c r="V244" s="1" t="s">
        <v>36</v>
      </c>
      <c r="W244" s="3" t="str">
        <f t="shared" si="3"/>
        <v>54 tahun</v>
      </c>
      <c r="X244" s="1" t="s">
        <v>667</v>
      </c>
      <c r="Y244" s="1" t="s">
        <v>56</v>
      </c>
      <c r="Z244" s="2">
        <v>38718</v>
      </c>
      <c r="AA244" s="2">
        <v>41030</v>
      </c>
      <c r="AB244" s="2" t="s">
        <v>84</v>
      </c>
    </row>
    <row r="245" spans="1:28" x14ac:dyDescent="0.35">
      <c r="A245" s="12">
        <v>4423</v>
      </c>
      <c r="B245" s="12">
        <v>7106300</v>
      </c>
      <c r="C245" s="12" t="s">
        <v>219</v>
      </c>
      <c r="D245" s="12">
        <v>50066790</v>
      </c>
      <c r="E245" s="1" t="s">
        <v>1396</v>
      </c>
      <c r="F245" s="1" t="str">
        <f>VLOOKUP(A245,[1]Sheet1!$A$2:$E$1141,5,0)</f>
        <v>Spv of X - Ray &amp; Analysis (2/3)</v>
      </c>
      <c r="G245" s="17" t="str">
        <f>VLOOKUP(A245,[1]Sheet1!$A$2:$F$1141,6,0)</f>
        <v>Supervisor</v>
      </c>
      <c r="H245" s="1" t="s">
        <v>1355</v>
      </c>
      <c r="I245" s="1" t="s">
        <v>1117</v>
      </c>
      <c r="J245" s="1" t="str">
        <f>VLOOKUP(A245,[1]Sheet1!$A$2:$H$1141,8,0)</f>
        <v>Dept. of Production Planning &amp; Control</v>
      </c>
      <c r="K245" s="1" t="str">
        <f>VLOOKUP(A245,[1]Sheet1!$A$2:$I$1141,9,0)</f>
        <v>Unit of Quality Control</v>
      </c>
      <c r="L245" s="1" t="str">
        <f>VLOOKUP(A245,[1]Sheet1!$A$2:$J$1141,10,0)</f>
        <v>Section of Quality Control (2/3)</v>
      </c>
      <c r="M245" s="2">
        <v>25997</v>
      </c>
      <c r="N245" s="1" t="s">
        <v>29</v>
      </c>
      <c r="O245" s="1" t="s">
        <v>30</v>
      </c>
      <c r="P245" s="1" t="s">
        <v>1397</v>
      </c>
      <c r="Q245" s="1" t="s">
        <v>1385</v>
      </c>
      <c r="R245" s="1" t="s">
        <v>1386</v>
      </c>
      <c r="S245" s="1" t="s">
        <v>1359</v>
      </c>
      <c r="T245" s="14">
        <v>46478</v>
      </c>
      <c r="U245" s="1" t="s">
        <v>1398</v>
      </c>
      <c r="V245" s="1" t="s">
        <v>36</v>
      </c>
      <c r="W245" s="3" t="str">
        <f t="shared" si="3"/>
        <v>55 tahun</v>
      </c>
      <c r="X245" s="1" t="s">
        <v>1151</v>
      </c>
      <c r="Y245" s="1" t="s">
        <v>56</v>
      </c>
      <c r="Z245" s="2">
        <v>38718</v>
      </c>
      <c r="AA245" s="2">
        <v>41030</v>
      </c>
      <c r="AB245" s="2" t="s">
        <v>84</v>
      </c>
    </row>
    <row r="246" spans="1:28" x14ac:dyDescent="0.35">
      <c r="A246" s="12">
        <v>6119</v>
      </c>
      <c r="B246" s="12">
        <v>9012288</v>
      </c>
      <c r="C246" s="12" t="s">
        <v>103</v>
      </c>
      <c r="D246" s="12">
        <v>50069465</v>
      </c>
      <c r="E246" s="1" t="s">
        <v>1399</v>
      </c>
      <c r="F246" s="1" t="str">
        <f>VLOOKUP(A246,[1]Sheet1!$A$2:$E$1141,5,0)</f>
        <v>Spv of Line 2/3 QC</v>
      </c>
      <c r="G246" s="17" t="str">
        <f>VLOOKUP(A246,[1]Sheet1!$A$2:$F$1141,6,0)</f>
        <v>Supervisor</v>
      </c>
      <c r="H246" s="1" t="s">
        <v>1355</v>
      </c>
      <c r="I246" s="1" t="s">
        <v>1117</v>
      </c>
      <c r="J246" s="1" t="str">
        <f>VLOOKUP(A246,[1]Sheet1!$A$2:$H$1141,8,0)</f>
        <v>Dept. of Production Planning &amp; Control</v>
      </c>
      <c r="K246" s="1" t="str">
        <f>VLOOKUP(A246,[1]Sheet1!$A$2:$I$1141,9,0)</f>
        <v>Unit of Quality Control</v>
      </c>
      <c r="L246" s="1" t="str">
        <f>VLOOKUP(A246,[1]Sheet1!$A$2:$J$1141,10,0)</f>
        <v>Section of Quality Control (2/3)</v>
      </c>
      <c r="M246" s="2">
        <v>33131</v>
      </c>
      <c r="N246" s="1" t="s">
        <v>29</v>
      </c>
      <c r="O246" s="1" t="s">
        <v>30</v>
      </c>
      <c r="P246" s="1" t="s">
        <v>1400</v>
      </c>
      <c r="Q246" s="1" t="s">
        <v>1401</v>
      </c>
      <c r="R246" s="1" t="s">
        <v>1402</v>
      </c>
      <c r="S246" s="1" t="s">
        <v>1359</v>
      </c>
      <c r="T246" s="14">
        <v>53601</v>
      </c>
      <c r="U246" s="1" t="s">
        <v>1403</v>
      </c>
      <c r="V246" s="1" t="s">
        <v>36</v>
      </c>
      <c r="W246" s="3" t="str">
        <f t="shared" si="3"/>
        <v>35 tahun</v>
      </c>
      <c r="X246" s="1" t="s">
        <v>55</v>
      </c>
      <c r="Y246" s="1" t="s">
        <v>56</v>
      </c>
      <c r="Z246" s="2">
        <v>41275</v>
      </c>
      <c r="AA246" s="2">
        <v>41395</v>
      </c>
      <c r="AB246" s="2" t="s">
        <v>1404</v>
      </c>
    </row>
    <row r="247" spans="1:28" x14ac:dyDescent="0.35">
      <c r="A247" s="12">
        <v>5365</v>
      </c>
      <c r="B247" s="12">
        <v>8609001</v>
      </c>
      <c r="C247" s="12" t="s">
        <v>1137</v>
      </c>
      <c r="D247" s="12">
        <v>50008502</v>
      </c>
      <c r="E247" s="16" t="s">
        <v>1405</v>
      </c>
      <c r="F247" s="1" t="str">
        <f>VLOOKUP(A247,[1]Sheet1!$A$2:$E$1141,5,0)</f>
        <v>Mgr of Quality Control (4/5)</v>
      </c>
      <c r="G247" s="16" t="str">
        <f>VLOOKUP(A247,[1]Sheet1!$A$2:$F$1141,6,0)</f>
        <v>Manager</v>
      </c>
      <c r="H247" s="1" t="s">
        <v>1355</v>
      </c>
      <c r="I247" s="1" t="s">
        <v>1117</v>
      </c>
      <c r="J247" s="1" t="str">
        <f>VLOOKUP(A247,[1]Sheet1!$A$2:$H$1141,8,0)</f>
        <v>Dept. of Production Planning &amp; Control</v>
      </c>
      <c r="K247" s="1" t="str">
        <f>VLOOKUP(A247,[1]Sheet1!$A$2:$I$1141,9,0)</f>
        <v>Unit of Quality Control</v>
      </c>
      <c r="L247" s="1" t="str">
        <f>VLOOKUP(A247,[1]Sheet1!$A$2:$J$1141,10,0)</f>
        <v>Section of Quality Control (4/5)</v>
      </c>
      <c r="M247" s="2">
        <v>31447</v>
      </c>
      <c r="N247" s="1" t="s">
        <v>29</v>
      </c>
      <c r="O247" s="1" t="s">
        <v>30</v>
      </c>
      <c r="P247" s="1" t="s">
        <v>1406</v>
      </c>
      <c r="Q247" s="1" t="s">
        <v>1407</v>
      </c>
      <c r="R247" s="1" t="s">
        <v>1408</v>
      </c>
      <c r="S247" s="1" t="s">
        <v>1359</v>
      </c>
      <c r="T247" s="14">
        <v>51926</v>
      </c>
      <c r="U247" s="1" t="s">
        <v>1409</v>
      </c>
      <c r="V247" s="1" t="s">
        <v>36</v>
      </c>
      <c r="W247" s="3" t="str">
        <f t="shared" si="3"/>
        <v>40 tahun</v>
      </c>
      <c r="X247" s="1" t="s">
        <v>1410</v>
      </c>
      <c r="Y247" s="1" t="s">
        <v>48</v>
      </c>
      <c r="Z247" s="2">
        <v>40087</v>
      </c>
      <c r="AA247" s="2">
        <v>40360</v>
      </c>
      <c r="AB247" s="2" t="s">
        <v>1411</v>
      </c>
    </row>
    <row r="248" spans="1:28" x14ac:dyDescent="0.35">
      <c r="A248" s="12">
        <v>5414</v>
      </c>
      <c r="B248" s="12">
        <v>8809008</v>
      </c>
      <c r="C248" s="12" t="s">
        <v>1137</v>
      </c>
      <c r="D248" s="12">
        <v>50066792</v>
      </c>
      <c r="E248" s="1" t="s">
        <v>1412</v>
      </c>
      <c r="F248" s="1" t="str">
        <f>VLOOKUP(A248,[1]Sheet1!$A$2:$E$1141,5,0)</f>
        <v>Spv of X - Ray &amp; Analysis (4)</v>
      </c>
      <c r="G248" s="17" t="str">
        <f>VLOOKUP(A248,[1]Sheet1!$A$2:$F$1141,6,0)</f>
        <v>Supervisor</v>
      </c>
      <c r="H248" s="1" t="s">
        <v>1355</v>
      </c>
      <c r="I248" s="1" t="s">
        <v>1117</v>
      </c>
      <c r="J248" s="1" t="str">
        <f>VLOOKUP(A248,[1]Sheet1!$A$2:$H$1141,8,0)</f>
        <v>Dept. of Production Planning &amp; Control</v>
      </c>
      <c r="K248" s="1" t="str">
        <f>VLOOKUP(A248,[1]Sheet1!$A$2:$I$1141,9,0)</f>
        <v>Unit of Quality Control</v>
      </c>
      <c r="L248" s="1" t="str">
        <f>VLOOKUP(A248,[1]Sheet1!$A$2:$J$1141,10,0)</f>
        <v>Section of Quality Control (4/5)</v>
      </c>
      <c r="M248" s="2">
        <v>32272</v>
      </c>
      <c r="N248" s="1" t="s">
        <v>29</v>
      </c>
      <c r="O248" s="1" t="s">
        <v>30</v>
      </c>
      <c r="P248" s="1" t="s">
        <v>1413</v>
      </c>
      <c r="Q248" s="1" t="s">
        <v>1414</v>
      </c>
      <c r="R248" s="1" t="s">
        <v>1415</v>
      </c>
      <c r="S248" s="1" t="s">
        <v>1359</v>
      </c>
      <c r="T248" s="14">
        <v>52749</v>
      </c>
      <c r="U248" s="1" t="s">
        <v>1416</v>
      </c>
      <c r="V248" s="1" t="s">
        <v>36</v>
      </c>
      <c r="W248" s="3" t="str">
        <f t="shared" si="3"/>
        <v>38 tahun</v>
      </c>
      <c r="X248" s="1" t="s">
        <v>37</v>
      </c>
      <c r="Y248" s="1" t="s">
        <v>48</v>
      </c>
      <c r="Z248" s="2">
        <v>40087</v>
      </c>
      <c r="AA248" s="2">
        <v>40391</v>
      </c>
      <c r="AB248" s="2" t="s">
        <v>1417</v>
      </c>
    </row>
    <row r="249" spans="1:28" x14ac:dyDescent="0.35">
      <c r="A249" s="12">
        <v>4792</v>
      </c>
      <c r="B249" s="12">
        <v>7295080</v>
      </c>
      <c r="C249" s="12" t="s">
        <v>50</v>
      </c>
      <c r="D249" s="12">
        <v>50066793</v>
      </c>
      <c r="E249" s="1" t="s">
        <v>1418</v>
      </c>
      <c r="F249" s="1" t="str">
        <f>VLOOKUP(A249,[1]Sheet1!$A$2:$E$1141,5,0)</f>
        <v>Spv of X - Ray &amp; Analysis (4)</v>
      </c>
      <c r="G249" s="17" t="str">
        <f>VLOOKUP(A249,[1]Sheet1!$A$2:$F$1141,6,0)</f>
        <v>Supervisor</v>
      </c>
      <c r="H249" s="1" t="s">
        <v>1355</v>
      </c>
      <c r="I249" s="1" t="s">
        <v>1117</v>
      </c>
      <c r="J249" s="1" t="str">
        <f>VLOOKUP(A249,[1]Sheet1!$A$2:$H$1141,8,0)</f>
        <v>Dept. of Production Planning &amp; Control</v>
      </c>
      <c r="K249" s="1" t="str">
        <f>VLOOKUP(A249,[1]Sheet1!$A$2:$I$1141,9,0)</f>
        <v>Unit of Quality Control</v>
      </c>
      <c r="L249" s="1" t="str">
        <f>VLOOKUP(A249,[1]Sheet1!$A$2:$J$1141,10,0)</f>
        <v>Section of Quality Control (4/5)</v>
      </c>
      <c r="M249" s="2">
        <v>26300</v>
      </c>
      <c r="N249" s="1" t="s">
        <v>29</v>
      </c>
      <c r="O249" s="1" t="s">
        <v>30</v>
      </c>
      <c r="P249" s="1" t="s">
        <v>1419</v>
      </c>
      <c r="Q249" s="1" t="s">
        <v>1414</v>
      </c>
      <c r="R249" s="1" t="s">
        <v>1415</v>
      </c>
      <c r="S249" s="1" t="s">
        <v>1359</v>
      </c>
      <c r="T249" s="14">
        <v>46784</v>
      </c>
      <c r="U249" s="1" t="s">
        <v>1420</v>
      </c>
      <c r="V249" s="1" t="s">
        <v>36</v>
      </c>
      <c r="W249" s="3" t="str">
        <f t="shared" si="3"/>
        <v>54 tahun</v>
      </c>
      <c r="X249" s="1" t="s">
        <v>55</v>
      </c>
      <c r="Y249" s="1" t="s">
        <v>56</v>
      </c>
      <c r="Z249" s="2">
        <v>34932</v>
      </c>
      <c r="AA249" s="2">
        <v>35309</v>
      </c>
      <c r="AB249" s="2" t="s">
        <v>1421</v>
      </c>
    </row>
    <row r="250" spans="1:28" x14ac:dyDescent="0.35">
      <c r="A250" s="12">
        <v>4970</v>
      </c>
      <c r="B250" s="12">
        <v>7302225</v>
      </c>
      <c r="C250" s="12" t="s">
        <v>164</v>
      </c>
      <c r="D250" s="12">
        <v>50066794</v>
      </c>
      <c r="E250" s="1" t="s">
        <v>1422</v>
      </c>
      <c r="F250" s="1" t="str">
        <f>VLOOKUP(A250,[1]Sheet1!$A$2:$E$1141,5,0)</f>
        <v>Spv of X - Ray &amp; Analysis (4)</v>
      </c>
      <c r="G250" s="17" t="str">
        <f>VLOOKUP(A250,[1]Sheet1!$A$2:$F$1141,6,0)</f>
        <v>Supervisor</v>
      </c>
      <c r="H250" s="1" t="s">
        <v>1355</v>
      </c>
      <c r="I250" s="1" t="s">
        <v>1117</v>
      </c>
      <c r="J250" s="1" t="str">
        <f>VLOOKUP(A250,[1]Sheet1!$A$2:$H$1141,8,0)</f>
        <v>Dept. of Production Planning &amp; Control</v>
      </c>
      <c r="K250" s="1" t="str">
        <f>VLOOKUP(A250,[1]Sheet1!$A$2:$I$1141,9,0)</f>
        <v>Unit of Quality Control</v>
      </c>
      <c r="L250" s="1" t="str">
        <f>VLOOKUP(A250,[1]Sheet1!$A$2:$J$1141,10,0)</f>
        <v>Section of Quality Control (4/5)</v>
      </c>
      <c r="M250" s="2">
        <v>26939</v>
      </c>
      <c r="N250" s="1" t="s">
        <v>29</v>
      </c>
      <c r="O250" s="1" t="s">
        <v>30</v>
      </c>
      <c r="P250" s="1" t="s">
        <v>1423</v>
      </c>
      <c r="Q250" s="1" t="s">
        <v>1414</v>
      </c>
      <c r="R250" s="1" t="s">
        <v>1415</v>
      </c>
      <c r="S250" s="1" t="s">
        <v>1359</v>
      </c>
      <c r="T250" s="14">
        <v>47423</v>
      </c>
      <c r="U250" s="1" t="s">
        <v>1424</v>
      </c>
      <c r="V250" s="1" t="s">
        <v>36</v>
      </c>
      <c r="W250" s="3" t="str">
        <f t="shared" si="3"/>
        <v>52 tahun</v>
      </c>
      <c r="X250" s="1" t="s">
        <v>1274</v>
      </c>
      <c r="Y250" s="1" t="s">
        <v>56</v>
      </c>
      <c r="Z250" s="2">
        <v>37469</v>
      </c>
      <c r="AA250" s="2">
        <v>38718</v>
      </c>
      <c r="AB250" s="2" t="s">
        <v>84</v>
      </c>
    </row>
    <row r="251" spans="1:28" x14ac:dyDescent="0.35">
      <c r="A251" s="12">
        <v>5211</v>
      </c>
      <c r="B251" s="12">
        <v>7702282</v>
      </c>
      <c r="C251" s="12" t="s">
        <v>164</v>
      </c>
      <c r="D251" s="12">
        <v>50066795</v>
      </c>
      <c r="E251" s="1" t="s">
        <v>1425</v>
      </c>
      <c r="F251" s="1" t="str">
        <f>VLOOKUP(A251,[1]Sheet1!$A$2:$E$1141,5,0)</f>
        <v>Spv of X - Ray &amp; Analysis (4)</v>
      </c>
      <c r="G251" s="17" t="str">
        <f>VLOOKUP(A251,[1]Sheet1!$A$2:$F$1141,6,0)</f>
        <v>Supervisor</v>
      </c>
      <c r="H251" s="1" t="s">
        <v>1355</v>
      </c>
      <c r="I251" s="1" t="s">
        <v>1117</v>
      </c>
      <c r="J251" s="1" t="str">
        <f>VLOOKUP(A251,[1]Sheet1!$A$2:$H$1141,8,0)</f>
        <v>Dept. of Production Planning &amp; Control</v>
      </c>
      <c r="K251" s="1" t="str">
        <f>VLOOKUP(A251,[1]Sheet1!$A$2:$I$1141,9,0)</f>
        <v>Unit of Quality Control</v>
      </c>
      <c r="L251" s="1" t="str">
        <f>VLOOKUP(A251,[1]Sheet1!$A$2:$J$1141,10,0)</f>
        <v>Section of Quality Control (4/5)</v>
      </c>
      <c r="M251" s="2">
        <v>28323</v>
      </c>
      <c r="N251" s="1" t="s">
        <v>29</v>
      </c>
      <c r="O251" s="1" t="s">
        <v>30</v>
      </c>
      <c r="P251" s="1" t="s">
        <v>1426</v>
      </c>
      <c r="Q251" s="1" t="s">
        <v>1414</v>
      </c>
      <c r="R251" s="1" t="s">
        <v>1415</v>
      </c>
      <c r="S251" s="1" t="s">
        <v>1359</v>
      </c>
      <c r="T251" s="14">
        <v>48792</v>
      </c>
      <c r="U251" s="1" t="s">
        <v>1427</v>
      </c>
      <c r="V251" s="1" t="s">
        <v>36</v>
      </c>
      <c r="W251" s="3" t="str">
        <f t="shared" si="3"/>
        <v>49 tahun</v>
      </c>
      <c r="X251" s="1" t="s">
        <v>248</v>
      </c>
      <c r="Y251" s="1" t="s">
        <v>56</v>
      </c>
      <c r="Z251" s="2">
        <v>37469</v>
      </c>
      <c r="AA251" s="2">
        <v>38718</v>
      </c>
      <c r="AB251" s="2" t="s">
        <v>1428</v>
      </c>
    </row>
    <row r="252" spans="1:28" x14ac:dyDescent="0.35">
      <c r="A252" s="12">
        <v>5428</v>
      </c>
      <c r="B252" s="12">
        <v>9009013</v>
      </c>
      <c r="C252" s="12" t="s">
        <v>1137</v>
      </c>
      <c r="D252" s="12">
        <v>50066797</v>
      </c>
      <c r="E252" s="1" t="s">
        <v>1429</v>
      </c>
      <c r="F252" s="1" t="str">
        <f>VLOOKUP(A252,[1]Sheet1!$A$2:$E$1141,5,0)</f>
        <v>Spv of X - Ray &amp; Analysis (5)</v>
      </c>
      <c r="G252" s="17" t="str">
        <f>VLOOKUP(A252,[1]Sheet1!$A$2:$F$1141,6,0)</f>
        <v>Supervisor</v>
      </c>
      <c r="H252" s="1" t="s">
        <v>1355</v>
      </c>
      <c r="I252" s="1" t="s">
        <v>1117</v>
      </c>
      <c r="J252" s="1" t="str">
        <f>VLOOKUP(A252,[1]Sheet1!$A$2:$H$1141,8,0)</f>
        <v>Dept. of Production Planning &amp; Control</v>
      </c>
      <c r="K252" s="1" t="str">
        <f>VLOOKUP(A252,[1]Sheet1!$A$2:$I$1141,9,0)</f>
        <v>Unit of Quality Control</v>
      </c>
      <c r="L252" s="1" t="str">
        <f>VLOOKUP(A252,[1]Sheet1!$A$2:$J$1141,10,0)</f>
        <v>Section of Quality Control (4/5)</v>
      </c>
      <c r="M252" s="2">
        <v>32967</v>
      </c>
      <c r="N252" s="1" t="s">
        <v>29</v>
      </c>
      <c r="O252" s="1" t="s">
        <v>30</v>
      </c>
      <c r="P252" s="1" t="s">
        <v>1430</v>
      </c>
      <c r="Q252" s="1" t="s">
        <v>1431</v>
      </c>
      <c r="R252" s="1" t="s">
        <v>1432</v>
      </c>
      <c r="S252" s="1" t="s">
        <v>1359</v>
      </c>
      <c r="T252" s="14">
        <v>53448</v>
      </c>
      <c r="U252" s="1" t="s">
        <v>1433</v>
      </c>
      <c r="V252" s="1" t="s">
        <v>36</v>
      </c>
      <c r="W252" s="3" t="str">
        <f t="shared" si="3"/>
        <v>36 tahun</v>
      </c>
      <c r="X252" s="1" t="s">
        <v>67</v>
      </c>
      <c r="Y252" s="1" t="s">
        <v>48</v>
      </c>
      <c r="Z252" s="2">
        <v>40087</v>
      </c>
      <c r="AA252" s="2">
        <v>40391</v>
      </c>
      <c r="AB252" s="2" t="s">
        <v>1434</v>
      </c>
    </row>
    <row r="253" spans="1:28" x14ac:dyDescent="0.35">
      <c r="A253" s="12">
        <v>6125</v>
      </c>
      <c r="B253" s="12">
        <v>9012294</v>
      </c>
      <c r="C253" s="12" t="s">
        <v>103</v>
      </c>
      <c r="D253" s="12">
        <v>50066798</v>
      </c>
      <c r="E253" s="1" t="s">
        <v>1435</v>
      </c>
      <c r="F253" s="1" t="str">
        <f>VLOOKUP(A253,[1]Sheet1!$A$2:$E$1141,5,0)</f>
        <v>Spv of X - Ray &amp; Analysis (5)</v>
      </c>
      <c r="G253" s="17" t="str">
        <f>VLOOKUP(A253,[1]Sheet1!$A$2:$F$1141,6,0)</f>
        <v>Supervisor</v>
      </c>
      <c r="H253" s="1" t="s">
        <v>1355</v>
      </c>
      <c r="I253" s="1" t="s">
        <v>1117</v>
      </c>
      <c r="J253" s="1" t="str">
        <f>VLOOKUP(A253,[1]Sheet1!$A$2:$H$1141,8,0)</f>
        <v>Dept. of Production Planning &amp; Control</v>
      </c>
      <c r="K253" s="1" t="str">
        <f>VLOOKUP(A253,[1]Sheet1!$A$2:$I$1141,9,0)</f>
        <v>Unit of Quality Control</v>
      </c>
      <c r="L253" s="1" t="str">
        <f>VLOOKUP(A253,[1]Sheet1!$A$2:$J$1141,10,0)</f>
        <v>Section of Quality Control (4/5)</v>
      </c>
      <c r="M253" s="2">
        <v>33140</v>
      </c>
      <c r="N253" s="1" t="s">
        <v>29</v>
      </c>
      <c r="O253" s="1" t="s">
        <v>30</v>
      </c>
      <c r="P253" s="1" t="s">
        <v>1436</v>
      </c>
      <c r="Q253" s="1" t="s">
        <v>1431</v>
      </c>
      <c r="R253" s="1" t="s">
        <v>1432</v>
      </c>
      <c r="S253" s="1" t="s">
        <v>1359</v>
      </c>
      <c r="T253" s="14">
        <v>53601</v>
      </c>
      <c r="U253" s="1" t="s">
        <v>1437</v>
      </c>
      <c r="V253" s="1" t="s">
        <v>36</v>
      </c>
      <c r="W253" s="3" t="str">
        <f t="shared" si="3"/>
        <v>35 tahun</v>
      </c>
      <c r="X253" s="1" t="s">
        <v>55</v>
      </c>
      <c r="Y253" s="1" t="s">
        <v>48</v>
      </c>
      <c r="Z253" s="2">
        <v>41275</v>
      </c>
      <c r="AA253" s="2">
        <v>41395</v>
      </c>
      <c r="AB253" s="2" t="s">
        <v>1438</v>
      </c>
    </row>
    <row r="254" spans="1:28" x14ac:dyDescent="0.35">
      <c r="A254" s="12">
        <v>5418</v>
      </c>
      <c r="B254" s="12">
        <v>8809009</v>
      </c>
      <c r="C254" s="12" t="s">
        <v>1137</v>
      </c>
      <c r="D254" s="12">
        <v>50066799</v>
      </c>
      <c r="E254" s="1" t="s">
        <v>1439</v>
      </c>
      <c r="F254" s="1" t="str">
        <f>VLOOKUP(A254,[1]Sheet1!$A$2:$E$1141,5,0)</f>
        <v>Spv of X - Ray &amp; Analysis (5)</v>
      </c>
      <c r="G254" s="17" t="str">
        <f>VLOOKUP(A254,[1]Sheet1!$A$2:$F$1141,6,0)</f>
        <v>Supervisor</v>
      </c>
      <c r="H254" s="1" t="s">
        <v>1355</v>
      </c>
      <c r="I254" s="1" t="s">
        <v>1117</v>
      </c>
      <c r="J254" s="1" t="str">
        <f>VLOOKUP(A254,[1]Sheet1!$A$2:$H$1141,8,0)</f>
        <v>Dept. of Production Planning &amp; Control</v>
      </c>
      <c r="K254" s="1" t="str">
        <f>VLOOKUP(A254,[1]Sheet1!$A$2:$I$1141,9,0)</f>
        <v>Unit of Quality Control</v>
      </c>
      <c r="L254" s="1" t="str">
        <f>VLOOKUP(A254,[1]Sheet1!$A$2:$J$1141,10,0)</f>
        <v>Section of Quality Control (4/5)</v>
      </c>
      <c r="M254" s="2">
        <v>32381</v>
      </c>
      <c r="N254" s="1" t="s">
        <v>29</v>
      </c>
      <c r="O254" s="1" t="s">
        <v>30</v>
      </c>
      <c r="P254" s="1" t="s">
        <v>1440</v>
      </c>
      <c r="Q254" s="1" t="s">
        <v>1431</v>
      </c>
      <c r="R254" s="1" t="s">
        <v>1432</v>
      </c>
      <c r="S254" s="1" t="s">
        <v>1359</v>
      </c>
      <c r="T254" s="14">
        <v>52841</v>
      </c>
      <c r="U254" s="1" t="s">
        <v>1441</v>
      </c>
      <c r="V254" s="1" t="s">
        <v>36</v>
      </c>
      <c r="W254" s="3" t="str">
        <f t="shared" si="3"/>
        <v>38 tahun</v>
      </c>
      <c r="X254" s="1" t="s">
        <v>67</v>
      </c>
      <c r="Y254" s="1" t="s">
        <v>48</v>
      </c>
      <c r="Z254" s="2">
        <v>40087</v>
      </c>
      <c r="AA254" s="2">
        <v>40391</v>
      </c>
      <c r="AB254" s="2" t="s">
        <v>1442</v>
      </c>
    </row>
    <row r="255" spans="1:28" x14ac:dyDescent="0.35">
      <c r="A255" s="12">
        <v>5378</v>
      </c>
      <c r="B255" s="12">
        <v>8609002</v>
      </c>
      <c r="C255" s="12" t="s">
        <v>1137</v>
      </c>
      <c r="D255" s="12">
        <v>50066800</v>
      </c>
      <c r="E255" s="1" t="s">
        <v>1443</v>
      </c>
      <c r="F255" s="1" t="str">
        <f>VLOOKUP(A255,[1]Sheet1!$A$2:$E$1141,5,0)</f>
        <v>Spv of X - Ray &amp; Analysis (5)</v>
      </c>
      <c r="G255" s="17" t="str">
        <f>VLOOKUP(A255,[1]Sheet1!$A$2:$F$1141,6,0)</f>
        <v>Supervisor</v>
      </c>
      <c r="H255" s="1" t="s">
        <v>1355</v>
      </c>
      <c r="I255" s="1" t="s">
        <v>1117</v>
      </c>
      <c r="J255" s="1" t="str">
        <f>VLOOKUP(A255,[1]Sheet1!$A$2:$H$1141,8,0)</f>
        <v>Dept. of Production Planning &amp; Control</v>
      </c>
      <c r="K255" s="1" t="str">
        <f>VLOOKUP(A255,[1]Sheet1!$A$2:$I$1141,9,0)</f>
        <v>Unit of Quality Control</v>
      </c>
      <c r="L255" s="1" t="str">
        <f>VLOOKUP(A255,[1]Sheet1!$A$2:$J$1141,10,0)</f>
        <v>Section of Quality Control (4/5)</v>
      </c>
      <c r="M255" s="2">
        <v>31712</v>
      </c>
      <c r="N255" s="1" t="s">
        <v>29</v>
      </c>
      <c r="O255" s="1" t="s">
        <v>30</v>
      </c>
      <c r="P255" s="1" t="s">
        <v>1444</v>
      </c>
      <c r="Q255" s="1" t="s">
        <v>1431</v>
      </c>
      <c r="R255" s="1" t="s">
        <v>1432</v>
      </c>
      <c r="S255" s="1" t="s">
        <v>1359</v>
      </c>
      <c r="T255" s="14">
        <v>52171</v>
      </c>
      <c r="U255" s="1" t="s">
        <v>1445</v>
      </c>
      <c r="V255" s="1" t="s">
        <v>36</v>
      </c>
      <c r="W255" s="3" t="str">
        <f t="shared" si="3"/>
        <v>39 tahun</v>
      </c>
      <c r="X255" s="1" t="s">
        <v>121</v>
      </c>
      <c r="Y255" s="1" t="s">
        <v>48</v>
      </c>
      <c r="Z255" s="2">
        <v>40087</v>
      </c>
      <c r="AA255" s="2">
        <v>40360</v>
      </c>
      <c r="AB255" s="2" t="s">
        <v>1446</v>
      </c>
    </row>
    <row r="256" spans="1:28" x14ac:dyDescent="0.35">
      <c r="A256" s="12">
        <v>6016</v>
      </c>
      <c r="B256" s="12">
        <v>8912183</v>
      </c>
      <c r="C256" s="12" t="s">
        <v>103</v>
      </c>
      <c r="D256" s="12">
        <v>50069469</v>
      </c>
      <c r="E256" s="1" t="s">
        <v>1447</v>
      </c>
      <c r="F256" s="1" t="str">
        <f>VLOOKUP(A256,[1]Sheet1!$A$2:$E$1141,5,0)</f>
        <v>Spv of Line 4/5 QC</v>
      </c>
      <c r="G256" s="17" t="str">
        <f>VLOOKUP(A256,[1]Sheet1!$A$2:$F$1141,6,0)</f>
        <v>Supervisor</v>
      </c>
      <c r="H256" s="1" t="s">
        <v>1355</v>
      </c>
      <c r="I256" s="1" t="s">
        <v>1117</v>
      </c>
      <c r="J256" s="1" t="str">
        <f>VLOOKUP(A256,[1]Sheet1!$A$2:$H$1141,8,0)</f>
        <v>Dept. of Production Planning &amp; Control</v>
      </c>
      <c r="K256" s="1" t="str">
        <f>VLOOKUP(A256,[1]Sheet1!$A$2:$I$1141,9,0)</f>
        <v>Unit of Quality Control</v>
      </c>
      <c r="L256" s="1" t="str">
        <f>VLOOKUP(A256,[1]Sheet1!$A$2:$J$1141,10,0)</f>
        <v>Section of Quality Control (4/5)</v>
      </c>
      <c r="M256" s="2">
        <v>32616</v>
      </c>
      <c r="N256" s="1" t="s">
        <v>29</v>
      </c>
      <c r="O256" s="1" t="s">
        <v>30</v>
      </c>
      <c r="P256" s="1" t="s">
        <v>1448</v>
      </c>
      <c r="Q256" s="1" t="s">
        <v>1449</v>
      </c>
      <c r="R256" s="1" t="s">
        <v>1450</v>
      </c>
      <c r="S256" s="1" t="s">
        <v>1359</v>
      </c>
      <c r="T256" s="14">
        <v>53083</v>
      </c>
      <c r="U256" s="1" t="s">
        <v>1451</v>
      </c>
      <c r="V256" s="1" t="s">
        <v>36</v>
      </c>
      <c r="W256" s="3" t="str">
        <f t="shared" si="3"/>
        <v>37 tahun</v>
      </c>
      <c r="X256" s="1" t="s">
        <v>112</v>
      </c>
      <c r="Y256" s="1" t="s">
        <v>48</v>
      </c>
      <c r="Z256" s="2">
        <v>41275</v>
      </c>
      <c r="AA256" s="2">
        <v>41395</v>
      </c>
      <c r="AB256" s="2" t="s">
        <v>1452</v>
      </c>
    </row>
    <row r="257" spans="1:28" x14ac:dyDescent="0.35">
      <c r="A257" s="12">
        <v>5946</v>
      </c>
      <c r="B257" s="12">
        <v>8712112</v>
      </c>
      <c r="C257" s="12" t="s">
        <v>103</v>
      </c>
      <c r="D257" s="12">
        <v>50069470</v>
      </c>
      <c r="E257" s="1" t="s">
        <v>1453</v>
      </c>
      <c r="F257" s="1" t="str">
        <f>VLOOKUP(A257,[1]Sheet1!$A$2:$E$1141,5,0)</f>
        <v>Spv of Line 4/5 QC</v>
      </c>
      <c r="G257" s="17" t="str">
        <f>VLOOKUP(A257,[1]Sheet1!$A$2:$F$1141,6,0)</f>
        <v>Supervisor</v>
      </c>
      <c r="H257" s="1" t="s">
        <v>1355</v>
      </c>
      <c r="I257" s="1" t="s">
        <v>1117</v>
      </c>
      <c r="J257" s="1" t="str">
        <f>VLOOKUP(A257,[1]Sheet1!$A$2:$H$1141,8,0)</f>
        <v>Dept. of Production Planning &amp; Control</v>
      </c>
      <c r="K257" s="1" t="str">
        <f>VLOOKUP(A257,[1]Sheet1!$A$2:$I$1141,9,0)</f>
        <v>Unit of Quality Control</v>
      </c>
      <c r="L257" s="1" t="str">
        <f>VLOOKUP(A257,[1]Sheet1!$A$2:$J$1141,10,0)</f>
        <v>Section of Quality Control (4/5)</v>
      </c>
      <c r="M257" s="2">
        <v>32113</v>
      </c>
      <c r="N257" s="1" t="s">
        <v>29</v>
      </c>
      <c r="O257" s="1" t="s">
        <v>30</v>
      </c>
      <c r="P257" s="1" t="s">
        <v>1454</v>
      </c>
      <c r="Q257" s="1" t="s">
        <v>1449</v>
      </c>
      <c r="R257" s="1" t="s">
        <v>1450</v>
      </c>
      <c r="S257" s="1" t="s">
        <v>1359</v>
      </c>
      <c r="T257" s="14">
        <v>52597</v>
      </c>
      <c r="U257" s="1" t="s">
        <v>1455</v>
      </c>
      <c r="V257" s="1" t="s">
        <v>36</v>
      </c>
      <c r="W257" s="3" t="str">
        <f t="shared" si="3"/>
        <v>38 tahun</v>
      </c>
      <c r="X257" s="1" t="s">
        <v>1151</v>
      </c>
      <c r="Y257" s="1" t="s">
        <v>48</v>
      </c>
      <c r="Z257" s="2">
        <v>41275</v>
      </c>
      <c r="AA257" s="2">
        <v>41395</v>
      </c>
      <c r="AB257" s="2" t="s">
        <v>1456</v>
      </c>
    </row>
    <row r="258" spans="1:28" x14ac:dyDescent="0.35">
      <c r="A258" s="12">
        <v>5850</v>
      </c>
      <c r="B258" s="12">
        <v>8512017</v>
      </c>
      <c r="C258" s="12" t="s">
        <v>103</v>
      </c>
      <c r="D258" s="12">
        <v>50069471</v>
      </c>
      <c r="E258" s="1" t="s">
        <v>1457</v>
      </c>
      <c r="F258" s="1" t="str">
        <f>VLOOKUP(A258,[1]Sheet1!$A$2:$E$1141,5,0)</f>
        <v>Spv of Line 4/5 QC</v>
      </c>
      <c r="G258" s="17" t="str">
        <f>VLOOKUP(A258,[1]Sheet1!$A$2:$F$1141,6,0)</f>
        <v>Supervisor</v>
      </c>
      <c r="H258" s="1" t="s">
        <v>1355</v>
      </c>
      <c r="I258" s="1" t="s">
        <v>1117</v>
      </c>
      <c r="J258" s="1" t="str">
        <f>VLOOKUP(A258,[1]Sheet1!$A$2:$H$1141,8,0)</f>
        <v>Dept. of Production Planning &amp; Control</v>
      </c>
      <c r="K258" s="1" t="str">
        <f>VLOOKUP(A258,[1]Sheet1!$A$2:$I$1141,9,0)</f>
        <v>Unit of Quality Control</v>
      </c>
      <c r="L258" s="1" t="str">
        <f>VLOOKUP(A258,[1]Sheet1!$A$2:$J$1141,10,0)</f>
        <v>Section of Quality Control (4/5)</v>
      </c>
      <c r="M258" s="2">
        <v>31279</v>
      </c>
      <c r="N258" s="1" t="s">
        <v>29</v>
      </c>
      <c r="O258" s="1" t="s">
        <v>30</v>
      </c>
      <c r="P258" s="1" t="s">
        <v>1458</v>
      </c>
      <c r="Q258" s="1" t="s">
        <v>1449</v>
      </c>
      <c r="R258" s="1" t="s">
        <v>1450</v>
      </c>
      <c r="S258" s="1" t="s">
        <v>1359</v>
      </c>
      <c r="T258" s="14">
        <v>51745</v>
      </c>
      <c r="U258" s="1" t="s">
        <v>1459</v>
      </c>
      <c r="V258" s="1" t="s">
        <v>36</v>
      </c>
      <c r="W258" s="3" t="str">
        <f t="shared" si="3"/>
        <v>41 tahun</v>
      </c>
      <c r="X258" s="1" t="s">
        <v>486</v>
      </c>
      <c r="Y258" s="1" t="s">
        <v>48</v>
      </c>
      <c r="Z258" s="2">
        <v>41275</v>
      </c>
      <c r="AA258" s="2">
        <v>41395</v>
      </c>
      <c r="AB258" s="2" t="s">
        <v>1460</v>
      </c>
    </row>
    <row r="259" spans="1:28" x14ac:dyDescent="0.35">
      <c r="A259" s="12">
        <v>4491</v>
      </c>
      <c r="B259" s="12">
        <v>7206510</v>
      </c>
      <c r="C259" s="12" t="s">
        <v>219</v>
      </c>
      <c r="D259" s="12">
        <v>50069472</v>
      </c>
      <c r="E259" s="1" t="s">
        <v>1461</v>
      </c>
      <c r="F259" s="1" t="str">
        <f>VLOOKUP(A259,[1]Sheet1!$A$2:$E$1141,5,0)</f>
        <v>Spv of Line 4/5 QC</v>
      </c>
      <c r="G259" s="17" t="str">
        <f>VLOOKUP(A259,[1]Sheet1!$A$2:$F$1141,6,0)</f>
        <v>Supervisor</v>
      </c>
      <c r="H259" s="1" t="s">
        <v>1355</v>
      </c>
      <c r="I259" s="1" t="s">
        <v>1117</v>
      </c>
      <c r="J259" s="1" t="str">
        <f>VLOOKUP(A259,[1]Sheet1!$A$2:$H$1141,8,0)</f>
        <v>Dept. of Production Planning &amp; Control</v>
      </c>
      <c r="K259" s="1" t="str">
        <f>VLOOKUP(A259,[1]Sheet1!$A$2:$I$1141,9,0)</f>
        <v>Unit of Quality Control</v>
      </c>
      <c r="L259" s="1" t="str">
        <f>VLOOKUP(A259,[1]Sheet1!$A$2:$J$1141,10,0)</f>
        <v>Section of Quality Control (4/5)</v>
      </c>
      <c r="M259" s="2">
        <v>26634</v>
      </c>
      <c r="N259" s="1" t="s">
        <v>29</v>
      </c>
      <c r="O259" s="1" t="s">
        <v>30</v>
      </c>
      <c r="P259" s="1" t="s">
        <v>1462</v>
      </c>
      <c r="Q259" s="1" t="s">
        <v>1449</v>
      </c>
      <c r="R259" s="1" t="s">
        <v>1450</v>
      </c>
      <c r="S259" s="1" t="s">
        <v>1359</v>
      </c>
      <c r="T259" s="14">
        <v>47119</v>
      </c>
      <c r="U259" s="1" t="s">
        <v>1463</v>
      </c>
      <c r="V259" s="1" t="s">
        <v>36</v>
      </c>
      <c r="W259" s="3" t="str">
        <f t="shared" ref="W259:W322" si="4">DATEDIF(M259,$W$1,"Y")&amp;" "&amp;"tahun"</f>
        <v>53 tahun</v>
      </c>
      <c r="X259" s="1" t="s">
        <v>37</v>
      </c>
      <c r="Y259" s="1" t="s">
        <v>56</v>
      </c>
      <c r="Z259" s="2">
        <v>38718</v>
      </c>
      <c r="AA259" s="2">
        <v>41030</v>
      </c>
      <c r="AB259" s="2" t="s">
        <v>1464</v>
      </c>
    </row>
    <row r="260" spans="1:28" x14ac:dyDescent="0.35">
      <c r="A260" s="12">
        <v>5401</v>
      </c>
      <c r="B260" s="12">
        <v>8709006</v>
      </c>
      <c r="C260" s="12" t="s">
        <v>1137</v>
      </c>
      <c r="D260" s="12">
        <v>50066730</v>
      </c>
      <c r="E260" s="16" t="s">
        <v>1465</v>
      </c>
      <c r="F260" s="1" t="str">
        <f>VLOOKUP(A260,[1]Sheet1!$A$2:$E$1141,5,0)</f>
        <v>Mgr of Quality Development &amp; Evaluation</v>
      </c>
      <c r="G260" s="16" t="str">
        <f>VLOOKUP(A260,[1]Sheet1!$A$2:$F$1141,6,0)</f>
        <v>Manager</v>
      </c>
      <c r="H260" s="1" t="s">
        <v>1466</v>
      </c>
      <c r="I260" s="1" t="s">
        <v>1117</v>
      </c>
      <c r="J260" s="1" t="str">
        <f>VLOOKUP(A260,[1]Sheet1!$A$2:$H$1141,8,0)</f>
        <v>Dept. of Production Planning &amp; Control</v>
      </c>
      <c r="K260" s="1" t="str">
        <f>VLOOKUP(A260,[1]Sheet1!$A$2:$I$1141,9,0)</f>
        <v>Unit of Quality Control</v>
      </c>
      <c r="L260" s="1" t="str">
        <f>VLOOKUP(A260,[1]Sheet1!$A$2:$J$1141,10,0)</f>
        <v>Section of Quality Development &amp; Eval.</v>
      </c>
      <c r="M260" s="2">
        <v>32007</v>
      </c>
      <c r="N260" s="1" t="s">
        <v>29</v>
      </c>
      <c r="O260" s="1" t="s">
        <v>30</v>
      </c>
      <c r="P260" s="1" t="s">
        <v>1467</v>
      </c>
      <c r="Q260" s="1" t="s">
        <v>1468</v>
      </c>
      <c r="R260" s="1" t="s">
        <v>1469</v>
      </c>
      <c r="S260" s="1" t="s">
        <v>1470</v>
      </c>
      <c r="T260" s="14">
        <v>52475</v>
      </c>
      <c r="U260" s="1" t="s">
        <v>1471</v>
      </c>
      <c r="V260" s="1" t="s">
        <v>186</v>
      </c>
      <c r="W260" s="3" t="str">
        <f t="shared" si="4"/>
        <v>39 tahun</v>
      </c>
      <c r="X260" s="1" t="s">
        <v>37</v>
      </c>
      <c r="Y260" s="1" t="s">
        <v>48</v>
      </c>
      <c r="Z260" s="2">
        <v>40087</v>
      </c>
      <c r="AA260" s="2">
        <v>40391</v>
      </c>
      <c r="AB260" s="2" t="s">
        <v>1472</v>
      </c>
    </row>
    <row r="261" spans="1:28" x14ac:dyDescent="0.35">
      <c r="A261" s="12">
        <v>6157</v>
      </c>
      <c r="B261" s="12">
        <v>9112324</v>
      </c>
      <c r="C261" s="12" t="s">
        <v>103</v>
      </c>
      <c r="D261" s="12">
        <v>50061146</v>
      </c>
      <c r="E261" s="1" t="s">
        <v>1473</v>
      </c>
      <c r="F261" s="1" t="str">
        <f>VLOOKUP(A261,[1]Sheet1!$A$2:$E$1141,5,0)</f>
        <v>Lab Eqp Jr Officer</v>
      </c>
      <c r="G261" s="17" t="str">
        <f>VLOOKUP(A261,[1]Sheet1!$A$2:$F$1141,6,0)</f>
        <v>Supervisor</v>
      </c>
      <c r="H261" s="1" t="s">
        <v>1466</v>
      </c>
      <c r="I261" s="1" t="s">
        <v>1117</v>
      </c>
      <c r="J261" s="1" t="str">
        <f>VLOOKUP(A261,[1]Sheet1!$A$2:$H$1141,8,0)</f>
        <v>Dept. of Production Planning &amp; Control</v>
      </c>
      <c r="K261" s="1" t="str">
        <f>VLOOKUP(A261,[1]Sheet1!$A$2:$I$1141,9,0)</f>
        <v>Unit of Quality Control</v>
      </c>
      <c r="L261" s="1" t="str">
        <f>VLOOKUP(A261,[1]Sheet1!$A$2:$J$1141,10,0)</f>
        <v>Section of Quality Development &amp; Eval.</v>
      </c>
      <c r="M261" s="2">
        <v>33280</v>
      </c>
      <c r="N261" s="1" t="s">
        <v>29</v>
      </c>
      <c r="O261" s="1" t="s">
        <v>30</v>
      </c>
      <c r="P261" s="1" t="s">
        <v>1474</v>
      </c>
      <c r="Q261" s="1" t="s">
        <v>1475</v>
      </c>
      <c r="R261" s="1" t="s">
        <v>1476</v>
      </c>
      <c r="S261" s="1" t="s">
        <v>1470</v>
      </c>
      <c r="T261" s="14">
        <v>53752</v>
      </c>
      <c r="U261" s="1" t="s">
        <v>1477</v>
      </c>
      <c r="V261" s="1" t="s">
        <v>36</v>
      </c>
      <c r="W261" s="3" t="str">
        <f t="shared" si="4"/>
        <v>35 tahun</v>
      </c>
      <c r="X261" s="1" t="s">
        <v>137</v>
      </c>
      <c r="Y261" s="1" t="s">
        <v>48</v>
      </c>
      <c r="Z261" s="2">
        <v>41275</v>
      </c>
      <c r="AA261" s="2">
        <v>41426</v>
      </c>
      <c r="AB261" s="2" t="s">
        <v>1478</v>
      </c>
    </row>
    <row r="262" spans="1:28" x14ac:dyDescent="0.35">
      <c r="A262" s="12">
        <v>6124</v>
      </c>
      <c r="B262" s="12">
        <v>9012293</v>
      </c>
      <c r="C262" s="12" t="s">
        <v>103</v>
      </c>
      <c r="D262" s="12">
        <v>50066801</v>
      </c>
      <c r="E262" s="1" t="s">
        <v>1479</v>
      </c>
      <c r="F262" s="1" t="str">
        <f>VLOOKUP(A262,[1]Sheet1!$A$2:$E$1141,5,0)</f>
        <v>Lab Eqp Jr Officer</v>
      </c>
      <c r="G262" s="17" t="str">
        <f>VLOOKUP(A262,[1]Sheet1!$A$2:$F$1141,6,0)</f>
        <v>Supervisor</v>
      </c>
      <c r="H262" s="1" t="s">
        <v>1466</v>
      </c>
      <c r="I262" s="1" t="s">
        <v>1117</v>
      </c>
      <c r="J262" s="1" t="str">
        <f>VLOOKUP(A262,[1]Sheet1!$A$2:$H$1141,8,0)</f>
        <v>Dept. of Production Planning &amp; Control</v>
      </c>
      <c r="K262" s="1" t="str">
        <f>VLOOKUP(A262,[1]Sheet1!$A$2:$I$1141,9,0)</f>
        <v>Unit of Quality Control</v>
      </c>
      <c r="L262" s="1" t="str">
        <f>VLOOKUP(A262,[1]Sheet1!$A$2:$J$1141,10,0)</f>
        <v>Section of Quality Development &amp; Eval.</v>
      </c>
      <c r="M262" s="2">
        <v>33139</v>
      </c>
      <c r="N262" s="1" t="s">
        <v>29</v>
      </c>
      <c r="O262" s="1" t="s">
        <v>30</v>
      </c>
      <c r="P262" s="1" t="s">
        <v>1480</v>
      </c>
      <c r="Q262" s="1" t="s">
        <v>1475</v>
      </c>
      <c r="R262" s="1" t="s">
        <v>1476</v>
      </c>
      <c r="S262" s="1" t="s">
        <v>1470</v>
      </c>
      <c r="T262" s="14">
        <v>53601</v>
      </c>
      <c r="U262" s="1" t="s">
        <v>1481</v>
      </c>
      <c r="V262" s="1" t="s">
        <v>36</v>
      </c>
      <c r="W262" s="3" t="str">
        <f t="shared" si="4"/>
        <v>35 tahun</v>
      </c>
      <c r="X262" s="1" t="s">
        <v>112</v>
      </c>
      <c r="Y262" s="1" t="s">
        <v>56</v>
      </c>
      <c r="Z262" s="2">
        <v>41275</v>
      </c>
      <c r="AA262" s="2">
        <v>41395</v>
      </c>
      <c r="AB262" s="2" t="s">
        <v>1482</v>
      </c>
    </row>
    <row r="263" spans="1:28" x14ac:dyDescent="0.35">
      <c r="A263" s="12">
        <v>6196</v>
      </c>
      <c r="B263" s="12">
        <v>9112362</v>
      </c>
      <c r="C263" s="12" t="s">
        <v>103</v>
      </c>
      <c r="D263" s="12">
        <v>50066802</v>
      </c>
      <c r="E263" s="1" t="s">
        <v>1483</v>
      </c>
      <c r="F263" s="1" t="str">
        <f>VLOOKUP(A263,[1]Sheet1!$A$2:$E$1141,5,0)</f>
        <v>Lab Eqp Jr Officer</v>
      </c>
      <c r="G263" s="17" t="str">
        <f>VLOOKUP(A263,[1]Sheet1!$A$2:$F$1141,6,0)</f>
        <v>Supervisor</v>
      </c>
      <c r="H263" s="1" t="s">
        <v>1466</v>
      </c>
      <c r="I263" s="1" t="s">
        <v>1117</v>
      </c>
      <c r="J263" s="1" t="str">
        <f>VLOOKUP(A263,[1]Sheet1!$A$2:$H$1141,8,0)</f>
        <v>Dept. of Production Planning &amp; Control</v>
      </c>
      <c r="K263" s="1" t="str">
        <f>VLOOKUP(A263,[1]Sheet1!$A$2:$I$1141,9,0)</f>
        <v>Unit of Quality Control</v>
      </c>
      <c r="L263" s="1" t="str">
        <f>VLOOKUP(A263,[1]Sheet1!$A$2:$J$1141,10,0)</f>
        <v>Section of Quality Development &amp; Eval.</v>
      </c>
      <c r="M263" s="2">
        <v>33444</v>
      </c>
      <c r="N263" s="1" t="s">
        <v>29</v>
      </c>
      <c r="O263" s="1" t="s">
        <v>30</v>
      </c>
      <c r="P263" s="1" t="s">
        <v>1484</v>
      </c>
      <c r="Q263" s="1" t="s">
        <v>1475</v>
      </c>
      <c r="R263" s="1" t="s">
        <v>1476</v>
      </c>
      <c r="S263" s="1" t="s">
        <v>1470</v>
      </c>
      <c r="T263" s="14">
        <v>53905</v>
      </c>
      <c r="U263" s="1" t="s">
        <v>1485</v>
      </c>
      <c r="V263" s="1" t="s">
        <v>36</v>
      </c>
      <c r="W263" s="3" t="str">
        <f t="shared" si="4"/>
        <v>35 tahun</v>
      </c>
      <c r="X263" s="1" t="s">
        <v>107</v>
      </c>
      <c r="Y263" s="1" t="s">
        <v>56</v>
      </c>
      <c r="Z263" s="2">
        <v>41275</v>
      </c>
      <c r="AA263" s="2">
        <v>41395</v>
      </c>
      <c r="AB263" s="2" t="s">
        <v>1486</v>
      </c>
    </row>
    <row r="264" spans="1:28" x14ac:dyDescent="0.35">
      <c r="A264" s="12">
        <v>6083</v>
      </c>
      <c r="B264" s="12">
        <v>9012251</v>
      </c>
      <c r="C264" s="12" t="s">
        <v>103</v>
      </c>
      <c r="D264" s="12">
        <v>50066803</v>
      </c>
      <c r="E264" s="1" t="s">
        <v>1487</v>
      </c>
      <c r="F264" s="1" t="str">
        <f>VLOOKUP(A264,[1]Sheet1!$A$2:$E$1141,5,0)</f>
        <v>Quality Control Jr Officer</v>
      </c>
      <c r="G264" s="17" t="str">
        <f>VLOOKUP(A264,[1]Sheet1!$A$2:$F$1141,6,0)</f>
        <v>Supervisor</v>
      </c>
      <c r="H264" s="1" t="s">
        <v>1466</v>
      </c>
      <c r="I264" s="1" t="s">
        <v>1117</v>
      </c>
      <c r="J264" s="1" t="str">
        <f>VLOOKUP(A264,[1]Sheet1!$A$2:$H$1141,8,0)</f>
        <v>Dept. of Production Planning &amp; Control</v>
      </c>
      <c r="K264" s="1" t="str">
        <f>VLOOKUP(A264,[1]Sheet1!$A$2:$I$1141,9,0)</f>
        <v>Unit of Quality Control</v>
      </c>
      <c r="L264" s="1" t="str">
        <f>VLOOKUP(A264,[1]Sheet1!$A$2:$J$1141,10,0)</f>
        <v>Section of Quality Development &amp; Eval.</v>
      </c>
      <c r="M264" s="2">
        <v>32973</v>
      </c>
      <c r="N264" s="1" t="s">
        <v>29</v>
      </c>
      <c r="O264" s="1" t="s">
        <v>30</v>
      </c>
      <c r="P264" s="1" t="s">
        <v>1488</v>
      </c>
      <c r="Q264" s="1" t="s">
        <v>1489</v>
      </c>
      <c r="R264" s="1" t="s">
        <v>1490</v>
      </c>
      <c r="S264" s="1" t="s">
        <v>1470</v>
      </c>
      <c r="T264" s="14">
        <v>53448</v>
      </c>
      <c r="U264" s="1" t="s">
        <v>1491</v>
      </c>
      <c r="V264" s="1" t="s">
        <v>36</v>
      </c>
      <c r="W264" s="3" t="str">
        <f t="shared" si="4"/>
        <v>36 tahun</v>
      </c>
      <c r="X264" s="1" t="s">
        <v>55</v>
      </c>
      <c r="Y264" s="1" t="s">
        <v>56</v>
      </c>
      <c r="Z264" s="2">
        <v>41275</v>
      </c>
      <c r="AA264" s="2">
        <v>41365</v>
      </c>
      <c r="AB264" s="2" t="s">
        <v>1492</v>
      </c>
    </row>
    <row r="265" spans="1:28" x14ac:dyDescent="0.35">
      <c r="A265" s="12">
        <v>4722</v>
      </c>
      <c r="B265" s="12">
        <v>7002135</v>
      </c>
      <c r="C265" s="12" t="s">
        <v>164</v>
      </c>
      <c r="D265" s="12">
        <v>50066804</v>
      </c>
      <c r="E265" s="1" t="s">
        <v>1493</v>
      </c>
      <c r="F265" s="1" t="str">
        <f>VLOOKUP(A265,[1]Sheet1!$A$2:$E$1141,5,0)</f>
        <v>Quality Control Jr Officer</v>
      </c>
      <c r="G265" s="17" t="str">
        <f>VLOOKUP(A265,[1]Sheet1!$A$2:$F$1141,6,0)</f>
        <v>Supervisor</v>
      </c>
      <c r="H265" s="1" t="s">
        <v>1466</v>
      </c>
      <c r="I265" s="1" t="s">
        <v>1117</v>
      </c>
      <c r="J265" s="1" t="str">
        <f>VLOOKUP(A265,[1]Sheet1!$A$2:$H$1141,8,0)</f>
        <v>Dept. of Production Planning &amp; Control</v>
      </c>
      <c r="K265" s="1" t="str">
        <f>VLOOKUP(A265,[1]Sheet1!$A$2:$I$1141,9,0)</f>
        <v>Unit of Quality Control</v>
      </c>
      <c r="L265" s="1" t="str">
        <f>VLOOKUP(A265,[1]Sheet1!$A$2:$J$1141,10,0)</f>
        <v>Section of Quality Development &amp; Eval.</v>
      </c>
      <c r="M265" s="2">
        <v>25792</v>
      </c>
      <c r="N265" s="1" t="s">
        <v>29</v>
      </c>
      <c r="O265" s="1" t="s">
        <v>30</v>
      </c>
      <c r="P265" s="1" t="s">
        <v>1494</v>
      </c>
      <c r="Q265" s="1" t="s">
        <v>1489</v>
      </c>
      <c r="R265" s="1" t="s">
        <v>1490</v>
      </c>
      <c r="S265" s="1" t="s">
        <v>1470</v>
      </c>
      <c r="T265" s="14">
        <v>46266</v>
      </c>
      <c r="U265" s="1" t="s">
        <v>1495</v>
      </c>
      <c r="V265" s="1" t="s">
        <v>36</v>
      </c>
      <c r="W265" s="3" t="str">
        <f t="shared" si="4"/>
        <v>56 tahun</v>
      </c>
      <c r="X265" s="1" t="s">
        <v>137</v>
      </c>
      <c r="Y265" s="1" t="s">
        <v>56</v>
      </c>
      <c r="Z265" s="2">
        <v>37469</v>
      </c>
      <c r="AA265" s="2">
        <v>38718</v>
      </c>
      <c r="AB265" s="2" t="s">
        <v>84</v>
      </c>
    </row>
    <row r="266" spans="1:28" x14ac:dyDescent="0.35">
      <c r="A266" s="12">
        <v>6079</v>
      </c>
      <c r="B266" s="12">
        <v>9012246</v>
      </c>
      <c r="C266" s="12" t="s">
        <v>103</v>
      </c>
      <c r="D266" s="12">
        <v>50066805</v>
      </c>
      <c r="E266" s="1" t="s">
        <v>1496</v>
      </c>
      <c r="F266" s="1" t="str">
        <f>VLOOKUP(A266,[1]Sheet1!$A$2:$E$1141,5,0)</f>
        <v>Quality Control Jr Officer</v>
      </c>
      <c r="G266" s="17" t="str">
        <f>VLOOKUP(A266,[1]Sheet1!$A$2:$F$1141,6,0)</f>
        <v>Supervisor</v>
      </c>
      <c r="H266" s="1" t="s">
        <v>1466</v>
      </c>
      <c r="I266" s="1" t="s">
        <v>1117</v>
      </c>
      <c r="J266" s="1" t="str">
        <f>VLOOKUP(A266,[1]Sheet1!$A$2:$H$1141,8,0)</f>
        <v>Dept. of Production Planning &amp; Control</v>
      </c>
      <c r="K266" s="1" t="str">
        <f>VLOOKUP(A266,[1]Sheet1!$A$2:$I$1141,9,0)</f>
        <v>Unit of Quality Control</v>
      </c>
      <c r="L266" s="1" t="str">
        <f>VLOOKUP(A266,[1]Sheet1!$A$2:$J$1141,10,0)</f>
        <v>Section of Quality Development &amp; Eval.</v>
      </c>
      <c r="M266" s="2">
        <v>32955</v>
      </c>
      <c r="N266" s="1" t="s">
        <v>29</v>
      </c>
      <c r="O266" s="1" t="s">
        <v>30</v>
      </c>
      <c r="P266" s="1" t="s">
        <v>1497</v>
      </c>
      <c r="Q266" s="1" t="s">
        <v>1489</v>
      </c>
      <c r="R266" s="1" t="s">
        <v>1490</v>
      </c>
      <c r="S266" s="1" t="s">
        <v>1470</v>
      </c>
      <c r="T266" s="14">
        <v>53418</v>
      </c>
      <c r="U266" s="1" t="s">
        <v>1498</v>
      </c>
      <c r="V266" s="1" t="s">
        <v>36</v>
      </c>
      <c r="W266" s="3" t="str">
        <f t="shared" si="4"/>
        <v>36 tahun</v>
      </c>
      <c r="X266" s="1" t="s">
        <v>55</v>
      </c>
      <c r="Y266" s="1" t="s">
        <v>48</v>
      </c>
      <c r="Z266" s="2">
        <v>41275</v>
      </c>
      <c r="AA266" s="2">
        <v>41395</v>
      </c>
      <c r="AB266" s="2" t="s">
        <v>1499</v>
      </c>
    </row>
    <row r="267" spans="1:28" x14ac:dyDescent="0.35">
      <c r="A267" s="12">
        <v>6147</v>
      </c>
      <c r="B267" s="12">
        <v>9012316</v>
      </c>
      <c r="C267" s="12" t="s">
        <v>103</v>
      </c>
      <c r="D267" s="12">
        <v>50066806</v>
      </c>
      <c r="E267" s="1" t="s">
        <v>1500</v>
      </c>
      <c r="F267" s="1" t="str">
        <f>VLOOKUP(A267,[1]Sheet1!$A$2:$E$1141,5,0)</f>
        <v>Quality Control Jr Officer</v>
      </c>
      <c r="G267" s="17" t="str">
        <f>VLOOKUP(A267,[1]Sheet1!$A$2:$F$1141,6,0)</f>
        <v>Supervisor</v>
      </c>
      <c r="H267" s="1" t="s">
        <v>1466</v>
      </c>
      <c r="I267" s="1" t="s">
        <v>1117</v>
      </c>
      <c r="J267" s="1" t="str">
        <f>VLOOKUP(A267,[1]Sheet1!$A$2:$H$1141,8,0)</f>
        <v>Dept. of Production Planning &amp; Control</v>
      </c>
      <c r="K267" s="1" t="str">
        <f>VLOOKUP(A267,[1]Sheet1!$A$2:$I$1141,9,0)</f>
        <v>Unit of Quality Control</v>
      </c>
      <c r="L267" s="1" t="str">
        <f>VLOOKUP(A267,[1]Sheet1!$A$2:$J$1141,10,0)</f>
        <v>Section of Quality Development &amp; Eval.</v>
      </c>
      <c r="M267" s="2">
        <v>33231</v>
      </c>
      <c r="N267" s="1" t="s">
        <v>29</v>
      </c>
      <c r="O267" s="1" t="s">
        <v>30</v>
      </c>
      <c r="P267" s="1" t="s">
        <v>1501</v>
      </c>
      <c r="Q267" s="1" t="s">
        <v>1489</v>
      </c>
      <c r="R267" s="1" t="s">
        <v>1490</v>
      </c>
      <c r="S267" s="1" t="s">
        <v>1470</v>
      </c>
      <c r="T267" s="14">
        <v>53693</v>
      </c>
      <c r="U267" s="1" t="s">
        <v>1502</v>
      </c>
      <c r="V267" s="1" t="s">
        <v>36</v>
      </c>
      <c r="W267" s="3" t="str">
        <f t="shared" si="4"/>
        <v>35 tahun</v>
      </c>
      <c r="X267" s="1" t="s">
        <v>137</v>
      </c>
      <c r="Y267" s="1" t="s">
        <v>56</v>
      </c>
      <c r="Z267" s="2">
        <v>41275</v>
      </c>
      <c r="AA267" s="2">
        <v>41426</v>
      </c>
      <c r="AB267" s="2" t="s">
        <v>1503</v>
      </c>
    </row>
    <row r="268" spans="1:28" x14ac:dyDescent="0.35">
      <c r="A268" s="12">
        <v>6015</v>
      </c>
      <c r="B268" s="12">
        <v>8912182</v>
      </c>
      <c r="C268" s="12" t="s">
        <v>103</v>
      </c>
      <c r="D268" s="12">
        <v>50066807</v>
      </c>
      <c r="E268" s="1" t="s">
        <v>1504</v>
      </c>
      <c r="F268" s="1" t="str">
        <f>VLOOKUP(A268,[1]Sheet1!$A$2:$E$1141,5,0)</f>
        <v>Quality Control Jr Officer</v>
      </c>
      <c r="G268" s="17" t="str">
        <f>VLOOKUP(A268,[1]Sheet1!$A$2:$F$1141,6,0)</f>
        <v>Supervisor</v>
      </c>
      <c r="H268" s="1" t="s">
        <v>1466</v>
      </c>
      <c r="I268" s="1" t="s">
        <v>1117</v>
      </c>
      <c r="J268" s="1" t="str">
        <f>VLOOKUP(A268,[1]Sheet1!$A$2:$H$1141,8,0)</f>
        <v>Dept. of Production Planning &amp; Control</v>
      </c>
      <c r="K268" s="1" t="str">
        <f>VLOOKUP(A268,[1]Sheet1!$A$2:$I$1141,9,0)</f>
        <v>Unit of Quality Control</v>
      </c>
      <c r="L268" s="1" t="str">
        <f>VLOOKUP(A268,[1]Sheet1!$A$2:$J$1141,10,0)</f>
        <v>Section of Quality Development &amp; Eval.</v>
      </c>
      <c r="M268" s="2">
        <v>32611</v>
      </c>
      <c r="N268" s="1" t="s">
        <v>29</v>
      </c>
      <c r="O268" s="1" t="s">
        <v>30</v>
      </c>
      <c r="P268" s="1" t="s">
        <v>1505</v>
      </c>
      <c r="Q268" s="1" t="s">
        <v>1489</v>
      </c>
      <c r="R268" s="1" t="s">
        <v>1490</v>
      </c>
      <c r="S268" s="1" t="s">
        <v>1470</v>
      </c>
      <c r="T268" s="14">
        <v>53083</v>
      </c>
      <c r="U268" s="1" t="s">
        <v>1506</v>
      </c>
      <c r="V268" s="1" t="s">
        <v>36</v>
      </c>
      <c r="W268" s="3" t="str">
        <f t="shared" si="4"/>
        <v>37 tahun</v>
      </c>
      <c r="X268" s="1" t="s">
        <v>55</v>
      </c>
      <c r="Y268" s="1" t="s">
        <v>48</v>
      </c>
      <c r="Z268" s="2">
        <v>41275</v>
      </c>
      <c r="AA268" s="2">
        <v>41365</v>
      </c>
      <c r="AB268" s="2" t="s">
        <v>1507</v>
      </c>
    </row>
    <row r="269" spans="1:28" x14ac:dyDescent="0.35">
      <c r="A269" s="12">
        <v>4920</v>
      </c>
      <c r="B269" s="12">
        <v>7406447</v>
      </c>
      <c r="C269" s="12" t="s">
        <v>219</v>
      </c>
      <c r="D269" s="12">
        <v>50066808</v>
      </c>
      <c r="E269" s="1" t="s">
        <v>1508</v>
      </c>
      <c r="F269" s="1" t="str">
        <f>VLOOKUP(A269,[1]Sheet1!$A$2:$E$1141,5,0)</f>
        <v>Quality Control Jr Officer</v>
      </c>
      <c r="G269" s="17" t="str">
        <f>VLOOKUP(A269,[1]Sheet1!$A$2:$F$1141,6,0)</f>
        <v>Supervisor</v>
      </c>
      <c r="H269" s="1" t="s">
        <v>1466</v>
      </c>
      <c r="I269" s="1" t="s">
        <v>1117</v>
      </c>
      <c r="J269" s="1" t="str">
        <f>VLOOKUP(A269,[1]Sheet1!$A$2:$H$1141,8,0)</f>
        <v>Dept. of Production Planning &amp; Control</v>
      </c>
      <c r="K269" s="1" t="str">
        <f>VLOOKUP(A269,[1]Sheet1!$A$2:$I$1141,9,0)</f>
        <v>Unit of Quality Control</v>
      </c>
      <c r="L269" s="1" t="str">
        <f>VLOOKUP(A269,[1]Sheet1!$A$2:$J$1141,10,0)</f>
        <v>Section of Quality Development &amp; Eval.</v>
      </c>
      <c r="M269" s="2">
        <v>27101</v>
      </c>
      <c r="N269" s="1" t="s">
        <v>29</v>
      </c>
      <c r="O269" s="1" t="s">
        <v>30</v>
      </c>
      <c r="P269" s="1" t="s">
        <v>1509</v>
      </c>
      <c r="Q269" s="1" t="s">
        <v>1489</v>
      </c>
      <c r="R269" s="1" t="s">
        <v>1490</v>
      </c>
      <c r="S269" s="1" t="s">
        <v>1470</v>
      </c>
      <c r="T269" s="14">
        <v>47574</v>
      </c>
      <c r="U269" s="1" t="s">
        <v>1510</v>
      </c>
      <c r="V269" s="1" t="s">
        <v>36</v>
      </c>
      <c r="W269" s="3" t="str">
        <f t="shared" si="4"/>
        <v>52 tahun</v>
      </c>
      <c r="X269" s="1" t="s">
        <v>96</v>
      </c>
      <c r="Y269" s="1" t="s">
        <v>56</v>
      </c>
      <c r="Z269" s="2">
        <v>38718</v>
      </c>
      <c r="AA269" s="2">
        <v>41030</v>
      </c>
      <c r="AB269" s="2" t="s">
        <v>84</v>
      </c>
    </row>
    <row r="270" spans="1:28" x14ac:dyDescent="0.35">
      <c r="A270" s="12">
        <v>5276</v>
      </c>
      <c r="B270" s="12">
        <v>8210012</v>
      </c>
      <c r="C270" s="12" t="s">
        <v>139</v>
      </c>
      <c r="D270" s="12">
        <v>50007499</v>
      </c>
      <c r="E270" s="15" t="s">
        <v>1511</v>
      </c>
      <c r="F270" s="1" t="str">
        <f>VLOOKUP(A270,[1]Sheet1!$A$2:$E$1141,5,0)</f>
        <v>SM of Production Support</v>
      </c>
      <c r="G270" s="15" t="str">
        <f>VLOOKUP(A270,[1]Sheet1!$A$2:$F$1141,6,0)</f>
        <v>Senior Manager</v>
      </c>
      <c r="H270" s="1" t="s">
        <v>1512</v>
      </c>
      <c r="I270" s="1" t="s">
        <v>1117</v>
      </c>
      <c r="J270" s="1" t="str">
        <f>VLOOKUP(A270,[1]Sheet1!$A$2:$H$1141,8,0)</f>
        <v>Dept. of Production Planning &amp; Control</v>
      </c>
      <c r="K270" s="1" t="str">
        <f>VLOOKUP(A270,[1]Sheet1!$A$2:$I$1141,9,0)</f>
        <v>Unit of Production Support</v>
      </c>
      <c r="L270" s="1" t="e">
        <f>VLOOKUP(A270,[1]Sheet1!$A$2:$J$1141,10,0)</f>
        <v>#REF!</v>
      </c>
      <c r="M270" s="2">
        <v>30247</v>
      </c>
      <c r="N270" s="1" t="s">
        <v>29</v>
      </c>
      <c r="O270" s="1" t="s">
        <v>30</v>
      </c>
      <c r="P270" s="1" t="s">
        <v>1513</v>
      </c>
      <c r="Q270" s="1" t="s">
        <v>1514</v>
      </c>
      <c r="R270" s="1" t="s">
        <v>1515</v>
      </c>
      <c r="S270" s="1" t="s">
        <v>1516</v>
      </c>
      <c r="T270" s="14">
        <v>50710</v>
      </c>
      <c r="U270" s="1" t="s">
        <v>1517</v>
      </c>
      <c r="V270" s="1" t="s">
        <v>36</v>
      </c>
      <c r="W270" s="3" t="str">
        <f t="shared" si="4"/>
        <v>43 tahun</v>
      </c>
      <c r="X270" s="1" t="s">
        <v>1518</v>
      </c>
      <c r="Y270" s="1" t="s">
        <v>38</v>
      </c>
      <c r="Z270" s="2">
        <v>40544</v>
      </c>
      <c r="AA270" s="2">
        <v>40664</v>
      </c>
      <c r="AB270" s="2" t="s">
        <v>1519</v>
      </c>
    </row>
    <row r="271" spans="1:28" x14ac:dyDescent="0.35">
      <c r="A271" s="12">
        <v>5279</v>
      </c>
      <c r="B271" s="12">
        <v>8208030</v>
      </c>
      <c r="C271" s="12" t="s">
        <v>25</v>
      </c>
      <c r="D271" s="12">
        <v>50007535</v>
      </c>
      <c r="E271" s="16" t="s">
        <v>1520</v>
      </c>
      <c r="F271" s="1" t="str">
        <f>VLOOKUP(A271,[1]Sheet1!$A$2:$E$1141,5,0)</f>
        <v>Mgr of Heavy Equipment &amp; Coal Transport</v>
      </c>
      <c r="G271" s="16" t="str">
        <f>VLOOKUP(A271,[1]Sheet1!$A$2:$F$1141,6,0)</f>
        <v>Manager</v>
      </c>
      <c r="H271" s="1" t="s">
        <v>1521</v>
      </c>
      <c r="I271" s="1" t="s">
        <v>1117</v>
      </c>
      <c r="J271" s="1" t="str">
        <f>VLOOKUP(A271,[1]Sheet1!$A$2:$H$1141,8,0)</f>
        <v>Dept. of Production Planning &amp; Control</v>
      </c>
      <c r="K271" s="1" t="str">
        <f>VLOOKUP(A271,[1]Sheet1!$A$2:$I$1141,9,0)</f>
        <v>Unit of Production Support</v>
      </c>
      <c r="L271" s="1" t="str">
        <f>VLOOKUP(A271,[1]Sheet1!$A$2:$J$1141,10,0)</f>
        <v>Section of Heavy Equipment &amp; Coal Transp</v>
      </c>
      <c r="M271" s="2">
        <v>30299</v>
      </c>
      <c r="N271" s="1" t="s">
        <v>29</v>
      </c>
      <c r="O271" s="1" t="s">
        <v>30</v>
      </c>
      <c r="P271" s="1" t="s">
        <v>1522</v>
      </c>
      <c r="Q271" s="1" t="s">
        <v>1523</v>
      </c>
      <c r="R271" s="1" t="s">
        <v>1524</v>
      </c>
      <c r="S271" s="1" t="s">
        <v>1525</v>
      </c>
      <c r="T271" s="14">
        <v>50771</v>
      </c>
      <c r="U271" s="1" t="s">
        <v>1526</v>
      </c>
      <c r="V271" s="1" t="s">
        <v>36</v>
      </c>
      <c r="W271" s="3" t="str">
        <f t="shared" si="4"/>
        <v>43 tahun</v>
      </c>
      <c r="X271" s="1" t="s">
        <v>1527</v>
      </c>
      <c r="Y271" s="1" t="s">
        <v>48</v>
      </c>
      <c r="Z271" s="2">
        <v>39814</v>
      </c>
      <c r="AA271" s="2">
        <v>39965</v>
      </c>
      <c r="AB271" s="2" t="s">
        <v>84</v>
      </c>
    </row>
    <row r="272" spans="1:28" x14ac:dyDescent="0.35">
      <c r="A272" s="12">
        <v>5893</v>
      </c>
      <c r="B272" s="12">
        <v>8612060</v>
      </c>
      <c r="C272" s="12" t="s">
        <v>103</v>
      </c>
      <c r="D272" s="12">
        <v>50007536</v>
      </c>
      <c r="E272" s="1" t="s">
        <v>1528</v>
      </c>
      <c r="F272" s="1" t="str">
        <f>VLOOKUP(A272,[1]Sheet1!$A$2:$E$1141,5,0)</f>
        <v>Spv of HE Support Controlling</v>
      </c>
      <c r="G272" s="17" t="str">
        <f>VLOOKUP(A272,[1]Sheet1!$A$2:$F$1141,6,0)</f>
        <v>Supervisor</v>
      </c>
      <c r="H272" s="1" t="s">
        <v>1521</v>
      </c>
      <c r="I272" s="1" t="s">
        <v>1117</v>
      </c>
      <c r="J272" s="1" t="str">
        <f>VLOOKUP(A272,[1]Sheet1!$A$2:$H$1141,8,0)</f>
        <v>Dept. of Production Planning &amp; Control</v>
      </c>
      <c r="K272" s="1" t="str">
        <f>VLOOKUP(A272,[1]Sheet1!$A$2:$I$1141,9,0)</f>
        <v>Unit of Production Support</v>
      </c>
      <c r="L272" s="1" t="str">
        <f>VLOOKUP(A272,[1]Sheet1!$A$2:$J$1141,10,0)</f>
        <v>Section of Heavy Equipment &amp; Coal Transp</v>
      </c>
      <c r="M272" s="2">
        <v>31716</v>
      </c>
      <c r="N272" s="1" t="s">
        <v>29</v>
      </c>
      <c r="O272" s="1" t="s">
        <v>30</v>
      </c>
      <c r="P272" s="1" t="s">
        <v>1529</v>
      </c>
      <c r="Q272" s="1" t="s">
        <v>1530</v>
      </c>
      <c r="R272" s="1" t="s">
        <v>1531</v>
      </c>
      <c r="S272" s="1" t="s">
        <v>1525</v>
      </c>
      <c r="T272" s="14">
        <v>52171</v>
      </c>
      <c r="U272" s="1" t="s">
        <v>1532</v>
      </c>
      <c r="V272" s="1" t="s">
        <v>36</v>
      </c>
      <c r="W272" s="3" t="str">
        <f t="shared" si="4"/>
        <v>39 tahun</v>
      </c>
      <c r="X272" s="1" t="s">
        <v>112</v>
      </c>
      <c r="Y272" s="1" t="s">
        <v>48</v>
      </c>
      <c r="Z272" s="2">
        <v>41275</v>
      </c>
      <c r="AA272" s="2">
        <v>41426</v>
      </c>
      <c r="AB272" s="2" t="s">
        <v>1533</v>
      </c>
    </row>
    <row r="273" spans="1:28" x14ac:dyDescent="0.35">
      <c r="A273" s="12">
        <v>5173</v>
      </c>
      <c r="B273" s="12">
        <v>7595243</v>
      </c>
      <c r="C273" s="12" t="s">
        <v>50</v>
      </c>
      <c r="D273" s="12">
        <v>50069474</v>
      </c>
      <c r="E273" s="1" t="s">
        <v>1534</v>
      </c>
      <c r="F273" s="1" t="str">
        <f>VLOOKUP(A273,[1]Sheet1!$A$2:$E$1141,5,0)</f>
        <v>Spv of Heavy Equip. &amp; Tyre Support Maint</v>
      </c>
      <c r="G273" s="17" t="str">
        <f>VLOOKUP(A273,[1]Sheet1!$A$2:$F$1141,6,0)</f>
        <v>Supervisor</v>
      </c>
      <c r="H273" s="1" t="s">
        <v>1521</v>
      </c>
      <c r="I273" s="1" t="s">
        <v>1117</v>
      </c>
      <c r="J273" s="1" t="str">
        <f>VLOOKUP(A273,[1]Sheet1!$A$2:$H$1141,8,0)</f>
        <v>Dept. of Production Planning &amp; Control</v>
      </c>
      <c r="K273" s="1" t="str">
        <f>VLOOKUP(A273,[1]Sheet1!$A$2:$I$1141,9,0)</f>
        <v>Unit of Production Support</v>
      </c>
      <c r="L273" s="1" t="str">
        <f>VLOOKUP(A273,[1]Sheet1!$A$2:$J$1141,10,0)</f>
        <v>Section of Heavy Equipment &amp; Coal Transp</v>
      </c>
      <c r="M273" s="2">
        <v>27705</v>
      </c>
      <c r="N273" s="1" t="s">
        <v>29</v>
      </c>
      <c r="O273" s="1" t="s">
        <v>30</v>
      </c>
      <c r="P273" s="1" t="s">
        <v>1535</v>
      </c>
      <c r="Q273" s="1" t="s">
        <v>1536</v>
      </c>
      <c r="R273" s="1" t="s">
        <v>1537</v>
      </c>
      <c r="S273" s="1" t="s">
        <v>1525</v>
      </c>
      <c r="T273" s="14">
        <v>48183</v>
      </c>
      <c r="U273" s="1" t="s">
        <v>1538</v>
      </c>
      <c r="V273" s="1" t="s">
        <v>36</v>
      </c>
      <c r="W273" s="3" t="str">
        <f t="shared" si="4"/>
        <v>50 tahun</v>
      </c>
      <c r="X273" s="1" t="s">
        <v>101</v>
      </c>
      <c r="Y273" s="1" t="s">
        <v>56</v>
      </c>
      <c r="Z273" s="2">
        <v>35002</v>
      </c>
      <c r="AA273" s="2">
        <v>35370</v>
      </c>
      <c r="AB273" s="2" t="s">
        <v>1539</v>
      </c>
    </row>
    <row r="274" spans="1:28" x14ac:dyDescent="0.35">
      <c r="A274" s="12">
        <v>4944</v>
      </c>
      <c r="B274" s="12">
        <v>7395198</v>
      </c>
      <c r="C274" s="12" t="s">
        <v>50</v>
      </c>
      <c r="D274" s="12">
        <v>50069475</v>
      </c>
      <c r="E274" s="1" t="s">
        <v>1540</v>
      </c>
      <c r="F274" s="1" t="str">
        <f>VLOOKUP(A274,[1]Sheet1!$A$2:$E$1141,5,0)</f>
        <v>Spv of Heavy Equip. &amp; Tyre Support Maint</v>
      </c>
      <c r="G274" s="17" t="str">
        <f>VLOOKUP(A274,[1]Sheet1!$A$2:$F$1141,6,0)</f>
        <v>Supervisor</v>
      </c>
      <c r="H274" s="1" t="s">
        <v>1521</v>
      </c>
      <c r="I274" s="1" t="s">
        <v>1117</v>
      </c>
      <c r="J274" s="1" t="str">
        <f>VLOOKUP(A274,[1]Sheet1!$A$2:$H$1141,8,0)</f>
        <v>Dept. of Production Planning &amp; Control</v>
      </c>
      <c r="K274" s="1" t="str">
        <f>VLOOKUP(A274,[1]Sheet1!$A$2:$I$1141,9,0)</f>
        <v>Unit of Production Support</v>
      </c>
      <c r="L274" s="1" t="str">
        <f>VLOOKUP(A274,[1]Sheet1!$A$2:$J$1141,10,0)</f>
        <v>Section of Heavy Equipment &amp; Coal Transp</v>
      </c>
      <c r="M274" s="2">
        <v>26847</v>
      </c>
      <c r="N274" s="1" t="s">
        <v>29</v>
      </c>
      <c r="O274" s="1" t="s">
        <v>30</v>
      </c>
      <c r="P274" s="1" t="s">
        <v>1541</v>
      </c>
      <c r="Q274" s="1" t="s">
        <v>1536</v>
      </c>
      <c r="R274" s="1" t="s">
        <v>1537</v>
      </c>
      <c r="S274" s="1" t="s">
        <v>1525</v>
      </c>
      <c r="T274" s="14">
        <v>47331</v>
      </c>
      <c r="U274" s="1" t="s">
        <v>1542</v>
      </c>
      <c r="V274" s="1" t="s">
        <v>36</v>
      </c>
      <c r="W274" s="3" t="str">
        <f t="shared" si="4"/>
        <v>53 tahun</v>
      </c>
      <c r="X274" s="1" t="s">
        <v>55</v>
      </c>
      <c r="Y274" s="1" t="s">
        <v>56</v>
      </c>
      <c r="Z274" s="2">
        <v>35002</v>
      </c>
      <c r="AA274" s="2">
        <v>35370</v>
      </c>
      <c r="AB274" s="2" t="s">
        <v>1543</v>
      </c>
    </row>
    <row r="275" spans="1:28" x14ac:dyDescent="0.35">
      <c r="A275" s="12">
        <v>4861</v>
      </c>
      <c r="B275" s="12">
        <v>7202197</v>
      </c>
      <c r="C275" s="12" t="s">
        <v>164</v>
      </c>
      <c r="D275" s="12">
        <v>50069477</v>
      </c>
      <c r="E275" s="1" t="s">
        <v>1544</v>
      </c>
      <c r="F275" s="1" t="str">
        <f>VLOOKUP(A275,[1]Sheet1!$A$2:$E$1141,5,0)</f>
        <v>Spv of Mutation Clinker Control</v>
      </c>
      <c r="G275" s="17" t="str">
        <f>VLOOKUP(A275,[1]Sheet1!$A$2:$F$1141,6,0)</f>
        <v>Supervisor</v>
      </c>
      <c r="H275" s="1" t="s">
        <v>1521</v>
      </c>
      <c r="I275" s="1" t="s">
        <v>1117</v>
      </c>
      <c r="J275" s="1" t="str">
        <f>VLOOKUP(A275,[1]Sheet1!$A$2:$H$1141,8,0)</f>
        <v>Dept. of Production Planning &amp; Control</v>
      </c>
      <c r="K275" s="1" t="str">
        <f>VLOOKUP(A275,[1]Sheet1!$A$2:$I$1141,9,0)</f>
        <v>Unit of Production Support</v>
      </c>
      <c r="L275" s="1" t="str">
        <f>VLOOKUP(A275,[1]Sheet1!$A$2:$J$1141,10,0)</f>
        <v>Section of Heavy Equipment &amp; Coal Transp</v>
      </c>
      <c r="M275" s="2">
        <v>26525</v>
      </c>
      <c r="N275" s="1" t="s">
        <v>29</v>
      </c>
      <c r="O275" s="1" t="s">
        <v>30</v>
      </c>
      <c r="P275" s="1" t="s">
        <v>1545</v>
      </c>
      <c r="Q275" s="1" t="s">
        <v>1546</v>
      </c>
      <c r="R275" s="1" t="s">
        <v>1547</v>
      </c>
      <c r="S275" s="1" t="s">
        <v>1525</v>
      </c>
      <c r="T275" s="14">
        <v>46997</v>
      </c>
      <c r="U275" s="1" t="s">
        <v>1548</v>
      </c>
      <c r="V275" s="1" t="s">
        <v>36</v>
      </c>
      <c r="W275" s="3" t="str">
        <f t="shared" si="4"/>
        <v>54 tahun</v>
      </c>
      <c r="X275" s="1" t="s">
        <v>248</v>
      </c>
      <c r="Y275" s="1" t="s">
        <v>56</v>
      </c>
      <c r="Z275" s="2">
        <v>37469</v>
      </c>
      <c r="AA275" s="2">
        <v>38718</v>
      </c>
      <c r="AB275" s="2" t="s">
        <v>1549</v>
      </c>
    </row>
    <row r="276" spans="1:28" x14ac:dyDescent="0.35">
      <c r="A276" s="12">
        <v>5017</v>
      </c>
      <c r="B276" s="12">
        <v>7402248</v>
      </c>
      <c r="C276" s="12" t="s">
        <v>164</v>
      </c>
      <c r="D276" s="12">
        <v>50069478</v>
      </c>
      <c r="E276" s="1" t="s">
        <v>1550</v>
      </c>
      <c r="F276" s="1" t="str">
        <f>VLOOKUP(A276,[1]Sheet1!$A$2:$E$1141,5,0)</f>
        <v>Spv of Mutation Clinker Control</v>
      </c>
      <c r="G276" s="17" t="str">
        <f>VLOOKUP(A276,[1]Sheet1!$A$2:$F$1141,6,0)</f>
        <v>Supervisor</v>
      </c>
      <c r="H276" s="1" t="s">
        <v>1521</v>
      </c>
      <c r="I276" s="1" t="s">
        <v>1117</v>
      </c>
      <c r="J276" s="1" t="str">
        <f>VLOOKUP(A276,[1]Sheet1!$A$2:$H$1141,8,0)</f>
        <v>Dept. of Production Planning &amp; Control</v>
      </c>
      <c r="K276" s="1" t="str">
        <f>VLOOKUP(A276,[1]Sheet1!$A$2:$I$1141,9,0)</f>
        <v>Unit of Production Support</v>
      </c>
      <c r="L276" s="1" t="str">
        <f>VLOOKUP(A276,[1]Sheet1!$A$2:$J$1141,10,0)</f>
        <v>Section of Heavy Equipment &amp; Coal Transp</v>
      </c>
      <c r="M276" s="2">
        <v>27108</v>
      </c>
      <c r="N276" s="1" t="s">
        <v>29</v>
      </c>
      <c r="O276" s="1" t="s">
        <v>30</v>
      </c>
      <c r="P276" s="1" t="s">
        <v>1551</v>
      </c>
      <c r="Q276" s="1" t="s">
        <v>1546</v>
      </c>
      <c r="R276" s="1" t="s">
        <v>1547</v>
      </c>
      <c r="S276" s="1" t="s">
        <v>1525</v>
      </c>
      <c r="T276" s="14">
        <v>47574</v>
      </c>
      <c r="U276" s="1" t="s">
        <v>1552</v>
      </c>
      <c r="V276" s="1" t="s">
        <v>36</v>
      </c>
      <c r="W276" s="3" t="str">
        <f t="shared" si="4"/>
        <v>52 tahun</v>
      </c>
      <c r="X276" s="1" t="s">
        <v>121</v>
      </c>
      <c r="Y276" s="1" t="s">
        <v>56</v>
      </c>
      <c r="Z276" s="2">
        <v>37469</v>
      </c>
      <c r="AA276" s="2">
        <v>38718</v>
      </c>
      <c r="AB276" s="2" t="s">
        <v>1553</v>
      </c>
    </row>
    <row r="277" spans="1:28" x14ac:dyDescent="0.35">
      <c r="A277" s="12">
        <v>5883</v>
      </c>
      <c r="B277" s="12">
        <v>8612050</v>
      </c>
      <c r="C277" s="12" t="s">
        <v>103</v>
      </c>
      <c r="D277" s="12">
        <v>50069479</v>
      </c>
      <c r="E277" s="1" t="s">
        <v>1554</v>
      </c>
      <c r="F277" s="1" t="str">
        <f>VLOOKUP(A277,[1]Sheet1!$A$2:$E$1141,5,0)</f>
        <v>Spv of Mutation Clinker Control</v>
      </c>
      <c r="G277" s="17" t="str">
        <f>VLOOKUP(A277,[1]Sheet1!$A$2:$F$1141,6,0)</f>
        <v>Supervisor</v>
      </c>
      <c r="H277" s="1" t="s">
        <v>1521</v>
      </c>
      <c r="I277" s="1" t="s">
        <v>1117</v>
      </c>
      <c r="J277" s="1" t="str">
        <f>VLOOKUP(A277,[1]Sheet1!$A$2:$H$1141,8,0)</f>
        <v>Dept. of Production Planning &amp; Control</v>
      </c>
      <c r="K277" s="1" t="str">
        <f>VLOOKUP(A277,[1]Sheet1!$A$2:$I$1141,9,0)</f>
        <v>Unit of Production Support</v>
      </c>
      <c r="L277" s="1" t="str">
        <f>VLOOKUP(A277,[1]Sheet1!$A$2:$J$1141,10,0)</f>
        <v>Section of Heavy Equipment &amp; Coal Transp</v>
      </c>
      <c r="M277" s="2">
        <v>31614</v>
      </c>
      <c r="N277" s="1" t="s">
        <v>29</v>
      </c>
      <c r="O277" s="1" t="s">
        <v>30</v>
      </c>
      <c r="P277" s="1" t="s">
        <v>1555</v>
      </c>
      <c r="Q277" s="1" t="s">
        <v>1546</v>
      </c>
      <c r="R277" s="1" t="s">
        <v>1547</v>
      </c>
      <c r="S277" s="1" t="s">
        <v>1525</v>
      </c>
      <c r="T277" s="14">
        <v>52079</v>
      </c>
      <c r="U277" s="1" t="s">
        <v>1556</v>
      </c>
      <c r="V277" s="1" t="s">
        <v>36</v>
      </c>
      <c r="W277" s="3" t="str">
        <f t="shared" si="4"/>
        <v>40 tahun</v>
      </c>
      <c r="X277" s="1" t="s">
        <v>55</v>
      </c>
      <c r="Y277" s="1" t="s">
        <v>48</v>
      </c>
      <c r="Z277" s="2">
        <v>41275</v>
      </c>
      <c r="AA277" s="2">
        <v>41487</v>
      </c>
      <c r="AB277" s="2" t="s">
        <v>1557</v>
      </c>
    </row>
    <row r="278" spans="1:28" x14ac:dyDescent="0.35">
      <c r="A278" s="12">
        <v>6041</v>
      </c>
      <c r="B278" s="12">
        <v>8912208</v>
      </c>
      <c r="C278" s="12" t="s">
        <v>103</v>
      </c>
      <c r="D278" s="12">
        <v>50069480</v>
      </c>
      <c r="E278" s="1" t="s">
        <v>1558</v>
      </c>
      <c r="F278" s="1" t="str">
        <f>VLOOKUP(A278,[1]Sheet1!$A$2:$E$1141,5,0)</f>
        <v>Spv of Mutation Clinker Control</v>
      </c>
      <c r="G278" s="17" t="str">
        <f>VLOOKUP(A278,[1]Sheet1!$A$2:$F$1141,6,0)</f>
        <v>Supervisor</v>
      </c>
      <c r="H278" s="1" t="s">
        <v>1521</v>
      </c>
      <c r="I278" s="1" t="s">
        <v>1117</v>
      </c>
      <c r="J278" s="1" t="str">
        <f>VLOOKUP(A278,[1]Sheet1!$A$2:$H$1141,8,0)</f>
        <v>Dept. of Production Planning &amp; Control</v>
      </c>
      <c r="K278" s="1" t="str">
        <f>VLOOKUP(A278,[1]Sheet1!$A$2:$I$1141,9,0)</f>
        <v>Unit of Production Support</v>
      </c>
      <c r="L278" s="1" t="str">
        <f>VLOOKUP(A278,[1]Sheet1!$A$2:$J$1141,10,0)</f>
        <v>Section of Heavy Equipment &amp; Coal Transp</v>
      </c>
      <c r="M278" s="2">
        <v>32737</v>
      </c>
      <c r="N278" s="1" t="s">
        <v>29</v>
      </c>
      <c r="O278" s="1" t="s">
        <v>30</v>
      </c>
      <c r="P278" s="1" t="s">
        <v>1559</v>
      </c>
      <c r="Q278" s="1" t="s">
        <v>1546</v>
      </c>
      <c r="R278" s="1" t="s">
        <v>1547</v>
      </c>
      <c r="S278" s="1" t="s">
        <v>1525</v>
      </c>
      <c r="T278" s="14">
        <v>53206</v>
      </c>
      <c r="U278" s="1" t="s">
        <v>1560</v>
      </c>
      <c r="V278" s="1" t="s">
        <v>36</v>
      </c>
      <c r="W278" s="3" t="str">
        <f t="shared" si="4"/>
        <v>37 tahun</v>
      </c>
      <c r="X278" s="1" t="s">
        <v>1561</v>
      </c>
      <c r="Y278" s="1" t="s">
        <v>48</v>
      </c>
      <c r="Z278" s="2">
        <v>41275</v>
      </c>
      <c r="AA278" s="2">
        <v>41426</v>
      </c>
      <c r="AB278" s="2" t="s">
        <v>1562</v>
      </c>
    </row>
    <row r="279" spans="1:28" x14ac:dyDescent="0.35">
      <c r="A279" s="12">
        <v>5374</v>
      </c>
      <c r="B279" s="12">
        <v>8610046</v>
      </c>
      <c r="C279" s="12" t="s">
        <v>139</v>
      </c>
      <c r="D279" s="12">
        <v>50008289</v>
      </c>
      <c r="E279" s="16" t="s">
        <v>1563</v>
      </c>
      <c r="F279" s="1" t="str">
        <f>VLOOKUP(A279,[1]Sheet1!$A$2:$E$1141,5,0)</f>
        <v>Mgr of Utility</v>
      </c>
      <c r="G279" s="16" t="str">
        <f>VLOOKUP(A279,[1]Sheet1!$A$2:$F$1141,6,0)</f>
        <v>Manager</v>
      </c>
      <c r="H279" s="1" t="s">
        <v>1564</v>
      </c>
      <c r="I279" s="1" t="s">
        <v>1117</v>
      </c>
      <c r="J279" s="1" t="str">
        <f>VLOOKUP(A279,[1]Sheet1!$A$2:$H$1141,8,0)</f>
        <v>Dept. of Production Planning &amp; Control</v>
      </c>
      <c r="K279" s="1" t="str">
        <f>VLOOKUP(A279,[1]Sheet1!$A$2:$I$1141,9,0)</f>
        <v>Unit of Production Support</v>
      </c>
      <c r="L279" s="1" t="str">
        <f>VLOOKUP(A279,[1]Sheet1!$A$2:$J$1141,10,0)</f>
        <v>Section of Utility</v>
      </c>
      <c r="M279" s="2">
        <v>31640</v>
      </c>
      <c r="N279" s="1" t="s">
        <v>29</v>
      </c>
      <c r="O279" s="1" t="s">
        <v>30</v>
      </c>
      <c r="P279" s="1" t="s">
        <v>1565</v>
      </c>
      <c r="Q279" s="1" t="s">
        <v>1566</v>
      </c>
      <c r="R279" s="1" t="s">
        <v>1567</v>
      </c>
      <c r="S279" s="1" t="s">
        <v>1568</v>
      </c>
      <c r="T279" s="14">
        <v>52110</v>
      </c>
      <c r="U279" s="1" t="s">
        <v>1569</v>
      </c>
      <c r="V279" s="1" t="s">
        <v>36</v>
      </c>
      <c r="W279" s="3" t="str">
        <f t="shared" si="4"/>
        <v>40 tahun</v>
      </c>
      <c r="X279" s="1" t="s">
        <v>994</v>
      </c>
      <c r="Y279" s="1" t="s">
        <v>48</v>
      </c>
      <c r="Z279" s="2">
        <v>40544</v>
      </c>
      <c r="AA279" s="2">
        <v>40664</v>
      </c>
      <c r="AB279" s="2" t="s">
        <v>291</v>
      </c>
    </row>
    <row r="280" spans="1:28" x14ac:dyDescent="0.35">
      <c r="A280" s="12">
        <v>5907</v>
      </c>
      <c r="B280" s="12">
        <v>8712074</v>
      </c>
      <c r="C280" s="12" t="s">
        <v>103</v>
      </c>
      <c r="D280" s="12">
        <v>50008290</v>
      </c>
      <c r="E280" s="1" t="s">
        <v>1570</v>
      </c>
      <c r="F280" s="1" t="str">
        <f>VLOOKUP(A280,[1]Sheet1!$A$2:$E$1141,5,0)</f>
        <v>Spv of Water Treatment Maintenance</v>
      </c>
      <c r="G280" s="17" t="str">
        <f>VLOOKUP(A280,[1]Sheet1!$A$2:$F$1141,6,0)</f>
        <v>Supervisor</v>
      </c>
      <c r="H280" s="1" t="s">
        <v>1564</v>
      </c>
      <c r="I280" s="1" t="s">
        <v>1117</v>
      </c>
      <c r="J280" s="1" t="str">
        <f>VLOOKUP(A280,[1]Sheet1!$A$2:$H$1141,8,0)</f>
        <v>Dept. of Production Planning &amp; Control</v>
      </c>
      <c r="K280" s="1" t="str">
        <f>VLOOKUP(A280,[1]Sheet1!$A$2:$I$1141,9,0)</f>
        <v>Unit of Production Support</v>
      </c>
      <c r="L280" s="1" t="str">
        <f>VLOOKUP(A280,[1]Sheet1!$A$2:$J$1141,10,0)</f>
        <v>Section of Utility</v>
      </c>
      <c r="M280" s="2">
        <v>31844</v>
      </c>
      <c r="N280" s="1" t="s">
        <v>29</v>
      </c>
      <c r="O280" s="1" t="s">
        <v>30</v>
      </c>
      <c r="P280" s="1" t="s">
        <v>1571</v>
      </c>
      <c r="Q280" s="1" t="s">
        <v>1572</v>
      </c>
      <c r="R280" s="1" t="s">
        <v>1573</v>
      </c>
      <c r="S280" s="1" t="s">
        <v>1568</v>
      </c>
      <c r="T280" s="14">
        <v>52322</v>
      </c>
      <c r="U280" s="1" t="s">
        <v>1574</v>
      </c>
      <c r="V280" s="1" t="s">
        <v>36</v>
      </c>
      <c r="W280" s="3" t="str">
        <f t="shared" si="4"/>
        <v>39 tahun</v>
      </c>
      <c r="X280" s="1" t="s">
        <v>55</v>
      </c>
      <c r="Y280" s="1" t="s">
        <v>56</v>
      </c>
      <c r="Z280" s="2">
        <v>41275</v>
      </c>
      <c r="AA280" s="2">
        <v>41395</v>
      </c>
      <c r="AB280" s="2" t="s">
        <v>1575</v>
      </c>
    </row>
    <row r="281" spans="1:28" x14ac:dyDescent="0.35">
      <c r="A281" s="12">
        <v>6201</v>
      </c>
      <c r="B281" s="12">
        <v>9112368</v>
      </c>
      <c r="C281" s="12" t="s">
        <v>103</v>
      </c>
      <c r="D281" s="12">
        <v>50035559</v>
      </c>
      <c r="E281" s="1" t="s">
        <v>1576</v>
      </c>
      <c r="F281" s="1" t="str">
        <f>VLOOKUP(A281,[1]Sheet1!$A$2:$E$1141,5,0)</f>
        <v>Tech of Water Treatment Elins Maint</v>
      </c>
      <c r="G281" s="17" t="str">
        <f>VLOOKUP(A281,[1]Sheet1!$A$2:$F$1141,6,0)</f>
        <v>Associate</v>
      </c>
      <c r="H281" s="1" t="s">
        <v>1564</v>
      </c>
      <c r="I281" s="1" t="s">
        <v>1117</v>
      </c>
      <c r="J281" s="1" t="str">
        <f>VLOOKUP(A281,[1]Sheet1!$A$2:$H$1141,8,0)</f>
        <v>Dept. of Production Planning &amp; Control</v>
      </c>
      <c r="K281" s="1" t="str">
        <f>VLOOKUP(A281,[1]Sheet1!$A$2:$I$1141,9,0)</f>
        <v>Unit of Production Support</v>
      </c>
      <c r="L281" s="1" t="str">
        <f>VLOOKUP(A281,[1]Sheet1!$A$2:$J$1141,10,0)</f>
        <v>Section of Utility</v>
      </c>
      <c r="M281" s="2">
        <v>33465</v>
      </c>
      <c r="N281" s="1" t="s">
        <v>29</v>
      </c>
      <c r="O281" s="1" t="s">
        <v>30</v>
      </c>
      <c r="P281" s="1" t="s">
        <v>1577</v>
      </c>
      <c r="Q281" s="1" t="s">
        <v>1572</v>
      </c>
      <c r="R281" s="1" t="s">
        <v>1573</v>
      </c>
      <c r="S281" s="1" t="s">
        <v>1568</v>
      </c>
      <c r="T281" s="14">
        <v>53936</v>
      </c>
      <c r="U281" s="1" t="s">
        <v>1578</v>
      </c>
      <c r="V281" s="1" t="s">
        <v>36</v>
      </c>
      <c r="W281" s="3" t="str">
        <f t="shared" si="4"/>
        <v>35 tahun</v>
      </c>
      <c r="X281" s="1" t="s">
        <v>667</v>
      </c>
      <c r="Y281" s="1" t="s">
        <v>56</v>
      </c>
      <c r="Z281" s="2">
        <v>41275</v>
      </c>
      <c r="AA281" s="2">
        <v>41456</v>
      </c>
      <c r="AB281" s="2" t="s">
        <v>1579</v>
      </c>
    </row>
    <row r="282" spans="1:28" x14ac:dyDescent="0.35">
      <c r="A282" s="12">
        <v>5043</v>
      </c>
      <c r="B282" s="12">
        <v>7402250</v>
      </c>
      <c r="C282" s="12" t="s">
        <v>164</v>
      </c>
      <c r="D282" s="12">
        <v>50008300</v>
      </c>
      <c r="E282" s="1" t="s">
        <v>1580</v>
      </c>
      <c r="F282" s="1" t="str">
        <f>VLOOKUP(A282,[1]Sheet1!$A$2:$E$1141,5,0)</f>
        <v>Spv of Line 2/3/4/5 Water Treat Opn</v>
      </c>
      <c r="G282" s="17" t="str">
        <f>VLOOKUP(A282,[1]Sheet1!$A$2:$F$1141,6,0)</f>
        <v>Supervisor</v>
      </c>
      <c r="H282" s="1" t="s">
        <v>1564</v>
      </c>
      <c r="I282" s="1" t="s">
        <v>1117</v>
      </c>
      <c r="J282" s="1" t="str">
        <f>VLOOKUP(A282,[1]Sheet1!$A$2:$H$1141,8,0)</f>
        <v>Dept. of Production Planning &amp; Control</v>
      </c>
      <c r="K282" s="1" t="str">
        <f>VLOOKUP(A282,[1]Sheet1!$A$2:$I$1141,9,0)</f>
        <v>Unit of Production Support</v>
      </c>
      <c r="L282" s="1" t="str">
        <f>VLOOKUP(A282,[1]Sheet1!$A$2:$J$1141,10,0)</f>
        <v>Section of Utility</v>
      </c>
      <c r="M282" s="2">
        <v>27183</v>
      </c>
      <c r="N282" s="1" t="s">
        <v>29</v>
      </c>
      <c r="O282" s="1" t="s">
        <v>30</v>
      </c>
      <c r="P282" s="1" t="s">
        <v>1581</v>
      </c>
      <c r="Q282" s="1" t="s">
        <v>1582</v>
      </c>
      <c r="R282" s="1" t="s">
        <v>1583</v>
      </c>
      <c r="S282" s="1" t="s">
        <v>1568</v>
      </c>
      <c r="T282" s="14">
        <v>47665</v>
      </c>
      <c r="U282" s="1" t="s">
        <v>1584</v>
      </c>
      <c r="V282" s="1" t="s">
        <v>36</v>
      </c>
      <c r="W282" s="3" t="str">
        <f t="shared" si="4"/>
        <v>52 tahun</v>
      </c>
      <c r="X282" s="1" t="s">
        <v>1585</v>
      </c>
      <c r="Y282" s="1" t="s">
        <v>56</v>
      </c>
      <c r="Z282" s="2">
        <v>37469</v>
      </c>
      <c r="AA282" s="2">
        <v>38718</v>
      </c>
      <c r="AB282" s="2" t="s">
        <v>1586</v>
      </c>
    </row>
    <row r="283" spans="1:28" x14ac:dyDescent="0.35">
      <c r="A283" s="12">
        <v>5095</v>
      </c>
      <c r="B283" s="12">
        <v>7495047</v>
      </c>
      <c r="C283" s="12" t="s">
        <v>50</v>
      </c>
      <c r="D283" s="12">
        <v>50008309</v>
      </c>
      <c r="E283" s="1" t="s">
        <v>1587</v>
      </c>
      <c r="F283" s="1" t="str">
        <f>VLOOKUP(A283,[1]Sheet1!$A$2:$E$1141,5,0)</f>
        <v>Spv of Tns I Water Treatmt Opn &amp; Maint</v>
      </c>
      <c r="G283" s="17" t="str">
        <f>VLOOKUP(A283,[1]Sheet1!$A$2:$F$1141,6,0)</f>
        <v>Supervisor</v>
      </c>
      <c r="H283" s="1" t="s">
        <v>1564</v>
      </c>
      <c r="I283" s="1" t="s">
        <v>1117</v>
      </c>
      <c r="J283" s="1" t="str">
        <f>VLOOKUP(A283,[1]Sheet1!$A$2:$H$1141,8,0)</f>
        <v>Dept. of Production Planning &amp; Control</v>
      </c>
      <c r="K283" s="1" t="str">
        <f>VLOOKUP(A283,[1]Sheet1!$A$2:$I$1141,9,0)</f>
        <v>Unit of Production Support</v>
      </c>
      <c r="L283" s="1" t="str">
        <f>VLOOKUP(A283,[1]Sheet1!$A$2:$J$1141,10,0)</f>
        <v>Section of Utility</v>
      </c>
      <c r="M283" s="2">
        <v>27380</v>
      </c>
      <c r="N283" s="1" t="s">
        <v>29</v>
      </c>
      <c r="O283" s="1" t="s">
        <v>30</v>
      </c>
      <c r="P283" s="1" t="s">
        <v>1588</v>
      </c>
      <c r="Q283" s="1" t="s">
        <v>1589</v>
      </c>
      <c r="R283" s="1" t="s">
        <v>1590</v>
      </c>
      <c r="S283" s="1" t="s">
        <v>1568</v>
      </c>
      <c r="T283" s="14">
        <v>47849</v>
      </c>
      <c r="U283" s="1" t="s">
        <v>1591</v>
      </c>
      <c r="V283" s="1" t="s">
        <v>36</v>
      </c>
      <c r="W283" s="3" t="str">
        <f t="shared" si="4"/>
        <v>51 tahun</v>
      </c>
      <c r="X283" s="1" t="s">
        <v>55</v>
      </c>
      <c r="Y283" s="1" t="s">
        <v>56</v>
      </c>
      <c r="Z283" s="2">
        <v>34897</v>
      </c>
      <c r="AA283" s="2">
        <v>35278</v>
      </c>
      <c r="AB283" s="2" t="s">
        <v>1592</v>
      </c>
    </row>
    <row r="284" spans="1:28" x14ac:dyDescent="0.35">
      <c r="A284" s="12">
        <v>4807</v>
      </c>
      <c r="B284" s="12">
        <v>7295174</v>
      </c>
      <c r="C284" s="12" t="s">
        <v>50</v>
      </c>
      <c r="D284" s="12">
        <v>50008277</v>
      </c>
      <c r="E284" s="16" t="s">
        <v>1593</v>
      </c>
      <c r="F284" s="1" t="str">
        <f>VLOOKUP(A284,[1]Sheet1!$A$2:$E$1141,5,0)</f>
        <v>Mgr of Plant Hygiene</v>
      </c>
      <c r="G284" s="16" t="str">
        <f>VLOOKUP(A284,[1]Sheet1!$A$2:$F$1141,6,0)</f>
        <v>Manager</v>
      </c>
      <c r="H284" s="1" t="s">
        <v>1594</v>
      </c>
      <c r="I284" s="1" t="s">
        <v>1117</v>
      </c>
      <c r="J284" s="1" t="str">
        <f>VLOOKUP(A284,[1]Sheet1!$A$2:$H$1141,8,0)</f>
        <v>Dept. of Production Planning &amp; Control</v>
      </c>
      <c r="K284" s="1" t="str">
        <f>VLOOKUP(A284,[1]Sheet1!$A$2:$I$1141,9,0)</f>
        <v>Unit of Production Support</v>
      </c>
      <c r="L284" s="1" t="str">
        <f>VLOOKUP(A284,[1]Sheet1!$A$2:$J$1141,10,0)</f>
        <v>Section of Plant Hygiene</v>
      </c>
      <c r="M284" s="2">
        <v>26345</v>
      </c>
      <c r="N284" s="1" t="s">
        <v>29</v>
      </c>
      <c r="O284" s="1" t="s">
        <v>30</v>
      </c>
      <c r="P284" s="1" t="s">
        <v>1595</v>
      </c>
      <c r="Q284" s="1" t="s">
        <v>1596</v>
      </c>
      <c r="R284" s="1" t="s">
        <v>1597</v>
      </c>
      <c r="S284" s="1" t="s">
        <v>1598</v>
      </c>
      <c r="T284" s="14">
        <v>46813</v>
      </c>
      <c r="U284" s="1" t="s">
        <v>1599</v>
      </c>
      <c r="V284" s="1" t="s">
        <v>36</v>
      </c>
      <c r="W284" s="3" t="str">
        <f t="shared" si="4"/>
        <v>54 tahun</v>
      </c>
      <c r="X284" s="1" t="s">
        <v>248</v>
      </c>
      <c r="Y284" s="1" t="s">
        <v>48</v>
      </c>
      <c r="Z284" s="2">
        <v>35002</v>
      </c>
      <c r="AA284" s="2">
        <v>35370</v>
      </c>
      <c r="AB284" s="2" t="s">
        <v>1600</v>
      </c>
    </row>
    <row r="285" spans="1:28" x14ac:dyDescent="0.35">
      <c r="A285" s="12">
        <v>5014</v>
      </c>
      <c r="B285" s="12">
        <v>7495281</v>
      </c>
      <c r="C285" s="12" t="s">
        <v>50</v>
      </c>
      <c r="D285" s="12">
        <v>50035558</v>
      </c>
      <c r="E285" s="1" t="s">
        <v>1601</v>
      </c>
      <c r="F285" s="1" t="str">
        <f>VLOOKUP(A285,[1]Sheet1!$A$2:$E$1141,5,0)</f>
        <v>Spv of Line 2/3 Green Services</v>
      </c>
      <c r="G285" s="17" t="str">
        <f>VLOOKUP(A285,[1]Sheet1!$A$2:$F$1141,6,0)</f>
        <v>Supervisor</v>
      </c>
      <c r="H285" s="1" t="s">
        <v>1594</v>
      </c>
      <c r="I285" s="1" t="s">
        <v>1117</v>
      </c>
      <c r="J285" s="1" t="str">
        <f>VLOOKUP(A285,[1]Sheet1!$A$2:$H$1141,8,0)</f>
        <v>Dept. of Production Planning &amp; Control</v>
      </c>
      <c r="K285" s="1" t="str">
        <f>VLOOKUP(A285,[1]Sheet1!$A$2:$I$1141,9,0)</f>
        <v>Unit of Production Support</v>
      </c>
      <c r="L285" s="1" t="str">
        <f>VLOOKUP(A285,[1]Sheet1!$A$2:$J$1141,10,0)</f>
        <v>Section of Plant Hygiene</v>
      </c>
      <c r="M285" s="2">
        <v>27072</v>
      </c>
      <c r="N285" s="1" t="s">
        <v>29</v>
      </c>
      <c r="O285" s="1" t="s">
        <v>30</v>
      </c>
      <c r="P285" s="1" t="s">
        <v>1602</v>
      </c>
      <c r="Q285" s="1" t="s">
        <v>1603</v>
      </c>
      <c r="R285" s="1" t="s">
        <v>1604</v>
      </c>
      <c r="S285" s="1" t="s">
        <v>1598</v>
      </c>
      <c r="T285" s="14">
        <v>47543</v>
      </c>
      <c r="U285" s="1" t="s">
        <v>1605</v>
      </c>
      <c r="V285" s="1" t="s">
        <v>36</v>
      </c>
      <c r="W285" s="3" t="str">
        <f t="shared" si="4"/>
        <v>52 tahun</v>
      </c>
      <c r="X285" s="1" t="s">
        <v>1151</v>
      </c>
      <c r="Y285" s="1" t="s">
        <v>56</v>
      </c>
      <c r="Z285" s="2">
        <v>35034</v>
      </c>
      <c r="AA285" s="2">
        <v>35582</v>
      </c>
      <c r="AB285" s="2" t="s">
        <v>1606</v>
      </c>
    </row>
    <row r="286" spans="1:28" x14ac:dyDescent="0.35">
      <c r="A286" s="12">
        <v>4826</v>
      </c>
      <c r="B286" s="12">
        <v>7295004</v>
      </c>
      <c r="C286" s="12" t="s">
        <v>50</v>
      </c>
      <c r="D286" s="12">
        <v>50008282</v>
      </c>
      <c r="E286" s="1" t="s">
        <v>1607</v>
      </c>
      <c r="F286" s="1" t="str">
        <f>VLOOKUP(A286,[1]Sheet1!$A$2:$E$1141,5,0)</f>
        <v>Spv of Line 4 Green Services</v>
      </c>
      <c r="G286" s="17" t="str">
        <f>VLOOKUP(A286,[1]Sheet1!$A$2:$F$1141,6,0)</f>
        <v>Supervisor</v>
      </c>
      <c r="H286" s="1" t="s">
        <v>1594</v>
      </c>
      <c r="I286" s="1" t="s">
        <v>1117</v>
      </c>
      <c r="J286" s="1" t="str">
        <f>VLOOKUP(A286,[1]Sheet1!$A$2:$H$1141,8,0)</f>
        <v>Dept. of Production Planning &amp; Control</v>
      </c>
      <c r="K286" s="1" t="str">
        <f>VLOOKUP(A286,[1]Sheet1!$A$2:$I$1141,9,0)</f>
        <v>Unit of Production Support</v>
      </c>
      <c r="L286" s="1" t="str">
        <f>VLOOKUP(A286,[1]Sheet1!$A$2:$J$1141,10,0)</f>
        <v>Section of Plant Hygiene</v>
      </c>
      <c r="M286" s="2">
        <v>26425</v>
      </c>
      <c r="N286" s="1" t="s">
        <v>29</v>
      </c>
      <c r="O286" s="1" t="s">
        <v>30</v>
      </c>
      <c r="P286" s="1" t="s">
        <v>1608</v>
      </c>
      <c r="Q286" s="1" t="s">
        <v>1609</v>
      </c>
      <c r="R286" s="1" t="s">
        <v>1610</v>
      </c>
      <c r="S286" s="1" t="s">
        <v>1598</v>
      </c>
      <c r="T286" s="14">
        <v>46905</v>
      </c>
      <c r="U286" s="1" t="s">
        <v>1611</v>
      </c>
      <c r="V286" s="1" t="s">
        <v>36</v>
      </c>
      <c r="W286" s="3" t="str">
        <f t="shared" si="4"/>
        <v>54 tahun</v>
      </c>
      <c r="X286" s="1" t="s">
        <v>1274</v>
      </c>
      <c r="Y286" s="1" t="s">
        <v>56</v>
      </c>
      <c r="Z286" s="2">
        <v>34897</v>
      </c>
      <c r="AA286" s="2">
        <v>35278</v>
      </c>
      <c r="AB286" s="2" t="s">
        <v>1612</v>
      </c>
    </row>
    <row r="287" spans="1:28" x14ac:dyDescent="0.35">
      <c r="A287" s="12">
        <v>5096</v>
      </c>
      <c r="B287" s="12">
        <v>7495048</v>
      </c>
      <c r="C287" s="12" t="s">
        <v>50</v>
      </c>
      <c r="D287" s="12">
        <v>50061518</v>
      </c>
      <c r="E287" s="15" t="s">
        <v>1613</v>
      </c>
      <c r="F287" s="1" t="str">
        <f>VLOOKUP(A287,[1]Sheet1!$A$2:$E$1141,5,0)</f>
        <v>SM of OHS</v>
      </c>
      <c r="G287" s="15" t="str">
        <f>VLOOKUP(A287,[1]Sheet1!$A$2:$F$1141,6,0)</f>
        <v>Senior Manager</v>
      </c>
      <c r="H287" s="1" t="s">
        <v>1614</v>
      </c>
      <c r="I287" s="1" t="s">
        <v>1117</v>
      </c>
      <c r="J287" s="1" t="str">
        <f>VLOOKUP(A287,[1]Sheet1!$A$2:$H$1141,8,0)</f>
        <v>Dept. of Production Planning &amp; Control</v>
      </c>
      <c r="K287" s="1" t="str">
        <f>VLOOKUP(A287,[1]Sheet1!$A$2:$I$1141,9,0)</f>
        <v>Unit of OHS</v>
      </c>
      <c r="L287" s="1" t="e">
        <f>VLOOKUP(A287,[1]Sheet1!$A$2:$J$1141,10,0)</f>
        <v>#REF!</v>
      </c>
      <c r="M287" s="2">
        <v>27393</v>
      </c>
      <c r="N287" s="1" t="s">
        <v>29</v>
      </c>
      <c r="O287" s="1" t="s">
        <v>30</v>
      </c>
      <c r="P287" s="1" t="s">
        <v>1615</v>
      </c>
      <c r="Q287" s="1" t="s">
        <v>1616</v>
      </c>
      <c r="R287" s="1" t="s">
        <v>1617</v>
      </c>
      <c r="S287" s="1" t="s">
        <v>1617</v>
      </c>
      <c r="T287" s="14">
        <v>47849</v>
      </c>
      <c r="U287" s="1" t="s">
        <v>1618</v>
      </c>
      <c r="V287" s="1" t="s">
        <v>36</v>
      </c>
      <c r="W287" s="3" t="str">
        <f t="shared" si="4"/>
        <v>51 tahun</v>
      </c>
      <c r="X287" s="1" t="s">
        <v>248</v>
      </c>
      <c r="Y287" s="1" t="s">
        <v>48</v>
      </c>
      <c r="Z287" s="2">
        <v>34897</v>
      </c>
      <c r="AA287" s="2">
        <v>35278</v>
      </c>
      <c r="AB287" s="2" t="s">
        <v>1619</v>
      </c>
    </row>
    <row r="288" spans="1:28" x14ac:dyDescent="0.35">
      <c r="A288" s="12">
        <v>6009</v>
      </c>
      <c r="B288" s="12">
        <v>8912176</v>
      </c>
      <c r="C288" s="12" t="s">
        <v>103</v>
      </c>
      <c r="D288" s="12">
        <v>50069482</v>
      </c>
      <c r="E288" s="1" t="s">
        <v>1620</v>
      </c>
      <c r="F288" s="1" t="str">
        <f>VLOOKUP(A288,[1]Sheet1!$A$2:$E$1141,5,0)</f>
        <v>Spv of Inspection &amp; Testing</v>
      </c>
      <c r="G288" s="17" t="str">
        <f>VLOOKUP(A288,[1]Sheet1!$A$2:$F$1141,6,0)</f>
        <v>Supervisor</v>
      </c>
      <c r="H288" s="1" t="s">
        <v>1614</v>
      </c>
      <c r="I288" s="1" t="s">
        <v>1117</v>
      </c>
      <c r="J288" s="1" t="str">
        <f>VLOOKUP(A288,[1]Sheet1!$A$2:$H$1141,8,0)</f>
        <v>Dept. of Production Planning &amp; Control</v>
      </c>
      <c r="K288" s="1" t="str">
        <f>VLOOKUP(A288,[1]Sheet1!$A$2:$I$1141,9,0)</f>
        <v>Unit of OHS</v>
      </c>
      <c r="L288" s="1" t="e">
        <f>VLOOKUP(A288,[1]Sheet1!$A$2:$J$1141,10,0)</f>
        <v>#REF!</v>
      </c>
      <c r="M288" s="2">
        <v>32573</v>
      </c>
      <c r="N288" s="1" t="s">
        <v>29</v>
      </c>
      <c r="O288" s="1" t="s">
        <v>30</v>
      </c>
      <c r="P288" s="1" t="s">
        <v>1621</v>
      </c>
      <c r="Q288" s="1" t="s">
        <v>1622</v>
      </c>
      <c r="R288" s="1" t="s">
        <v>1623</v>
      </c>
      <c r="S288" s="1" t="s">
        <v>1617</v>
      </c>
      <c r="T288" s="14">
        <v>53053</v>
      </c>
      <c r="U288" s="1" t="s">
        <v>1624</v>
      </c>
      <c r="V288" s="1" t="s">
        <v>36</v>
      </c>
      <c r="W288" s="3" t="str">
        <f t="shared" si="4"/>
        <v>37 tahun</v>
      </c>
      <c r="X288" s="1" t="s">
        <v>112</v>
      </c>
      <c r="Y288" s="1" t="s">
        <v>48</v>
      </c>
      <c r="Z288" s="2">
        <v>41275</v>
      </c>
      <c r="AA288" s="2">
        <v>41426</v>
      </c>
      <c r="AB288" s="2" t="s">
        <v>1625</v>
      </c>
    </row>
    <row r="289" spans="1:28" x14ac:dyDescent="0.35">
      <c r="A289" s="12">
        <v>5018</v>
      </c>
      <c r="B289" s="12">
        <v>7495025</v>
      </c>
      <c r="C289" s="12" t="s">
        <v>50</v>
      </c>
      <c r="D289" s="12">
        <v>50061693</v>
      </c>
      <c r="E289" s="16" t="s">
        <v>1626</v>
      </c>
      <c r="F289" s="1" t="str">
        <f>VLOOKUP(A289,[1]Sheet1!$A$2:$E$1141,5,0)</f>
        <v>Mgr of Plant Occupational Health &amp; Safet</v>
      </c>
      <c r="G289" s="16" t="str">
        <f>VLOOKUP(A289,[1]Sheet1!$A$2:$F$1141,6,0)</f>
        <v>Manager</v>
      </c>
      <c r="H289" s="1" t="s">
        <v>1627</v>
      </c>
      <c r="I289" s="1" t="s">
        <v>1117</v>
      </c>
      <c r="J289" s="1" t="str">
        <f>VLOOKUP(A289,[1]Sheet1!$A$2:$H$1141,8,0)</f>
        <v>Dept. of Production Planning &amp; Control</v>
      </c>
      <c r="K289" s="1" t="str">
        <f>VLOOKUP(A289,[1]Sheet1!$A$2:$I$1141,9,0)</f>
        <v>Unit of OHS</v>
      </c>
      <c r="L289" s="1" t="str">
        <f>VLOOKUP(A289,[1]Sheet1!$A$2:$J$1141,10,0)</f>
        <v>Section of Plant Occupational Hea &amp; Saf.</v>
      </c>
      <c r="M289" s="2">
        <v>27007</v>
      </c>
      <c r="N289" s="1" t="s">
        <v>29</v>
      </c>
      <c r="O289" s="1" t="s">
        <v>30</v>
      </c>
      <c r="P289" s="1" t="s">
        <v>1628</v>
      </c>
      <c r="Q289" s="1" t="s">
        <v>1629</v>
      </c>
      <c r="R289" s="1" t="s">
        <v>1630</v>
      </c>
      <c r="S289" s="1" t="s">
        <v>1631</v>
      </c>
      <c r="T289" s="14">
        <v>47484</v>
      </c>
      <c r="U289" s="1" t="s">
        <v>1632</v>
      </c>
      <c r="V289" s="1" t="s">
        <v>36</v>
      </c>
      <c r="W289" s="3" t="str">
        <f t="shared" si="4"/>
        <v>52 tahun</v>
      </c>
      <c r="X289" s="1" t="s">
        <v>248</v>
      </c>
      <c r="Y289" s="1" t="s">
        <v>48</v>
      </c>
      <c r="Z289" s="2">
        <v>34897</v>
      </c>
      <c r="AA289" s="2">
        <v>35278</v>
      </c>
      <c r="AB289" s="2" t="s">
        <v>84</v>
      </c>
    </row>
    <row r="290" spans="1:28" x14ac:dyDescent="0.35">
      <c r="A290" s="12">
        <v>4988</v>
      </c>
      <c r="B290" s="12">
        <v>7302237</v>
      </c>
      <c r="C290" s="12" t="s">
        <v>164</v>
      </c>
      <c r="D290" s="12">
        <v>50061709</v>
      </c>
      <c r="E290" s="1" t="s">
        <v>1633</v>
      </c>
      <c r="F290" s="1" t="str">
        <f>VLOOKUP(A290,[1]Sheet1!$A$2:$E$1141,5,0)</f>
        <v>Spv of Plant OHS</v>
      </c>
      <c r="G290" s="17" t="str">
        <f>VLOOKUP(A290,[1]Sheet1!$A$2:$F$1141,6,0)</f>
        <v>Supervisor</v>
      </c>
      <c r="H290" s="1" t="s">
        <v>1627</v>
      </c>
      <c r="I290" s="1" t="s">
        <v>1117</v>
      </c>
      <c r="J290" s="1" t="str">
        <f>VLOOKUP(A290,[1]Sheet1!$A$2:$H$1141,8,0)</f>
        <v>Dept. of Production Planning &amp; Control</v>
      </c>
      <c r="K290" s="1" t="str">
        <f>VLOOKUP(A290,[1]Sheet1!$A$2:$I$1141,9,0)</f>
        <v>Unit of OHS</v>
      </c>
      <c r="L290" s="1" t="str">
        <f>VLOOKUP(A290,[1]Sheet1!$A$2:$J$1141,10,0)</f>
        <v>Section of Plant Occupational Hea &amp; Saf.</v>
      </c>
      <c r="M290" s="2">
        <v>27020</v>
      </c>
      <c r="N290" s="1" t="s">
        <v>29</v>
      </c>
      <c r="O290" s="1" t="s">
        <v>30</v>
      </c>
      <c r="P290" s="1" t="s">
        <v>1634</v>
      </c>
      <c r="Q290" s="1" t="s">
        <v>1635</v>
      </c>
      <c r="R290" s="1" t="s">
        <v>1636</v>
      </c>
      <c r="S290" s="1" t="s">
        <v>1631</v>
      </c>
      <c r="T290" s="14">
        <v>47484</v>
      </c>
      <c r="U290" s="1" t="s">
        <v>1637</v>
      </c>
      <c r="V290" s="1" t="s">
        <v>36</v>
      </c>
      <c r="W290" s="3" t="str">
        <f t="shared" si="4"/>
        <v>52 tahun</v>
      </c>
      <c r="X290" s="1" t="s">
        <v>248</v>
      </c>
      <c r="Y290" s="1" t="s">
        <v>56</v>
      </c>
      <c r="Z290" s="2">
        <v>37469</v>
      </c>
      <c r="AA290" s="2">
        <v>38718</v>
      </c>
      <c r="AB290" s="2" t="s">
        <v>1638</v>
      </c>
    </row>
    <row r="291" spans="1:28" x14ac:dyDescent="0.35">
      <c r="A291" s="12">
        <v>4609</v>
      </c>
      <c r="B291" s="12">
        <v>7406483</v>
      </c>
      <c r="C291" s="12" t="s">
        <v>219</v>
      </c>
      <c r="D291" s="12">
        <v>50061717</v>
      </c>
      <c r="E291" s="1" t="s">
        <v>1639</v>
      </c>
      <c r="F291" s="1" t="str">
        <f>VLOOKUP(A291,[1]Sheet1!$A$2:$E$1141,5,0)</f>
        <v>Spv of Plant OHS</v>
      </c>
      <c r="G291" s="17" t="str">
        <f>VLOOKUP(A291,[1]Sheet1!$A$2:$F$1141,6,0)</f>
        <v>Supervisor</v>
      </c>
      <c r="H291" s="1" t="s">
        <v>1627</v>
      </c>
      <c r="I291" s="1" t="s">
        <v>1117</v>
      </c>
      <c r="J291" s="1" t="str">
        <f>VLOOKUP(A291,[1]Sheet1!$A$2:$H$1141,8,0)</f>
        <v>Dept. of Production Planning &amp; Control</v>
      </c>
      <c r="K291" s="1" t="str">
        <f>VLOOKUP(A291,[1]Sheet1!$A$2:$I$1141,9,0)</f>
        <v>Unit of OHS</v>
      </c>
      <c r="L291" s="1" t="str">
        <f>VLOOKUP(A291,[1]Sheet1!$A$2:$J$1141,10,0)</f>
        <v>Section of Plant Occupational Hea &amp; Saf.</v>
      </c>
      <c r="M291" s="2">
        <v>27154</v>
      </c>
      <c r="N291" s="1" t="s">
        <v>29</v>
      </c>
      <c r="O291" s="1" t="s">
        <v>30</v>
      </c>
      <c r="P291" s="1" t="s">
        <v>1640</v>
      </c>
      <c r="Q291" s="1" t="s">
        <v>1635</v>
      </c>
      <c r="R291" s="1" t="s">
        <v>1636</v>
      </c>
      <c r="S291" s="1" t="s">
        <v>1631</v>
      </c>
      <c r="T291" s="14">
        <v>47635</v>
      </c>
      <c r="U291" s="1" t="s">
        <v>1641</v>
      </c>
      <c r="V291" s="1" t="s">
        <v>36</v>
      </c>
      <c r="W291" s="3" t="str">
        <f t="shared" si="4"/>
        <v>52 tahun</v>
      </c>
      <c r="X291" s="1" t="s">
        <v>248</v>
      </c>
      <c r="Y291" s="1" t="s">
        <v>56</v>
      </c>
      <c r="Z291" s="2">
        <v>38718</v>
      </c>
      <c r="AA291" s="2">
        <v>41030</v>
      </c>
      <c r="AB291" s="2" t="s">
        <v>1642</v>
      </c>
    </row>
    <row r="292" spans="1:28" x14ac:dyDescent="0.35">
      <c r="A292" s="12">
        <v>5879</v>
      </c>
      <c r="B292" s="12">
        <v>8612046</v>
      </c>
      <c r="C292" s="12" t="s">
        <v>103</v>
      </c>
      <c r="D292" s="12">
        <v>50061723</v>
      </c>
      <c r="E292" s="1" t="s">
        <v>1643</v>
      </c>
      <c r="F292" s="1" t="str">
        <f>VLOOKUP(A292,[1]Sheet1!$A$2:$E$1141,5,0)</f>
        <v>Spv of Plant OHS</v>
      </c>
      <c r="G292" s="17" t="str">
        <f>VLOOKUP(A292,[1]Sheet1!$A$2:$F$1141,6,0)</f>
        <v>Supervisor</v>
      </c>
      <c r="H292" s="1" t="s">
        <v>1627</v>
      </c>
      <c r="I292" s="1" t="s">
        <v>1117</v>
      </c>
      <c r="J292" s="1" t="str">
        <f>VLOOKUP(A292,[1]Sheet1!$A$2:$H$1141,8,0)</f>
        <v>Dept. of Production Planning &amp; Control</v>
      </c>
      <c r="K292" s="1" t="str">
        <f>VLOOKUP(A292,[1]Sheet1!$A$2:$I$1141,9,0)</f>
        <v>Unit of OHS</v>
      </c>
      <c r="L292" s="1" t="str">
        <f>VLOOKUP(A292,[1]Sheet1!$A$2:$J$1141,10,0)</f>
        <v>Section of Plant Occupational Hea &amp; Saf.</v>
      </c>
      <c r="M292" s="2">
        <v>31596</v>
      </c>
      <c r="N292" s="1" t="s">
        <v>29</v>
      </c>
      <c r="O292" s="1" t="s">
        <v>30</v>
      </c>
      <c r="P292" s="1" t="s">
        <v>1644</v>
      </c>
      <c r="Q292" s="1" t="s">
        <v>1635</v>
      </c>
      <c r="R292" s="1" t="s">
        <v>1636</v>
      </c>
      <c r="S292" s="1" t="s">
        <v>1631</v>
      </c>
      <c r="T292" s="14">
        <v>52079</v>
      </c>
      <c r="U292" s="1" t="s">
        <v>1645</v>
      </c>
      <c r="V292" s="1" t="s">
        <v>36</v>
      </c>
      <c r="W292" s="3" t="str">
        <f t="shared" si="4"/>
        <v>40 tahun</v>
      </c>
      <c r="X292" s="1" t="s">
        <v>121</v>
      </c>
      <c r="Y292" s="1" t="s">
        <v>48</v>
      </c>
      <c r="Z292" s="2">
        <v>41275</v>
      </c>
      <c r="AA292" s="2">
        <v>41395</v>
      </c>
      <c r="AB292" s="2" t="s">
        <v>1646</v>
      </c>
    </row>
    <row r="293" spans="1:28" x14ac:dyDescent="0.35">
      <c r="A293" s="12">
        <v>4734</v>
      </c>
      <c r="B293" s="12">
        <v>7106330</v>
      </c>
      <c r="C293" s="12" t="s">
        <v>219</v>
      </c>
      <c r="D293" s="12">
        <v>50066782</v>
      </c>
      <c r="E293" s="1" t="s">
        <v>1647</v>
      </c>
      <c r="F293" s="1" t="str">
        <f>VLOOKUP(A293,[1]Sheet1!$A$2:$E$1141,5,0)</f>
        <v>Spv of Plant OHS</v>
      </c>
      <c r="G293" s="17" t="str">
        <f>VLOOKUP(A293,[1]Sheet1!$A$2:$F$1141,6,0)</f>
        <v>Supervisor</v>
      </c>
      <c r="H293" s="1" t="s">
        <v>1627</v>
      </c>
      <c r="I293" s="1" t="s">
        <v>1117</v>
      </c>
      <c r="J293" s="1" t="str">
        <f>VLOOKUP(A293,[1]Sheet1!$A$2:$H$1141,8,0)</f>
        <v>Dept. of Production Planning &amp; Control</v>
      </c>
      <c r="K293" s="1" t="str">
        <f>VLOOKUP(A293,[1]Sheet1!$A$2:$I$1141,9,0)</f>
        <v>Unit of OHS</v>
      </c>
      <c r="L293" s="1" t="str">
        <f>VLOOKUP(A293,[1]Sheet1!$A$2:$J$1141,10,0)</f>
        <v>Section of Plant Occupational Hea &amp; Saf.</v>
      </c>
      <c r="M293" s="2">
        <v>26193</v>
      </c>
      <c r="N293" s="1" t="s">
        <v>29</v>
      </c>
      <c r="O293" s="1" t="s">
        <v>30</v>
      </c>
      <c r="P293" s="1" t="s">
        <v>1648</v>
      </c>
      <c r="Q293" s="1" t="s">
        <v>1635</v>
      </c>
      <c r="R293" s="1" t="s">
        <v>1636</v>
      </c>
      <c r="S293" s="1" t="s">
        <v>1631</v>
      </c>
      <c r="T293" s="14">
        <v>46661</v>
      </c>
      <c r="U293" s="1" t="s">
        <v>1649</v>
      </c>
      <c r="V293" s="1" t="s">
        <v>36</v>
      </c>
      <c r="W293" s="3" t="str">
        <f t="shared" si="4"/>
        <v>54 tahun</v>
      </c>
      <c r="X293" s="1" t="s">
        <v>121</v>
      </c>
      <c r="Y293" s="1" t="s">
        <v>56</v>
      </c>
      <c r="Z293" s="2">
        <v>38718</v>
      </c>
      <c r="AA293" s="2">
        <v>41030</v>
      </c>
      <c r="AB293" s="2" t="s">
        <v>1650</v>
      </c>
    </row>
    <row r="294" spans="1:28" x14ac:dyDescent="0.35">
      <c r="A294" s="12">
        <v>4553</v>
      </c>
      <c r="B294" s="12">
        <v>7306430</v>
      </c>
      <c r="C294" s="12" t="s">
        <v>219</v>
      </c>
      <c r="D294" s="12">
        <v>50061719</v>
      </c>
      <c r="E294" s="1" t="s">
        <v>1651</v>
      </c>
      <c r="F294" s="1" t="str">
        <f>VLOOKUP(A294,[1]Sheet1!$A$2:$E$1141,5,0)</f>
        <v>E Tech of Plant Fire Fighting</v>
      </c>
      <c r="G294" s="17" t="str">
        <f>VLOOKUP(A294,[1]Sheet1!$A$2:$F$1141,6,0)</f>
        <v>Associate</v>
      </c>
      <c r="H294" s="1" t="s">
        <v>1627</v>
      </c>
      <c r="I294" s="1" t="s">
        <v>1117</v>
      </c>
      <c r="J294" s="1" t="str">
        <f>VLOOKUP(A294,[1]Sheet1!$A$2:$H$1141,8,0)</f>
        <v>Dept. of Production Planning &amp; Control</v>
      </c>
      <c r="K294" s="1" t="str">
        <f>VLOOKUP(A294,[1]Sheet1!$A$2:$I$1141,9,0)</f>
        <v>Unit of OHS</v>
      </c>
      <c r="L294" s="1" t="str">
        <f>VLOOKUP(A294,[1]Sheet1!$A$2:$J$1141,10,0)</f>
        <v>Section of Plant Occupational Hea &amp; Saf.</v>
      </c>
      <c r="M294" s="2">
        <v>26665</v>
      </c>
      <c r="N294" s="1" t="s">
        <v>29</v>
      </c>
      <c r="O294" s="1" t="s">
        <v>30</v>
      </c>
      <c r="P294" s="1" t="s">
        <v>1652</v>
      </c>
      <c r="Q294" s="1" t="s">
        <v>1635</v>
      </c>
      <c r="R294" s="1" t="s">
        <v>1636</v>
      </c>
      <c r="S294" s="1" t="s">
        <v>1631</v>
      </c>
      <c r="T294" s="14">
        <v>47150</v>
      </c>
      <c r="U294" s="1" t="s">
        <v>1653</v>
      </c>
      <c r="V294" s="1" t="s">
        <v>36</v>
      </c>
      <c r="W294" s="3" t="str">
        <f t="shared" si="4"/>
        <v>53 tahun</v>
      </c>
      <c r="X294" s="1" t="s">
        <v>1654</v>
      </c>
      <c r="Y294" s="1" t="s">
        <v>56</v>
      </c>
      <c r="Z294" s="2">
        <v>38718</v>
      </c>
      <c r="AA294" s="2">
        <v>41030</v>
      </c>
      <c r="AB294" s="2" t="s">
        <v>1655</v>
      </c>
    </row>
    <row r="295" spans="1:28" x14ac:dyDescent="0.35">
      <c r="A295" s="12">
        <v>4881</v>
      </c>
      <c r="B295" s="12">
        <v>7295092</v>
      </c>
      <c r="C295" s="12" t="s">
        <v>50</v>
      </c>
      <c r="D295" s="12">
        <v>50061694</v>
      </c>
      <c r="E295" s="16" t="s">
        <v>1656</v>
      </c>
      <c r="F295" s="1" t="str">
        <f>VLOOKUP(A295,[1]Sheet1!$A$2:$E$1141,5,0)</f>
        <v>Mgr of BKS Occupational Health &amp; Safety</v>
      </c>
      <c r="G295" s="16" t="str">
        <f>VLOOKUP(A295,[1]Sheet1!$A$2:$F$1141,6,0)</f>
        <v>Manager</v>
      </c>
      <c r="H295" s="1" t="s">
        <v>1657</v>
      </c>
      <c r="I295" s="1" t="s">
        <v>1117</v>
      </c>
      <c r="J295" s="1" t="str">
        <f>VLOOKUP(A295,[1]Sheet1!$A$2:$H$1141,8,0)</f>
        <v>Dept. of Production Planning &amp; Control</v>
      </c>
      <c r="K295" s="1" t="str">
        <f>VLOOKUP(A295,[1]Sheet1!$A$2:$I$1141,9,0)</f>
        <v>Unit of OHS</v>
      </c>
      <c r="L295" s="1" t="str">
        <f>VLOOKUP(A295,[1]Sheet1!$A$2:$J$1141,10,0)</f>
        <v>Section of BKS Occupational Healt &amp; Saf.</v>
      </c>
      <c r="M295" s="2">
        <v>26626</v>
      </c>
      <c r="N295" s="1" t="s">
        <v>29</v>
      </c>
      <c r="O295" s="1" t="s">
        <v>30</v>
      </c>
      <c r="P295" s="1" t="s">
        <v>1658</v>
      </c>
      <c r="Q295" s="1" t="s">
        <v>1659</v>
      </c>
      <c r="R295" s="1" t="s">
        <v>1660</v>
      </c>
      <c r="S295" s="1" t="s">
        <v>1661</v>
      </c>
      <c r="T295" s="14">
        <v>47088</v>
      </c>
      <c r="U295" s="1" t="s">
        <v>1662</v>
      </c>
      <c r="V295" s="1" t="s">
        <v>36</v>
      </c>
      <c r="W295" s="3" t="str">
        <f t="shared" si="4"/>
        <v>53 tahun</v>
      </c>
      <c r="X295" s="1" t="s">
        <v>356</v>
      </c>
      <c r="Y295" s="1" t="s">
        <v>48</v>
      </c>
      <c r="Z295" s="2">
        <v>34932</v>
      </c>
      <c r="AA295" s="2">
        <v>35309</v>
      </c>
      <c r="AB295" s="2" t="s">
        <v>1663</v>
      </c>
    </row>
    <row r="296" spans="1:28" x14ac:dyDescent="0.35">
      <c r="A296" s="12">
        <v>4842</v>
      </c>
      <c r="B296" s="12">
        <v>7202186</v>
      </c>
      <c r="C296" s="12" t="s">
        <v>164</v>
      </c>
      <c r="D296" s="12">
        <v>50061751</v>
      </c>
      <c r="E296" s="1" t="s">
        <v>1664</v>
      </c>
      <c r="F296" s="1" t="str">
        <f>VLOOKUP(A296,[1]Sheet1!$A$2:$E$1141,5,0)</f>
        <v>Spv of BKS &amp; Other Facilities OHS</v>
      </c>
      <c r="G296" s="17" t="str">
        <f>VLOOKUP(A296,[1]Sheet1!$A$2:$F$1141,6,0)</f>
        <v>Supervisor</v>
      </c>
      <c r="H296" s="1" t="s">
        <v>1657</v>
      </c>
      <c r="I296" s="1" t="s">
        <v>1117</v>
      </c>
      <c r="J296" s="1" t="str">
        <f>VLOOKUP(A296,[1]Sheet1!$A$2:$H$1141,8,0)</f>
        <v>Dept. of Production Planning &amp; Control</v>
      </c>
      <c r="K296" s="1" t="str">
        <f>VLOOKUP(A296,[1]Sheet1!$A$2:$I$1141,9,0)</f>
        <v>Unit of OHS</v>
      </c>
      <c r="L296" s="1" t="str">
        <f>VLOOKUP(A296,[1]Sheet1!$A$2:$J$1141,10,0)</f>
        <v>Section of BKS Occupational Healt &amp; Saf.</v>
      </c>
      <c r="M296" s="2">
        <v>26467</v>
      </c>
      <c r="N296" s="1" t="s">
        <v>29</v>
      </c>
      <c r="O296" s="1" t="s">
        <v>30</v>
      </c>
      <c r="P296" s="1" t="s">
        <v>1665</v>
      </c>
      <c r="Q296" s="1" t="s">
        <v>1666</v>
      </c>
      <c r="R296" s="1" t="s">
        <v>1667</v>
      </c>
      <c r="S296" s="1" t="s">
        <v>1661</v>
      </c>
      <c r="T296" s="14">
        <v>46935</v>
      </c>
      <c r="U296" s="1" t="s">
        <v>1668</v>
      </c>
      <c r="V296" s="1" t="s">
        <v>36</v>
      </c>
      <c r="W296" s="3" t="str">
        <f t="shared" si="4"/>
        <v>54 tahun</v>
      </c>
      <c r="X296" s="1" t="s">
        <v>248</v>
      </c>
      <c r="Y296" s="1" t="s">
        <v>68</v>
      </c>
      <c r="Z296" s="2">
        <v>37469</v>
      </c>
      <c r="AA296" s="2">
        <v>38718</v>
      </c>
      <c r="AB296" s="2" t="s">
        <v>84</v>
      </c>
    </row>
    <row r="297" spans="1:28" x14ac:dyDescent="0.35">
      <c r="A297" s="12">
        <v>5013</v>
      </c>
      <c r="B297" s="12">
        <v>7495210</v>
      </c>
      <c r="C297" s="12" t="s">
        <v>50</v>
      </c>
      <c r="D297" s="12">
        <v>50066487</v>
      </c>
      <c r="E297" s="1" t="s">
        <v>1669</v>
      </c>
      <c r="F297" s="1" t="str">
        <f>VLOOKUP(A297,[1]Sheet1!$A$2:$E$1141,5,0)</f>
        <v>Spv of BKS &amp; Other Facilities OHS</v>
      </c>
      <c r="G297" s="17" t="str">
        <f>VLOOKUP(A297,[1]Sheet1!$A$2:$F$1141,6,0)</f>
        <v>Supervisor</v>
      </c>
      <c r="H297" s="1" t="s">
        <v>1657</v>
      </c>
      <c r="I297" s="1" t="s">
        <v>1117</v>
      </c>
      <c r="J297" s="1" t="str">
        <f>VLOOKUP(A297,[1]Sheet1!$A$2:$H$1141,8,0)</f>
        <v>Dept. of Production Planning &amp; Control</v>
      </c>
      <c r="K297" s="1" t="str">
        <f>VLOOKUP(A297,[1]Sheet1!$A$2:$I$1141,9,0)</f>
        <v>Unit of OHS</v>
      </c>
      <c r="L297" s="1" t="str">
        <f>VLOOKUP(A297,[1]Sheet1!$A$2:$J$1141,10,0)</f>
        <v>Section of BKS Occupational Healt &amp; Saf.</v>
      </c>
      <c r="M297" s="2">
        <v>27087</v>
      </c>
      <c r="N297" s="1" t="s">
        <v>29</v>
      </c>
      <c r="O297" s="1" t="s">
        <v>30</v>
      </c>
      <c r="P297" s="1" t="s">
        <v>1670</v>
      </c>
      <c r="Q297" s="1" t="s">
        <v>1666</v>
      </c>
      <c r="R297" s="1" t="s">
        <v>1667</v>
      </c>
      <c r="S297" s="1" t="s">
        <v>1661</v>
      </c>
      <c r="T297" s="14">
        <v>47543</v>
      </c>
      <c r="U297" s="1" t="s">
        <v>1671</v>
      </c>
      <c r="V297" s="1" t="s">
        <v>36</v>
      </c>
      <c r="W297" s="3" t="str">
        <f t="shared" si="4"/>
        <v>52 tahun</v>
      </c>
      <c r="X297" s="1" t="s">
        <v>55</v>
      </c>
      <c r="Y297" s="1" t="s">
        <v>56</v>
      </c>
      <c r="Z297" s="2">
        <v>35002</v>
      </c>
      <c r="AA297" s="2">
        <v>35370</v>
      </c>
      <c r="AB297" s="2" t="s">
        <v>1672</v>
      </c>
    </row>
    <row r="298" spans="1:28" x14ac:dyDescent="0.35">
      <c r="A298" s="12">
        <v>4968</v>
      </c>
      <c r="B298" s="12">
        <v>7406471</v>
      </c>
      <c r="C298" s="12" t="s">
        <v>219</v>
      </c>
      <c r="D298" s="12">
        <v>50061756</v>
      </c>
      <c r="E298" s="1" t="s">
        <v>648</v>
      </c>
      <c r="F298" s="1" t="str">
        <f>VLOOKUP(A298,[1]Sheet1!$A$2:$E$1141,5,0)</f>
        <v>Spv of BKS Facilities OHS</v>
      </c>
      <c r="G298" s="17" t="str">
        <f>VLOOKUP(A298,[1]Sheet1!$A$2:$F$1141,6,0)</f>
        <v>Supervisor</v>
      </c>
      <c r="H298" s="1" t="s">
        <v>1657</v>
      </c>
      <c r="I298" s="1" t="s">
        <v>1117</v>
      </c>
      <c r="J298" s="1" t="str">
        <f>VLOOKUP(A298,[1]Sheet1!$A$2:$H$1141,8,0)</f>
        <v>Dept. of Production Planning &amp; Control</v>
      </c>
      <c r="K298" s="1" t="str">
        <f>VLOOKUP(A298,[1]Sheet1!$A$2:$I$1141,9,0)</f>
        <v>Unit of OHS</v>
      </c>
      <c r="L298" s="1" t="str">
        <f>VLOOKUP(A298,[1]Sheet1!$A$2:$J$1141,10,0)</f>
        <v>Section of BKS Occupational Healt &amp; Saf.</v>
      </c>
      <c r="M298" s="2">
        <v>27295</v>
      </c>
      <c r="N298" s="1" t="s">
        <v>29</v>
      </c>
      <c r="O298" s="1" t="s">
        <v>30</v>
      </c>
      <c r="P298" s="1" t="s">
        <v>1673</v>
      </c>
      <c r="Q298" s="1" t="s">
        <v>1666</v>
      </c>
      <c r="R298" s="1" t="s">
        <v>1674</v>
      </c>
      <c r="S298" s="1" t="s">
        <v>1661</v>
      </c>
      <c r="T298" s="14">
        <v>47757</v>
      </c>
      <c r="U298" s="1" t="s">
        <v>1675</v>
      </c>
      <c r="V298" s="1" t="s">
        <v>36</v>
      </c>
      <c r="W298" s="3" t="str">
        <f t="shared" si="4"/>
        <v>51 tahun</v>
      </c>
      <c r="X298" s="1" t="s">
        <v>37</v>
      </c>
      <c r="Y298" s="1" t="s">
        <v>56</v>
      </c>
      <c r="Z298" s="2">
        <v>38718</v>
      </c>
      <c r="AA298" s="2">
        <v>41030</v>
      </c>
      <c r="AB298" s="2" t="s">
        <v>1676</v>
      </c>
    </row>
    <row r="299" spans="1:28" x14ac:dyDescent="0.35">
      <c r="A299" s="12">
        <v>4767</v>
      </c>
      <c r="B299" s="12">
        <v>7102163</v>
      </c>
      <c r="C299" s="12" t="s">
        <v>164</v>
      </c>
      <c r="D299" s="12">
        <v>50066483</v>
      </c>
      <c r="E299" s="1" t="s">
        <v>1677</v>
      </c>
      <c r="F299" s="1" t="str">
        <f>VLOOKUP(A299,[1]Sheet1!$A$2:$E$1141,5,0)</f>
        <v>Spv of BKS &amp; Other Facilities OHS</v>
      </c>
      <c r="G299" s="17" t="str">
        <f>VLOOKUP(A299,[1]Sheet1!$A$2:$F$1141,6,0)</f>
        <v>Supervisor</v>
      </c>
      <c r="H299" s="1" t="s">
        <v>1657</v>
      </c>
      <c r="I299" s="1" t="s">
        <v>1117</v>
      </c>
      <c r="J299" s="1" t="str">
        <f>VLOOKUP(A299,[1]Sheet1!$A$2:$H$1141,8,0)</f>
        <v>Dept. of Production Planning &amp; Control</v>
      </c>
      <c r="K299" s="1" t="str">
        <f>VLOOKUP(A299,[1]Sheet1!$A$2:$I$1141,9,0)</f>
        <v>Unit of OHS</v>
      </c>
      <c r="L299" s="1" t="str">
        <f>VLOOKUP(A299,[1]Sheet1!$A$2:$J$1141,10,0)</f>
        <v>Section of BKS Occupational Healt &amp; Saf.</v>
      </c>
      <c r="M299" s="2">
        <v>26100</v>
      </c>
      <c r="N299" s="1" t="s">
        <v>29</v>
      </c>
      <c r="O299" s="1" t="s">
        <v>30</v>
      </c>
      <c r="P299" s="1" t="s">
        <v>1678</v>
      </c>
      <c r="Q299" s="1" t="s">
        <v>1666</v>
      </c>
      <c r="R299" s="1" t="s">
        <v>1667</v>
      </c>
      <c r="S299" s="1" t="s">
        <v>1661</v>
      </c>
      <c r="T299" s="14">
        <v>46569</v>
      </c>
      <c r="U299" s="1" t="s">
        <v>1679</v>
      </c>
      <c r="V299" s="1" t="s">
        <v>186</v>
      </c>
      <c r="W299" s="3" t="str">
        <f t="shared" si="4"/>
        <v>55 tahun</v>
      </c>
      <c r="X299" s="1" t="s">
        <v>1146</v>
      </c>
      <c r="Y299" s="1" t="s">
        <v>56</v>
      </c>
      <c r="Z299" s="2">
        <v>37469</v>
      </c>
      <c r="AA299" s="2">
        <v>38718</v>
      </c>
      <c r="AB299" s="2" t="s">
        <v>1680</v>
      </c>
    </row>
    <row r="300" spans="1:28" x14ac:dyDescent="0.35">
      <c r="A300" s="12">
        <v>4442</v>
      </c>
      <c r="B300" s="12">
        <v>7106319</v>
      </c>
      <c r="C300" s="12" t="s">
        <v>219</v>
      </c>
      <c r="D300" s="12">
        <v>50066485</v>
      </c>
      <c r="E300" s="1" t="s">
        <v>1681</v>
      </c>
      <c r="F300" s="1" t="str">
        <f>VLOOKUP(A300,[1]Sheet1!$A$2:$E$1141,5,0)</f>
        <v>E Tech of BKS &amp; Oth Facilities Fire Figh</v>
      </c>
      <c r="G300" s="17" t="str">
        <f>VLOOKUP(A300,[1]Sheet1!$A$2:$F$1141,6,0)</f>
        <v>Associate</v>
      </c>
      <c r="H300" s="1" t="s">
        <v>1657</v>
      </c>
      <c r="I300" s="1" t="s">
        <v>1117</v>
      </c>
      <c r="J300" s="1" t="str">
        <f>VLOOKUP(A300,[1]Sheet1!$A$2:$H$1141,8,0)</f>
        <v>Dept. of Production Planning &amp; Control</v>
      </c>
      <c r="K300" s="1" t="str">
        <f>VLOOKUP(A300,[1]Sheet1!$A$2:$I$1141,9,0)</f>
        <v>Unit of OHS</v>
      </c>
      <c r="L300" s="1" t="str">
        <f>VLOOKUP(A300,[1]Sheet1!$A$2:$J$1141,10,0)</f>
        <v>Section of BKS Occupational Healt &amp; Saf.</v>
      </c>
      <c r="M300" s="2">
        <v>26129</v>
      </c>
      <c r="N300" s="1" t="s">
        <v>29</v>
      </c>
      <c r="O300" s="1" t="s">
        <v>30</v>
      </c>
      <c r="P300" s="1" t="s">
        <v>1682</v>
      </c>
      <c r="Q300" s="1" t="s">
        <v>1666</v>
      </c>
      <c r="R300" s="1" t="s">
        <v>1674</v>
      </c>
      <c r="S300" s="1" t="s">
        <v>1661</v>
      </c>
      <c r="T300" s="14">
        <v>46600</v>
      </c>
      <c r="U300" s="1" t="s">
        <v>1683</v>
      </c>
      <c r="V300" s="1" t="s">
        <v>36</v>
      </c>
      <c r="W300" s="3" t="str">
        <f t="shared" si="4"/>
        <v>55 tahun</v>
      </c>
      <c r="X300" s="1" t="s">
        <v>204</v>
      </c>
      <c r="Y300" s="1" t="s">
        <v>56</v>
      </c>
      <c r="Z300" s="2">
        <v>38718</v>
      </c>
      <c r="AA300" s="2">
        <v>41030</v>
      </c>
      <c r="AB300" s="2" t="s">
        <v>84</v>
      </c>
    </row>
    <row r="301" spans="1:28" x14ac:dyDescent="0.35">
      <c r="A301" s="12">
        <v>4523</v>
      </c>
      <c r="B301" s="12">
        <v>7306398</v>
      </c>
      <c r="C301" s="12" t="s">
        <v>219</v>
      </c>
      <c r="D301" s="12">
        <v>50066486</v>
      </c>
      <c r="E301" s="1" t="s">
        <v>1684</v>
      </c>
      <c r="F301" s="1" t="str">
        <f>VLOOKUP(A301,[1]Sheet1!$A$2:$E$1141,5,0)</f>
        <v>Tech of BKS &amp; Other Facilities Fire Figh</v>
      </c>
      <c r="G301" s="17" t="str">
        <f>VLOOKUP(A301,[1]Sheet1!$A$2:$F$1141,6,0)</f>
        <v>Associate</v>
      </c>
      <c r="H301" s="1" t="s">
        <v>1657</v>
      </c>
      <c r="I301" s="1" t="s">
        <v>1117</v>
      </c>
      <c r="J301" s="1" t="str">
        <f>VLOOKUP(A301,[1]Sheet1!$A$2:$H$1141,8,0)</f>
        <v>Dept. of Production Planning &amp; Control</v>
      </c>
      <c r="K301" s="1" t="str">
        <f>VLOOKUP(A301,[1]Sheet1!$A$2:$I$1141,9,0)</f>
        <v>Unit of OHS</v>
      </c>
      <c r="L301" s="1" t="str">
        <f>VLOOKUP(A301,[1]Sheet1!$A$2:$J$1141,10,0)</f>
        <v>Section of BKS Occupational Healt &amp; Saf.</v>
      </c>
      <c r="M301" s="2">
        <v>26845</v>
      </c>
      <c r="N301" s="1" t="s">
        <v>29</v>
      </c>
      <c r="O301" s="1" t="s">
        <v>30</v>
      </c>
      <c r="P301" s="1" t="s">
        <v>1685</v>
      </c>
      <c r="Q301" s="1" t="s">
        <v>1666</v>
      </c>
      <c r="R301" s="1" t="s">
        <v>1667</v>
      </c>
      <c r="S301" s="1" t="s">
        <v>1661</v>
      </c>
      <c r="T301" s="14">
        <v>47300</v>
      </c>
      <c r="U301" s="1" t="s">
        <v>1686</v>
      </c>
      <c r="V301" s="1" t="s">
        <v>186</v>
      </c>
      <c r="W301" s="3" t="str">
        <f t="shared" si="4"/>
        <v>53 tahun</v>
      </c>
      <c r="X301" s="1" t="s">
        <v>1146</v>
      </c>
      <c r="Y301" s="1" t="s">
        <v>56</v>
      </c>
      <c r="Z301" s="2">
        <v>38718</v>
      </c>
      <c r="AA301" s="2">
        <v>41030</v>
      </c>
      <c r="AB301" s="2" t="s">
        <v>1687</v>
      </c>
    </row>
    <row r="302" spans="1:28" x14ac:dyDescent="0.35">
      <c r="A302" s="12">
        <v>6180</v>
      </c>
      <c r="B302" s="12">
        <v>9112347</v>
      </c>
      <c r="C302" s="12" t="s">
        <v>103</v>
      </c>
      <c r="D302" s="12">
        <v>50067130</v>
      </c>
      <c r="E302" s="1" t="s">
        <v>1688</v>
      </c>
      <c r="F302" s="1" t="str">
        <f>VLOOKUP(A302,[1]Sheet1!$A$2:$E$1141,5,0)</f>
        <v>Permit &amp; Equip. Maint Jr Officer</v>
      </c>
      <c r="G302" s="17" t="str">
        <f>VLOOKUP(A302,[1]Sheet1!$A$2:$F$1141,6,0)</f>
        <v>Supervisor</v>
      </c>
      <c r="H302" s="1" t="s">
        <v>1614</v>
      </c>
      <c r="I302" s="1" t="s">
        <v>1117</v>
      </c>
      <c r="J302" s="1" t="str">
        <f>VLOOKUP(A302,[1]Sheet1!$A$2:$H$1141,8,0)</f>
        <v>Dept. of Production Planning &amp; Control</v>
      </c>
      <c r="K302" s="1" t="str">
        <f>VLOOKUP(A302,[1]Sheet1!$A$2:$I$1141,9,0)</f>
        <v>Unit of OHS</v>
      </c>
      <c r="L302" s="1" t="str">
        <f>VLOOKUP(A302,[1]Sheet1!$A$2:$J$1141,10,0)</f>
        <v>Staff of Permit &amp; OHS Equip Maintenance</v>
      </c>
      <c r="M302" s="2">
        <v>33381</v>
      </c>
      <c r="N302" s="1" t="s">
        <v>29</v>
      </c>
      <c r="O302" s="1" t="s">
        <v>30</v>
      </c>
      <c r="P302" s="1" t="s">
        <v>1689</v>
      </c>
      <c r="Q302" s="1" t="s">
        <v>1689</v>
      </c>
      <c r="R302" s="1" t="s">
        <v>1690</v>
      </c>
      <c r="S302" s="1" t="s">
        <v>1617</v>
      </c>
      <c r="T302" s="14">
        <v>53844</v>
      </c>
      <c r="U302" s="1" t="s">
        <v>1691</v>
      </c>
      <c r="V302" s="1" t="s">
        <v>36</v>
      </c>
      <c r="W302" s="3" t="str">
        <f t="shared" si="4"/>
        <v>35 tahun</v>
      </c>
      <c r="X302" s="1" t="s">
        <v>121</v>
      </c>
      <c r="Y302" s="1" t="s">
        <v>56</v>
      </c>
      <c r="Z302" s="2">
        <v>41275</v>
      </c>
      <c r="AA302" s="2">
        <v>41426</v>
      </c>
      <c r="AB302" s="2" t="s">
        <v>1692</v>
      </c>
    </row>
    <row r="303" spans="1:28" x14ac:dyDescent="0.35">
      <c r="A303" s="12">
        <v>8387</v>
      </c>
      <c r="B303" s="12">
        <v>9924001</v>
      </c>
      <c r="C303" s="12" t="s">
        <v>1693</v>
      </c>
      <c r="D303" s="12">
        <v>50061788</v>
      </c>
      <c r="E303" s="1" t="s">
        <v>1694</v>
      </c>
      <c r="F303" s="1" t="str">
        <f>VLOOKUP(A303,[1]Sheet1!$A$2:$E$1141,5,0)</f>
        <v>Permit &amp; OHS Equip Maintenance Jr Office</v>
      </c>
      <c r="G303" s="17" t="str">
        <f>VLOOKUP(A303,[1]Sheet1!$A$2:$F$1141,6,0)</f>
        <v>Supervisor</v>
      </c>
      <c r="H303" s="1" t="s">
        <v>1614</v>
      </c>
      <c r="I303" s="1" t="s">
        <v>1117</v>
      </c>
      <c r="J303" s="1" t="str">
        <f>VLOOKUP(A303,[1]Sheet1!$A$2:$H$1141,8,0)</f>
        <v>Dept. of Production Planning &amp; Control</v>
      </c>
      <c r="K303" s="1" t="str">
        <f>VLOOKUP(A303,[1]Sheet1!$A$2:$I$1141,9,0)</f>
        <v>Unit of OHS</v>
      </c>
      <c r="L303" s="1" t="str">
        <f>VLOOKUP(A303,[1]Sheet1!$A$2:$J$1141,10,0)</f>
        <v>Staff of Permit &amp; OHS Equip Maintenance</v>
      </c>
      <c r="M303" s="2">
        <v>35748</v>
      </c>
      <c r="N303" s="1" t="s">
        <v>29</v>
      </c>
      <c r="O303" s="1" t="s">
        <v>30</v>
      </c>
      <c r="P303" s="1" t="s">
        <v>1695</v>
      </c>
      <c r="Q303" s="1" t="s">
        <v>1689</v>
      </c>
      <c r="R303" s="1" t="s">
        <v>1690</v>
      </c>
      <c r="S303" s="1" t="s">
        <v>1617</v>
      </c>
      <c r="T303" s="14">
        <v>56219</v>
      </c>
      <c r="U303" s="1" t="s">
        <v>1696</v>
      </c>
      <c r="V303" s="1" t="s">
        <v>186</v>
      </c>
      <c r="W303" s="3" t="str">
        <f t="shared" si="4"/>
        <v>28 tahun</v>
      </c>
      <c r="X303" s="1" t="s">
        <v>1697</v>
      </c>
      <c r="Y303" s="1" t="s">
        <v>48</v>
      </c>
      <c r="Z303" s="2">
        <v>45536</v>
      </c>
      <c r="AA303" s="2">
        <v>45901</v>
      </c>
      <c r="AB303" s="2" t="s">
        <v>1698</v>
      </c>
    </row>
    <row r="304" spans="1:28" x14ac:dyDescent="0.35">
      <c r="A304" s="12">
        <v>6000</v>
      </c>
      <c r="B304" s="12">
        <v>8912167</v>
      </c>
      <c r="C304" s="12" t="s">
        <v>103</v>
      </c>
      <c r="D304" s="12">
        <v>50066497</v>
      </c>
      <c r="E304" s="1" t="s">
        <v>1699</v>
      </c>
      <c r="F304" s="1" t="str">
        <f>VLOOKUP(A304,[1]Sheet1!$A$2:$E$1141,5,0)</f>
        <v>Permit &amp; OHS Equip Maintenance Jr Office</v>
      </c>
      <c r="G304" s="17" t="str">
        <f>VLOOKUP(A304,[1]Sheet1!$A$2:$F$1141,6,0)</f>
        <v>Supervisor</v>
      </c>
      <c r="H304" s="1" t="s">
        <v>1614</v>
      </c>
      <c r="I304" s="1" t="s">
        <v>1117</v>
      </c>
      <c r="J304" s="1" t="str">
        <f>VLOOKUP(A304,[1]Sheet1!$A$2:$H$1141,8,0)</f>
        <v>Dept. of Production Planning &amp; Control</v>
      </c>
      <c r="K304" s="1" t="str">
        <f>VLOOKUP(A304,[1]Sheet1!$A$2:$I$1141,9,0)</f>
        <v>Unit of OHS</v>
      </c>
      <c r="L304" s="1" t="str">
        <f>VLOOKUP(A304,[1]Sheet1!$A$2:$J$1141,10,0)</f>
        <v>Staff of Permit &amp; OHS Equip Maintenance</v>
      </c>
      <c r="M304" s="2">
        <v>32550</v>
      </c>
      <c r="N304" s="1" t="s">
        <v>29</v>
      </c>
      <c r="O304" s="1" t="s">
        <v>30</v>
      </c>
      <c r="P304" s="1" t="s">
        <v>1700</v>
      </c>
      <c r="Q304" s="1" t="s">
        <v>1689</v>
      </c>
      <c r="R304" s="1" t="s">
        <v>1690</v>
      </c>
      <c r="S304" s="1" t="s">
        <v>1617</v>
      </c>
      <c r="T304" s="14">
        <v>53022</v>
      </c>
      <c r="U304" s="1" t="s">
        <v>1701</v>
      </c>
      <c r="V304" s="1" t="s">
        <v>36</v>
      </c>
      <c r="W304" s="3" t="str">
        <f t="shared" si="4"/>
        <v>37 tahun</v>
      </c>
      <c r="X304" s="1" t="s">
        <v>1702</v>
      </c>
      <c r="Y304" s="1" t="s">
        <v>68</v>
      </c>
      <c r="Z304" s="2">
        <v>41275</v>
      </c>
      <c r="AA304" s="2">
        <v>41395</v>
      </c>
      <c r="AB304" s="2" t="s">
        <v>1703</v>
      </c>
    </row>
    <row r="305" spans="1:28" x14ac:dyDescent="0.35">
      <c r="A305" s="12">
        <v>5334</v>
      </c>
      <c r="B305" s="12">
        <v>8510028</v>
      </c>
      <c r="C305" s="12" t="s">
        <v>139</v>
      </c>
      <c r="D305" s="12">
        <v>50064136</v>
      </c>
      <c r="E305" s="15" t="s">
        <v>1704</v>
      </c>
      <c r="F305" s="1" t="str">
        <f>VLOOKUP(A305,[1]Sheet1!$A$2:$E$1141,5,0)</f>
        <v>SM of AFR &amp; Energy</v>
      </c>
      <c r="G305" s="15" t="str">
        <f>VLOOKUP(A305,[1]Sheet1!$A$2:$F$1141,6,0)</f>
        <v>Senior Manager</v>
      </c>
      <c r="H305" s="1" t="s">
        <v>1240</v>
      </c>
      <c r="I305" s="1" t="s">
        <v>1117</v>
      </c>
      <c r="J305" s="1" t="str">
        <f>VLOOKUP(A305,[1]Sheet1!$A$2:$H$1141,8,0)</f>
        <v>Dept. of Production Planning &amp; Control</v>
      </c>
      <c r="K305" s="1" t="str">
        <f>VLOOKUP(A305,[1]Sheet1!$A$2:$I$1141,9,0)</f>
        <v>Unit of AFR &amp; Energy</v>
      </c>
      <c r="L305" s="1" t="e">
        <f>VLOOKUP(A305,[1]Sheet1!$A$2:$J$1141,10,0)</f>
        <v>#REF!</v>
      </c>
      <c r="M305" s="2">
        <v>31111</v>
      </c>
      <c r="N305" s="1" t="s">
        <v>29</v>
      </c>
      <c r="O305" s="1" t="s">
        <v>30</v>
      </c>
      <c r="P305" s="1" t="s">
        <v>1705</v>
      </c>
      <c r="Q305" s="1" t="s">
        <v>1706</v>
      </c>
      <c r="R305" s="1" t="s">
        <v>1707</v>
      </c>
      <c r="S305" s="1" t="s">
        <v>1244</v>
      </c>
      <c r="T305" s="14">
        <v>51592</v>
      </c>
      <c r="U305" s="1" t="s">
        <v>1708</v>
      </c>
      <c r="V305" s="1" t="s">
        <v>410</v>
      </c>
      <c r="W305" s="3" t="str">
        <f t="shared" si="4"/>
        <v>41 tahun</v>
      </c>
      <c r="X305" s="1" t="s">
        <v>173</v>
      </c>
      <c r="Y305" s="1" t="s">
        <v>48</v>
      </c>
      <c r="Z305" s="2">
        <v>40544</v>
      </c>
      <c r="AA305" s="2">
        <v>40664</v>
      </c>
      <c r="AB305" s="2" t="s">
        <v>291</v>
      </c>
    </row>
    <row r="306" spans="1:28" x14ac:dyDescent="0.35">
      <c r="A306" s="12">
        <v>4906</v>
      </c>
      <c r="B306" s="12">
        <v>7395095</v>
      </c>
      <c r="C306" s="12" t="s">
        <v>50</v>
      </c>
      <c r="D306" s="12">
        <v>50064195</v>
      </c>
      <c r="E306" s="16" t="s">
        <v>1709</v>
      </c>
      <c r="F306" s="1" t="str">
        <f>VLOOKUP(A306,[1]Sheet1!$A$2:$E$1141,5,0)</f>
        <v>Mgr of Coal Mixing</v>
      </c>
      <c r="G306" s="16" t="str">
        <f>VLOOKUP(A306,[1]Sheet1!$A$2:$F$1141,6,0)</f>
        <v>Manager</v>
      </c>
      <c r="H306" s="1" t="s">
        <v>1240</v>
      </c>
      <c r="I306" s="1" t="s">
        <v>1117</v>
      </c>
      <c r="J306" s="1" t="str">
        <f>VLOOKUP(A306,[1]Sheet1!$A$2:$H$1141,8,0)</f>
        <v>Dept. of Production Planning &amp; Control</v>
      </c>
      <c r="K306" s="1" t="str">
        <f>VLOOKUP(A306,[1]Sheet1!$A$2:$I$1141,9,0)</f>
        <v>Unit of AFR &amp; Energy</v>
      </c>
      <c r="L306" s="1" t="str">
        <f>VLOOKUP(A306,[1]Sheet1!$A$2:$J$1141,10,0)</f>
        <v>Section of Coal Mixing</v>
      </c>
      <c r="M306" s="2">
        <v>26722</v>
      </c>
      <c r="N306" s="1" t="s">
        <v>29</v>
      </c>
      <c r="O306" s="1" t="s">
        <v>30</v>
      </c>
      <c r="P306" s="1" t="s">
        <v>1710</v>
      </c>
      <c r="Q306" s="1" t="s">
        <v>1711</v>
      </c>
      <c r="R306" s="1" t="s">
        <v>1712</v>
      </c>
      <c r="S306" s="1" t="s">
        <v>1244</v>
      </c>
      <c r="T306" s="14">
        <v>47178</v>
      </c>
      <c r="U306" s="1" t="s">
        <v>1713</v>
      </c>
      <c r="V306" s="1" t="s">
        <v>36</v>
      </c>
      <c r="W306" s="3" t="str">
        <f t="shared" si="4"/>
        <v>53 tahun</v>
      </c>
      <c r="X306" s="1" t="s">
        <v>1274</v>
      </c>
      <c r="Y306" s="1" t="s">
        <v>48</v>
      </c>
      <c r="Z306" s="2">
        <v>34932</v>
      </c>
      <c r="AA306" s="2">
        <v>35309</v>
      </c>
      <c r="AB306" s="2" t="s">
        <v>84</v>
      </c>
    </row>
    <row r="307" spans="1:28" x14ac:dyDescent="0.35">
      <c r="A307" s="12">
        <v>5235</v>
      </c>
      <c r="B307" s="12">
        <v>7802293</v>
      </c>
      <c r="C307" s="12" t="s">
        <v>164</v>
      </c>
      <c r="D307" s="12">
        <v>50069490</v>
      </c>
      <c r="E307" s="1" t="s">
        <v>1714</v>
      </c>
      <c r="F307" s="1" t="str">
        <f>VLOOKUP(A307,[1]Sheet1!$A$2:$E$1141,5,0)</f>
        <v>Spv of Pile Plan &amp; Control</v>
      </c>
      <c r="G307" s="17" t="str">
        <f>VLOOKUP(A307,[1]Sheet1!$A$2:$F$1141,6,0)</f>
        <v>Supervisor</v>
      </c>
      <c r="H307" s="1" t="s">
        <v>1240</v>
      </c>
      <c r="I307" s="1" t="s">
        <v>1117</v>
      </c>
      <c r="J307" s="1" t="str">
        <f>VLOOKUP(A307,[1]Sheet1!$A$2:$H$1141,8,0)</f>
        <v>Dept. of Production Planning &amp; Control</v>
      </c>
      <c r="K307" s="1" t="str">
        <f>VLOOKUP(A307,[1]Sheet1!$A$2:$I$1141,9,0)</f>
        <v>Unit of AFR &amp; Energy</v>
      </c>
      <c r="L307" s="1" t="str">
        <f>VLOOKUP(A307,[1]Sheet1!$A$2:$J$1141,10,0)</f>
        <v>Section of Coal Mixing</v>
      </c>
      <c r="M307" s="2">
        <v>28707</v>
      </c>
      <c r="N307" s="1" t="s">
        <v>29</v>
      </c>
      <c r="O307" s="1" t="s">
        <v>30</v>
      </c>
      <c r="P307" s="1" t="s">
        <v>1715</v>
      </c>
      <c r="Q307" s="1" t="s">
        <v>1716</v>
      </c>
      <c r="R307" s="1" t="s">
        <v>1717</v>
      </c>
      <c r="S307" s="1" t="s">
        <v>1244</v>
      </c>
      <c r="T307" s="14">
        <v>49188</v>
      </c>
      <c r="U307" s="1" t="s">
        <v>1718</v>
      </c>
      <c r="V307" s="1" t="s">
        <v>36</v>
      </c>
      <c r="W307" s="3" t="str">
        <f t="shared" si="4"/>
        <v>48 tahun</v>
      </c>
      <c r="X307" s="1" t="s">
        <v>37</v>
      </c>
      <c r="Y307" s="1" t="s">
        <v>56</v>
      </c>
      <c r="Z307" s="2">
        <v>37469</v>
      </c>
      <c r="AA307" s="2">
        <v>38718</v>
      </c>
      <c r="AB307" s="2" t="s">
        <v>1719</v>
      </c>
    </row>
    <row r="308" spans="1:28" x14ac:dyDescent="0.35">
      <c r="A308" s="12">
        <v>5383</v>
      </c>
      <c r="B308" s="12">
        <v>8609003</v>
      </c>
      <c r="C308" s="12" t="s">
        <v>1137</v>
      </c>
      <c r="D308" s="12">
        <v>50069491</v>
      </c>
      <c r="E308" s="1" t="s">
        <v>1720</v>
      </c>
      <c r="F308" s="1" t="str">
        <f>VLOOKUP(A308,[1]Sheet1!$A$2:$E$1141,5,0)</f>
        <v>Spv of Coal MIx Quality Control</v>
      </c>
      <c r="G308" s="17" t="str">
        <f>VLOOKUP(A308,[1]Sheet1!$A$2:$F$1141,6,0)</f>
        <v>Supervisor</v>
      </c>
      <c r="H308" s="1" t="s">
        <v>1240</v>
      </c>
      <c r="I308" s="1" t="s">
        <v>1117</v>
      </c>
      <c r="J308" s="1" t="str">
        <f>VLOOKUP(A308,[1]Sheet1!$A$2:$H$1141,8,0)</f>
        <v>Dept. of Production Planning &amp; Control</v>
      </c>
      <c r="K308" s="1" t="str">
        <f>VLOOKUP(A308,[1]Sheet1!$A$2:$I$1141,9,0)</f>
        <v>Unit of AFR &amp; Energy</v>
      </c>
      <c r="L308" s="1" t="str">
        <f>VLOOKUP(A308,[1]Sheet1!$A$2:$J$1141,10,0)</f>
        <v>Section of Coal Mixing</v>
      </c>
      <c r="M308" s="2">
        <v>31752</v>
      </c>
      <c r="N308" s="1" t="s">
        <v>29</v>
      </c>
      <c r="O308" s="1" t="s">
        <v>30</v>
      </c>
      <c r="P308" s="1" t="s">
        <v>1721</v>
      </c>
      <c r="Q308" s="1" t="s">
        <v>1722</v>
      </c>
      <c r="R308" s="1" t="s">
        <v>1723</v>
      </c>
      <c r="S308" s="1" t="s">
        <v>1244</v>
      </c>
      <c r="T308" s="14">
        <v>52232</v>
      </c>
      <c r="U308" s="1" t="s">
        <v>1724</v>
      </c>
      <c r="V308" s="1" t="s">
        <v>36</v>
      </c>
      <c r="W308" s="3" t="str">
        <f t="shared" si="4"/>
        <v>39 tahun</v>
      </c>
      <c r="X308" s="1" t="s">
        <v>107</v>
      </c>
      <c r="Y308" s="1" t="s">
        <v>56</v>
      </c>
      <c r="Z308" s="2">
        <v>40087</v>
      </c>
      <c r="AA308" s="2">
        <v>40391</v>
      </c>
      <c r="AB308" s="2" t="s">
        <v>1725</v>
      </c>
    </row>
    <row r="309" spans="1:28" x14ac:dyDescent="0.35">
      <c r="A309" s="12">
        <v>5408</v>
      </c>
      <c r="B309" s="12">
        <v>8710085</v>
      </c>
      <c r="C309" s="12" t="s">
        <v>139</v>
      </c>
      <c r="D309" s="12">
        <v>50064426</v>
      </c>
      <c r="E309" s="16" t="s">
        <v>1726</v>
      </c>
      <c r="F309" s="1" t="str">
        <f>VLOOKUP(A309,[1]Sheet1!$A$2:$E$1141,5,0)</f>
        <v>Energy Officer</v>
      </c>
      <c r="G309" s="16" t="str">
        <f>VLOOKUP(A309,[1]Sheet1!$A$2:$F$1141,6,0)</f>
        <v>Manager</v>
      </c>
      <c r="H309" s="1" t="s">
        <v>1240</v>
      </c>
      <c r="I309" s="1" t="s">
        <v>1117</v>
      </c>
      <c r="J309" s="1" t="str">
        <f>VLOOKUP(A309,[1]Sheet1!$A$2:$H$1141,8,0)</f>
        <v>Dept. of Production Planning &amp; Control</v>
      </c>
      <c r="K309" s="1" t="str">
        <f>VLOOKUP(A309,[1]Sheet1!$A$2:$I$1141,9,0)</f>
        <v>Unit of AFR &amp; Energy</v>
      </c>
      <c r="L309" s="1" t="str">
        <f>VLOOKUP(A309,[1]Sheet1!$A$2:$J$1141,10,0)</f>
        <v>Staff of Energy</v>
      </c>
      <c r="M309" s="2">
        <v>32124</v>
      </c>
      <c r="N309" s="1" t="s">
        <v>29</v>
      </c>
      <c r="O309" s="1" t="s">
        <v>30</v>
      </c>
      <c r="P309" s="1" t="s">
        <v>1727</v>
      </c>
      <c r="Q309" s="1" t="s">
        <v>1728</v>
      </c>
      <c r="R309" s="1" t="s">
        <v>1729</v>
      </c>
      <c r="S309" s="1" t="s">
        <v>1244</v>
      </c>
      <c r="T309" s="14">
        <v>52597</v>
      </c>
      <c r="U309" s="1" t="s">
        <v>1730</v>
      </c>
      <c r="V309" s="1" t="s">
        <v>36</v>
      </c>
      <c r="W309" s="3" t="str">
        <f t="shared" si="4"/>
        <v>38 tahun</v>
      </c>
      <c r="X309" s="1" t="s">
        <v>101</v>
      </c>
      <c r="Y309" s="1" t="s">
        <v>48</v>
      </c>
      <c r="Z309" s="2">
        <v>40544</v>
      </c>
      <c r="AA309" s="2">
        <v>40695</v>
      </c>
      <c r="AB309" s="2" t="s">
        <v>1731</v>
      </c>
    </row>
    <row r="310" spans="1:28" x14ac:dyDescent="0.35">
      <c r="A310" s="12">
        <v>5284</v>
      </c>
      <c r="B310" s="12">
        <v>8308056</v>
      </c>
      <c r="C310" s="12" t="s">
        <v>25</v>
      </c>
      <c r="D310" s="12">
        <v>50064137</v>
      </c>
      <c r="E310" s="16" t="s">
        <v>1732</v>
      </c>
      <c r="F310" s="1" t="str">
        <f>VLOOKUP(A310,[1]Sheet1!$A$2:$E$1141,5,0)</f>
        <v>Energy Officer</v>
      </c>
      <c r="G310" s="16" t="str">
        <f>VLOOKUP(A310,[1]Sheet1!$A$2:$F$1141,6,0)</f>
        <v>Manager</v>
      </c>
      <c r="H310" s="1" t="s">
        <v>1240</v>
      </c>
      <c r="I310" s="1" t="s">
        <v>1117</v>
      </c>
      <c r="J310" s="1" t="str">
        <f>VLOOKUP(A310,[1]Sheet1!$A$2:$H$1141,8,0)</f>
        <v>Dept. of Production Planning &amp; Control</v>
      </c>
      <c r="K310" s="1" t="str">
        <f>VLOOKUP(A310,[1]Sheet1!$A$2:$I$1141,9,0)</f>
        <v>Unit of AFR &amp; Energy</v>
      </c>
      <c r="L310" s="1" t="str">
        <f>VLOOKUP(A310,[1]Sheet1!$A$2:$J$1141,10,0)</f>
        <v>Staff of Energy</v>
      </c>
      <c r="M310" s="2">
        <v>30390</v>
      </c>
      <c r="N310" s="1" t="s">
        <v>29</v>
      </c>
      <c r="O310" s="1" t="s">
        <v>30</v>
      </c>
      <c r="P310" s="1" t="s">
        <v>1733</v>
      </c>
      <c r="Q310" s="1" t="s">
        <v>1728</v>
      </c>
      <c r="R310" s="1" t="s">
        <v>1734</v>
      </c>
      <c r="S310" s="1" t="s">
        <v>1244</v>
      </c>
      <c r="T310" s="14">
        <v>50861</v>
      </c>
      <c r="U310" s="1" t="s">
        <v>1735</v>
      </c>
      <c r="V310" s="1" t="s">
        <v>36</v>
      </c>
      <c r="W310" s="3" t="str">
        <f t="shared" si="4"/>
        <v>43 tahun</v>
      </c>
      <c r="X310" s="1" t="s">
        <v>1009</v>
      </c>
      <c r="Y310" s="1" t="s">
        <v>48</v>
      </c>
      <c r="Z310" s="2">
        <v>39814</v>
      </c>
      <c r="AA310" s="2">
        <v>39965</v>
      </c>
      <c r="AB310" s="2" t="s">
        <v>1736</v>
      </c>
    </row>
    <row r="311" spans="1:28" x14ac:dyDescent="0.35">
      <c r="A311" s="12">
        <v>5301</v>
      </c>
      <c r="B311" s="12">
        <v>8410019</v>
      </c>
      <c r="C311" s="12" t="s">
        <v>139</v>
      </c>
      <c r="D311" s="12">
        <v>50065387</v>
      </c>
      <c r="E311" s="16" t="s">
        <v>1737</v>
      </c>
      <c r="F311" s="1" t="str">
        <f>VLOOKUP(A311,[1]Sheet1!$A$2:$E$1141,5,0)</f>
        <v>Energy Officer</v>
      </c>
      <c r="G311" s="16" t="str">
        <f>VLOOKUP(A311,[1]Sheet1!$A$2:$F$1141,6,0)</f>
        <v>Manager</v>
      </c>
      <c r="H311" s="1" t="s">
        <v>1240</v>
      </c>
      <c r="I311" s="1" t="s">
        <v>1117</v>
      </c>
      <c r="J311" s="1" t="str">
        <f>VLOOKUP(A311,[1]Sheet1!$A$2:$H$1141,8,0)</f>
        <v>Dept. of Production Planning &amp; Control</v>
      </c>
      <c r="K311" s="1" t="str">
        <f>VLOOKUP(A311,[1]Sheet1!$A$2:$I$1141,9,0)</f>
        <v>Unit of AFR &amp; Energy</v>
      </c>
      <c r="L311" s="1" t="str">
        <f>VLOOKUP(A311,[1]Sheet1!$A$2:$J$1141,10,0)</f>
        <v>Staff of Energy</v>
      </c>
      <c r="M311" s="2">
        <v>30691</v>
      </c>
      <c r="N311" s="1" t="s">
        <v>29</v>
      </c>
      <c r="O311" s="1" t="s">
        <v>30</v>
      </c>
      <c r="P311" s="1" t="s">
        <v>1738</v>
      </c>
      <c r="Q311" s="1" t="s">
        <v>1728</v>
      </c>
      <c r="R311" s="1" t="s">
        <v>1729</v>
      </c>
      <c r="S311" s="1" t="s">
        <v>1244</v>
      </c>
      <c r="T311" s="14">
        <v>51167</v>
      </c>
      <c r="U311" s="1" t="s">
        <v>1739</v>
      </c>
      <c r="V311" s="1" t="s">
        <v>36</v>
      </c>
      <c r="W311" s="3" t="str">
        <f t="shared" si="4"/>
        <v>42 tahun</v>
      </c>
      <c r="X311" s="1" t="s">
        <v>243</v>
      </c>
      <c r="Y311" s="1" t="s">
        <v>48</v>
      </c>
      <c r="Z311" s="2">
        <v>40544</v>
      </c>
      <c r="AA311" s="2">
        <v>40664</v>
      </c>
      <c r="AB311" s="2" t="s">
        <v>1740</v>
      </c>
    </row>
    <row r="312" spans="1:28" x14ac:dyDescent="0.35">
      <c r="A312" s="12">
        <v>5363</v>
      </c>
      <c r="B312" s="12">
        <v>8510038</v>
      </c>
      <c r="C312" s="12" t="s">
        <v>139</v>
      </c>
      <c r="D312" s="12">
        <v>50064427</v>
      </c>
      <c r="E312" s="16" t="s">
        <v>1741</v>
      </c>
      <c r="F312" s="1" t="str">
        <f>VLOOKUP(A312,[1]Sheet1!$A$2:$E$1141,5,0)</f>
        <v>Mgr of AFR &amp; 3rd Material</v>
      </c>
      <c r="G312" s="16" t="str">
        <f>VLOOKUP(A312,[1]Sheet1!$A$2:$F$1141,6,0)</f>
        <v>Manager</v>
      </c>
      <c r="H312" s="1" t="s">
        <v>1240</v>
      </c>
      <c r="I312" s="1" t="s">
        <v>1117</v>
      </c>
      <c r="J312" s="1" t="str">
        <f>VLOOKUP(A312,[1]Sheet1!$A$2:$H$1141,8,0)</f>
        <v>Dept. of Production Planning &amp; Control</v>
      </c>
      <c r="K312" s="1" t="str">
        <f>VLOOKUP(A312,[1]Sheet1!$A$2:$I$1141,9,0)</f>
        <v>Unit of AFR &amp; Energy</v>
      </c>
      <c r="L312" s="1" t="str">
        <f>VLOOKUP(A312,[1]Sheet1!$A$2:$J$1141,10,0)</f>
        <v>Section of AFR &amp; 3rd Material</v>
      </c>
      <c r="M312" s="2">
        <v>31408</v>
      </c>
      <c r="N312" s="1" t="s">
        <v>29</v>
      </c>
      <c r="O312" s="1" t="s">
        <v>30</v>
      </c>
      <c r="P312" s="1" t="s">
        <v>1742</v>
      </c>
      <c r="Q312" s="1" t="s">
        <v>1743</v>
      </c>
      <c r="R312" s="1" t="s">
        <v>1744</v>
      </c>
      <c r="S312" s="1" t="s">
        <v>1244</v>
      </c>
      <c r="T312" s="14">
        <v>51867</v>
      </c>
      <c r="U312" s="1" t="s">
        <v>1745</v>
      </c>
      <c r="V312" s="1" t="s">
        <v>36</v>
      </c>
      <c r="W312" s="3" t="str">
        <f t="shared" si="4"/>
        <v>40 tahun</v>
      </c>
      <c r="X312" s="1" t="s">
        <v>1274</v>
      </c>
      <c r="Y312" s="1" t="s">
        <v>48</v>
      </c>
      <c r="Z312" s="2">
        <v>40544</v>
      </c>
      <c r="AA312" s="2">
        <v>40634</v>
      </c>
      <c r="AB312" s="2" t="s">
        <v>1746</v>
      </c>
    </row>
    <row r="313" spans="1:28" x14ac:dyDescent="0.35">
      <c r="A313" s="12">
        <v>4890</v>
      </c>
      <c r="B313" s="12">
        <v>7295189</v>
      </c>
      <c r="C313" s="12" t="s">
        <v>50</v>
      </c>
      <c r="D313" s="12">
        <v>50069485</v>
      </c>
      <c r="E313" s="1" t="s">
        <v>1747</v>
      </c>
      <c r="F313" s="1" t="str">
        <f>VLOOKUP(A313,[1]Sheet1!$A$2:$E$1141,5,0)</f>
        <v>Spv of AFR &amp; 3rd Material (Shift)</v>
      </c>
      <c r="G313" s="17" t="str">
        <f>VLOOKUP(A313,[1]Sheet1!$A$2:$F$1141,6,0)</f>
        <v>Supervisor</v>
      </c>
      <c r="H313" s="1" t="s">
        <v>1240</v>
      </c>
      <c r="I313" s="1" t="s">
        <v>1117</v>
      </c>
      <c r="J313" s="1" t="str">
        <f>VLOOKUP(A313,[1]Sheet1!$A$2:$H$1141,8,0)</f>
        <v>Dept. of Production Planning &amp; Control</v>
      </c>
      <c r="K313" s="1" t="str">
        <f>VLOOKUP(A313,[1]Sheet1!$A$2:$I$1141,9,0)</f>
        <v>Unit of AFR &amp; Energy</v>
      </c>
      <c r="L313" s="1" t="str">
        <f>VLOOKUP(A313,[1]Sheet1!$A$2:$J$1141,10,0)</f>
        <v>Section of AFR &amp; 3rd Material</v>
      </c>
      <c r="M313" s="2">
        <v>26645</v>
      </c>
      <c r="N313" s="1" t="s">
        <v>29</v>
      </c>
      <c r="O313" s="1" t="s">
        <v>30</v>
      </c>
      <c r="P313" s="1" t="s">
        <v>1748</v>
      </c>
      <c r="Q313" s="1" t="s">
        <v>1749</v>
      </c>
      <c r="R313" s="1" t="s">
        <v>1750</v>
      </c>
      <c r="S313" s="1" t="s">
        <v>1244</v>
      </c>
      <c r="T313" s="14">
        <v>47119</v>
      </c>
      <c r="U313" s="1" t="s">
        <v>1751</v>
      </c>
      <c r="V313" s="1" t="s">
        <v>36</v>
      </c>
      <c r="W313" s="3" t="str">
        <f t="shared" si="4"/>
        <v>53 tahun</v>
      </c>
      <c r="X313" s="1" t="s">
        <v>101</v>
      </c>
      <c r="Y313" s="1" t="s">
        <v>48</v>
      </c>
      <c r="Z313" s="2">
        <v>35002</v>
      </c>
      <c r="AA313" s="2">
        <v>35370</v>
      </c>
      <c r="AB313" s="2" t="s">
        <v>1752</v>
      </c>
    </row>
    <row r="314" spans="1:28" x14ac:dyDescent="0.35">
      <c r="A314" s="12">
        <v>4957</v>
      </c>
      <c r="B314" s="12">
        <v>7302221</v>
      </c>
      <c r="C314" s="12" t="s">
        <v>164</v>
      </c>
      <c r="D314" s="12">
        <v>50069486</v>
      </c>
      <c r="E314" s="1" t="s">
        <v>1753</v>
      </c>
      <c r="F314" s="1" t="str">
        <f>VLOOKUP(A314,[1]Sheet1!$A$2:$E$1141,5,0)</f>
        <v>Spv of AFR &amp; 3rd Material (Shift)</v>
      </c>
      <c r="G314" s="17" t="str">
        <f>VLOOKUP(A314,[1]Sheet1!$A$2:$F$1141,6,0)</f>
        <v>Supervisor</v>
      </c>
      <c r="H314" s="1" t="s">
        <v>1240</v>
      </c>
      <c r="I314" s="1" t="s">
        <v>1117</v>
      </c>
      <c r="J314" s="1" t="str">
        <f>VLOOKUP(A314,[1]Sheet1!$A$2:$H$1141,8,0)</f>
        <v>Dept. of Production Planning &amp; Control</v>
      </c>
      <c r="K314" s="1" t="str">
        <f>VLOOKUP(A314,[1]Sheet1!$A$2:$I$1141,9,0)</f>
        <v>Unit of AFR &amp; Energy</v>
      </c>
      <c r="L314" s="1" t="str">
        <f>VLOOKUP(A314,[1]Sheet1!$A$2:$J$1141,10,0)</f>
        <v>Section of AFR &amp; 3rd Material</v>
      </c>
      <c r="M314" s="2">
        <v>26915</v>
      </c>
      <c r="N314" s="1" t="s">
        <v>29</v>
      </c>
      <c r="O314" s="1" t="s">
        <v>30</v>
      </c>
      <c r="P314" s="1" t="s">
        <v>1754</v>
      </c>
      <c r="Q314" s="1" t="s">
        <v>1749</v>
      </c>
      <c r="R314" s="1" t="s">
        <v>1750</v>
      </c>
      <c r="S314" s="1" t="s">
        <v>1244</v>
      </c>
      <c r="T314" s="14">
        <v>47392</v>
      </c>
      <c r="U314" s="1" t="s">
        <v>1755</v>
      </c>
      <c r="V314" s="1" t="s">
        <v>36</v>
      </c>
      <c r="W314" s="3" t="str">
        <f t="shared" si="4"/>
        <v>52 tahun</v>
      </c>
      <c r="X314" s="1" t="s">
        <v>600</v>
      </c>
      <c r="Y314" s="1" t="s">
        <v>56</v>
      </c>
      <c r="Z314" s="2">
        <v>37469</v>
      </c>
      <c r="AA314" s="2">
        <v>38718</v>
      </c>
      <c r="AB314" s="2" t="s">
        <v>1756</v>
      </c>
    </row>
    <row r="315" spans="1:28" x14ac:dyDescent="0.35">
      <c r="A315" s="12">
        <v>4955</v>
      </c>
      <c r="B315" s="12">
        <v>7406465</v>
      </c>
      <c r="C315" s="12" t="s">
        <v>219</v>
      </c>
      <c r="D315" s="12">
        <v>50069487</v>
      </c>
      <c r="E315" s="1" t="s">
        <v>1757</v>
      </c>
      <c r="F315" s="1" t="str">
        <f>VLOOKUP(A315,[1]Sheet1!$A$2:$E$1141,5,0)</f>
        <v>Spv of AFR &amp; 3rd Material (Shift)</v>
      </c>
      <c r="G315" s="17" t="str">
        <f>VLOOKUP(A315,[1]Sheet1!$A$2:$F$1141,6,0)</f>
        <v>Supervisor</v>
      </c>
      <c r="H315" s="1" t="s">
        <v>1240</v>
      </c>
      <c r="I315" s="1" t="s">
        <v>1117</v>
      </c>
      <c r="J315" s="1" t="str">
        <f>VLOOKUP(A315,[1]Sheet1!$A$2:$H$1141,8,0)</f>
        <v>Dept. of Production Planning &amp; Control</v>
      </c>
      <c r="K315" s="1" t="str">
        <f>VLOOKUP(A315,[1]Sheet1!$A$2:$I$1141,9,0)</f>
        <v>Unit of AFR &amp; Energy</v>
      </c>
      <c r="L315" s="1" t="str">
        <f>VLOOKUP(A315,[1]Sheet1!$A$2:$J$1141,10,0)</f>
        <v>Section of AFR &amp; 3rd Material</v>
      </c>
      <c r="M315" s="2">
        <v>27253</v>
      </c>
      <c r="N315" s="1" t="s">
        <v>29</v>
      </c>
      <c r="O315" s="1" t="s">
        <v>30</v>
      </c>
      <c r="P315" s="1" t="s">
        <v>1758</v>
      </c>
      <c r="Q315" s="1" t="s">
        <v>1749</v>
      </c>
      <c r="R315" s="1" t="s">
        <v>1750</v>
      </c>
      <c r="S315" s="1" t="s">
        <v>1244</v>
      </c>
      <c r="T315" s="14">
        <v>47727</v>
      </c>
      <c r="U315" s="1" t="s">
        <v>1759</v>
      </c>
      <c r="V315" s="1" t="s">
        <v>36</v>
      </c>
      <c r="W315" s="3" t="str">
        <f t="shared" si="4"/>
        <v>52 tahun</v>
      </c>
      <c r="X315" s="1" t="s">
        <v>248</v>
      </c>
      <c r="Y315" s="1" t="s">
        <v>56</v>
      </c>
      <c r="Z315" s="2">
        <v>38718</v>
      </c>
      <c r="AA315" s="2">
        <v>41030</v>
      </c>
      <c r="AB315" s="2" t="s">
        <v>1760</v>
      </c>
    </row>
    <row r="316" spans="1:28" x14ac:dyDescent="0.35">
      <c r="A316" s="12">
        <v>5935</v>
      </c>
      <c r="B316" s="12">
        <v>8712101</v>
      </c>
      <c r="C316" s="12" t="s">
        <v>103</v>
      </c>
      <c r="D316" s="12">
        <v>50071163</v>
      </c>
      <c r="E316" s="1" t="s">
        <v>1761</v>
      </c>
      <c r="F316" s="1" t="str">
        <f>VLOOKUP(A316,[1]Sheet1!$A$2:$E$1141,5,0)</f>
        <v>E Tech of AFR &amp; 3rd Material (shift)</v>
      </c>
      <c r="G316" s="17" t="str">
        <f>VLOOKUP(A316,[1]Sheet1!$A$2:$F$1141,6,0)</f>
        <v>Associate</v>
      </c>
      <c r="H316" s="1" t="s">
        <v>1240</v>
      </c>
      <c r="I316" s="1" t="s">
        <v>1117</v>
      </c>
      <c r="J316" s="1" t="str">
        <f>VLOOKUP(A316,[1]Sheet1!$A$2:$H$1141,8,0)</f>
        <v>Dept. of Production Planning &amp; Control</v>
      </c>
      <c r="K316" s="1" t="str">
        <f>VLOOKUP(A316,[1]Sheet1!$A$2:$I$1141,9,0)</f>
        <v>Unit of AFR &amp; Energy</v>
      </c>
      <c r="L316" s="1" t="str">
        <f>VLOOKUP(A316,[1]Sheet1!$A$2:$J$1141,10,0)</f>
        <v>Section of AFR &amp; 3rd Material</v>
      </c>
      <c r="M316" s="2">
        <v>32053</v>
      </c>
      <c r="N316" s="1" t="s">
        <v>29</v>
      </c>
      <c r="O316" s="1" t="s">
        <v>30</v>
      </c>
      <c r="P316" s="1" t="s">
        <v>1762</v>
      </c>
      <c r="Q316" s="1" t="s">
        <v>1749</v>
      </c>
      <c r="R316" s="1" t="s">
        <v>1750</v>
      </c>
      <c r="S316" s="1" t="s">
        <v>1244</v>
      </c>
      <c r="T316" s="14">
        <v>52536</v>
      </c>
      <c r="U316" s="1" t="s">
        <v>1763</v>
      </c>
      <c r="V316" s="1" t="s">
        <v>36</v>
      </c>
      <c r="W316" s="3" t="str">
        <f t="shared" si="4"/>
        <v>38 tahun</v>
      </c>
      <c r="X316" s="1" t="s">
        <v>112</v>
      </c>
      <c r="Y316" s="1" t="s">
        <v>48</v>
      </c>
      <c r="Z316" s="2">
        <v>41275</v>
      </c>
      <c r="AA316" s="2">
        <v>41395</v>
      </c>
      <c r="AB316" s="2" t="s">
        <v>1764</v>
      </c>
    </row>
    <row r="317" spans="1:28" x14ac:dyDescent="0.35">
      <c r="A317" s="12">
        <v>5182</v>
      </c>
      <c r="B317" s="12">
        <v>7695134</v>
      </c>
      <c r="C317" s="12" t="s">
        <v>50</v>
      </c>
      <c r="D317" s="12">
        <v>50065641</v>
      </c>
      <c r="E317" s="16" t="s">
        <v>1765</v>
      </c>
      <c r="F317" s="1" t="str">
        <f>VLOOKUP(A317,[1]Sheet1!$A$2:$E$1141,5,0)</f>
        <v>AFR Officer</v>
      </c>
      <c r="G317" s="16" t="str">
        <f>VLOOKUP(A317,[1]Sheet1!$A$2:$F$1141,6,0)</f>
        <v>Manager</v>
      </c>
      <c r="H317" s="1" t="s">
        <v>1240</v>
      </c>
      <c r="I317" s="1" t="s">
        <v>1117</v>
      </c>
      <c r="J317" s="1" t="str">
        <f>VLOOKUP(A317,[1]Sheet1!$A$2:$H$1141,8,0)</f>
        <v>Dept. of Production Planning &amp; Control</v>
      </c>
      <c r="K317" s="1" t="str">
        <f>VLOOKUP(A317,[1]Sheet1!$A$2:$I$1141,9,0)</f>
        <v>Unit of AFR &amp; Energy</v>
      </c>
      <c r="L317" s="1" t="str">
        <f>VLOOKUP(A317,[1]Sheet1!$A$2:$J$1141,10,0)</f>
        <v>Staff of AFR</v>
      </c>
      <c r="M317" s="2">
        <v>27777</v>
      </c>
      <c r="N317" s="1" t="s">
        <v>29</v>
      </c>
      <c r="O317" s="1" t="s">
        <v>30</v>
      </c>
      <c r="P317" s="1" t="s">
        <v>1766</v>
      </c>
      <c r="Q317" s="1" t="s">
        <v>1767</v>
      </c>
      <c r="R317" s="1" t="s">
        <v>1768</v>
      </c>
      <c r="S317" s="1" t="s">
        <v>1244</v>
      </c>
      <c r="T317" s="14">
        <v>48245</v>
      </c>
      <c r="U317" s="1" t="s">
        <v>1769</v>
      </c>
      <c r="V317" s="1" t="s">
        <v>36</v>
      </c>
      <c r="W317" s="3" t="str">
        <f t="shared" si="4"/>
        <v>50 tahun</v>
      </c>
      <c r="X317" s="1" t="s">
        <v>55</v>
      </c>
      <c r="Y317" s="1" t="s">
        <v>56</v>
      </c>
      <c r="Z317" s="2">
        <v>34932</v>
      </c>
      <c r="AA317" s="2">
        <v>35309</v>
      </c>
      <c r="AB317" s="2" t="s">
        <v>1770</v>
      </c>
    </row>
    <row r="318" spans="1:28" x14ac:dyDescent="0.35">
      <c r="A318" s="12">
        <v>5388</v>
      </c>
      <c r="B318" s="12">
        <v>8710050</v>
      </c>
      <c r="C318" s="12" t="s">
        <v>139</v>
      </c>
      <c r="D318" s="12">
        <v>50066012</v>
      </c>
      <c r="E318" s="16" t="s">
        <v>1771</v>
      </c>
      <c r="F318" s="1" t="str">
        <f>VLOOKUP(A318,[1]Sheet1!$A$2:$E$1141,5,0)</f>
        <v>AFR Officer</v>
      </c>
      <c r="G318" s="16" t="str">
        <f>VLOOKUP(A318,[1]Sheet1!$A$2:$F$1141,6,0)</f>
        <v>Manager</v>
      </c>
      <c r="H318" s="1" t="s">
        <v>1240</v>
      </c>
      <c r="I318" s="1" t="s">
        <v>1117</v>
      </c>
      <c r="J318" s="1" t="str">
        <f>VLOOKUP(A318,[1]Sheet1!$A$2:$H$1141,8,0)</f>
        <v>Dept. of Production Planning &amp; Control</v>
      </c>
      <c r="K318" s="1" t="str">
        <f>VLOOKUP(A318,[1]Sheet1!$A$2:$I$1141,9,0)</f>
        <v>Unit of AFR &amp; Energy</v>
      </c>
      <c r="L318" s="1" t="str">
        <f>VLOOKUP(A318,[1]Sheet1!$A$2:$J$1141,10,0)</f>
        <v>Staff of AFR</v>
      </c>
      <c r="M318" s="2">
        <v>31801</v>
      </c>
      <c r="N318" s="1" t="s">
        <v>59</v>
      </c>
      <c r="O318" s="1" t="s">
        <v>30</v>
      </c>
      <c r="P318" s="1" t="s">
        <v>1772</v>
      </c>
      <c r="Q318" s="1" t="s">
        <v>1767</v>
      </c>
      <c r="R318" s="1" t="s">
        <v>1768</v>
      </c>
      <c r="S318" s="1" t="s">
        <v>1244</v>
      </c>
      <c r="T318" s="14">
        <v>52263</v>
      </c>
      <c r="U318" s="1" t="s">
        <v>1773</v>
      </c>
      <c r="V318" s="1" t="s">
        <v>36</v>
      </c>
      <c r="W318" s="3" t="str">
        <f t="shared" si="4"/>
        <v>39 tahun</v>
      </c>
      <c r="X318" s="1" t="s">
        <v>1774</v>
      </c>
      <c r="Y318" s="1" t="s">
        <v>68</v>
      </c>
      <c r="Z318" s="2">
        <v>40544</v>
      </c>
      <c r="AA318" s="2">
        <v>40664</v>
      </c>
      <c r="AB318" s="2" t="s">
        <v>1775</v>
      </c>
    </row>
    <row r="319" spans="1:28" x14ac:dyDescent="0.35">
      <c r="A319" s="12">
        <v>5299</v>
      </c>
      <c r="B319" s="12">
        <v>8408039</v>
      </c>
      <c r="C319" s="12" t="s">
        <v>25</v>
      </c>
      <c r="D319" s="12">
        <v>50007951</v>
      </c>
      <c r="E319" s="13" t="s">
        <v>1776</v>
      </c>
      <c r="F319" s="1" t="str">
        <f>VLOOKUP(A319,[1]Sheet1!$A$2:$E$1141,5,0)</f>
        <v>GM of Clinker &amp; Cement Production</v>
      </c>
      <c r="G319" s="13" t="str">
        <f>VLOOKUP(A319,[1]Sheet1!$A$2:$F$1141,6,0)</f>
        <v>General Manager</v>
      </c>
      <c r="H319" s="1" t="s">
        <v>1777</v>
      </c>
      <c r="I319" s="1" t="s">
        <v>1117</v>
      </c>
      <c r="J319" s="1" t="str">
        <f>VLOOKUP(A319,[1]Sheet1!$A$2:$H$1141,8,0)</f>
        <v>Dept. of Clinker &amp; Cement Production</v>
      </c>
      <c r="K319" s="1" t="e">
        <f>VLOOKUP(A319,[1]Sheet1!$A$2:$I$1141,9,0)</f>
        <v>#REF!</v>
      </c>
      <c r="L319" s="1" t="e">
        <f>VLOOKUP(A319,[1]Sheet1!$A$2:$J$1141,10,0)</f>
        <v>#REF!</v>
      </c>
      <c r="M319" s="2">
        <v>30685</v>
      </c>
      <c r="N319" s="1" t="s">
        <v>29</v>
      </c>
      <c r="O319" s="1" t="s">
        <v>30</v>
      </c>
      <c r="P319" s="1" t="s">
        <v>1778</v>
      </c>
      <c r="Q319" s="1" t="s">
        <v>1779</v>
      </c>
      <c r="R319" s="1" t="s">
        <v>1780</v>
      </c>
      <c r="S319" s="1" t="s">
        <v>1781</v>
      </c>
      <c r="T319" s="14">
        <v>51167</v>
      </c>
      <c r="U319" s="1" t="s">
        <v>1782</v>
      </c>
      <c r="V319" s="1" t="s">
        <v>36</v>
      </c>
      <c r="W319" s="3" t="str">
        <f t="shared" si="4"/>
        <v>42 tahun</v>
      </c>
      <c r="X319" s="1" t="s">
        <v>47</v>
      </c>
      <c r="Y319" s="1" t="s">
        <v>48</v>
      </c>
      <c r="Z319" s="2">
        <v>39814</v>
      </c>
      <c r="AA319" s="2">
        <v>39934</v>
      </c>
      <c r="AB319" s="2" t="s">
        <v>1783</v>
      </c>
    </row>
    <row r="320" spans="1:28" x14ac:dyDescent="0.35">
      <c r="A320" s="12">
        <v>5144</v>
      </c>
      <c r="B320" s="12">
        <v>7595128</v>
      </c>
      <c r="C320" s="12" t="s">
        <v>50</v>
      </c>
      <c r="D320" s="12">
        <v>50052850</v>
      </c>
      <c r="E320" s="15" t="s">
        <v>1784</v>
      </c>
      <c r="F320" s="1" t="str">
        <f>VLOOKUP(A320,[1]Sheet1!$A$2:$E$1141,5,0)</f>
        <v>SM of Derivative Product &amp; Supporting</v>
      </c>
      <c r="G320" s="15" t="str">
        <f>VLOOKUP(A320,[1]Sheet1!$A$2:$F$1141,6,0)</f>
        <v>Senior Manager</v>
      </c>
      <c r="H320" s="1" t="s">
        <v>1785</v>
      </c>
      <c r="I320" s="1" t="s">
        <v>1117</v>
      </c>
      <c r="J320" s="1" t="str">
        <f>VLOOKUP(A320,[1]Sheet1!$A$2:$H$1141,8,0)</f>
        <v>Dept. of Clinker &amp; Cement Production</v>
      </c>
      <c r="K320" s="1" t="str">
        <f>VLOOKUP(A320,[1]Sheet1!$A$2:$I$1141,9,0)</f>
        <v>Unit of Derivative Product  &amp; Supporting</v>
      </c>
      <c r="L320" s="1" t="e">
        <f>VLOOKUP(A320,[1]Sheet1!$A$2:$J$1141,10,0)</f>
        <v>#REF!</v>
      </c>
      <c r="M320" s="2">
        <v>27575</v>
      </c>
      <c r="N320" s="1" t="s">
        <v>29</v>
      </c>
      <c r="O320" s="1" t="s">
        <v>30</v>
      </c>
      <c r="P320" s="1" t="s">
        <v>1786</v>
      </c>
      <c r="Q320" s="1" t="s">
        <v>1787</v>
      </c>
      <c r="R320" s="1" t="s">
        <v>1788</v>
      </c>
      <c r="S320" s="1" t="s">
        <v>1789</v>
      </c>
      <c r="T320" s="14">
        <v>48030</v>
      </c>
      <c r="U320" s="1" t="s">
        <v>1790</v>
      </c>
      <c r="V320" s="1" t="s">
        <v>36</v>
      </c>
      <c r="W320" s="3" t="str">
        <f t="shared" si="4"/>
        <v>51 tahun</v>
      </c>
      <c r="X320" s="1" t="s">
        <v>55</v>
      </c>
      <c r="Y320" s="1" t="s">
        <v>48</v>
      </c>
      <c r="Z320" s="2">
        <v>34932</v>
      </c>
      <c r="AA320" s="2">
        <v>35309</v>
      </c>
      <c r="AB320" s="2" t="s">
        <v>84</v>
      </c>
    </row>
    <row r="321" spans="1:28" x14ac:dyDescent="0.35">
      <c r="A321" s="12">
        <v>5025</v>
      </c>
      <c r="B321" s="12">
        <v>7495221</v>
      </c>
      <c r="C321" s="12" t="s">
        <v>50</v>
      </c>
      <c r="D321" s="12">
        <v>50069321</v>
      </c>
      <c r="E321" s="16" t="s">
        <v>1791</v>
      </c>
      <c r="F321" s="1" t="str">
        <f>VLOOKUP(A321,[1]Sheet1!$A$2:$E$1141,5,0)</f>
        <v>Mgr of Product Contract Compliance &amp; SLA</v>
      </c>
      <c r="G321" s="16" t="str">
        <f>VLOOKUP(A321,[1]Sheet1!$A$2:$F$1141,6,0)</f>
        <v>Manager</v>
      </c>
      <c r="H321" s="1" t="s">
        <v>1792</v>
      </c>
      <c r="I321" s="1" t="s">
        <v>1117</v>
      </c>
      <c r="J321" s="1" t="str">
        <f>VLOOKUP(A321,[1]Sheet1!$A$2:$H$1141,8,0)</f>
        <v>Dept. of Clinker &amp; Cement Production</v>
      </c>
      <c r="K321" s="1" t="str">
        <f>VLOOKUP(A321,[1]Sheet1!$A$2:$I$1141,9,0)</f>
        <v>Unit of Derivative Product  &amp; Supporting</v>
      </c>
      <c r="L321" s="1" t="str">
        <f>VLOOKUP(A321,[1]Sheet1!$A$2:$J$1141,10,0)</f>
        <v>Section of Product Ctr. Compliance &amp; SLA</v>
      </c>
      <c r="M321" s="2">
        <v>27212</v>
      </c>
      <c r="N321" s="1" t="s">
        <v>29</v>
      </c>
      <c r="O321" s="1" t="s">
        <v>30</v>
      </c>
      <c r="P321" s="1" t="s">
        <v>1793</v>
      </c>
      <c r="Q321" s="1" t="s">
        <v>1794</v>
      </c>
      <c r="R321" s="1" t="s">
        <v>1795</v>
      </c>
      <c r="S321" s="1" t="s">
        <v>1796</v>
      </c>
      <c r="T321" s="14">
        <v>47696</v>
      </c>
      <c r="U321" s="1" t="s">
        <v>1797</v>
      </c>
      <c r="V321" s="1" t="s">
        <v>36</v>
      </c>
      <c r="W321" s="3" t="str">
        <f t="shared" si="4"/>
        <v>52 tahun</v>
      </c>
      <c r="X321" s="1" t="s">
        <v>356</v>
      </c>
      <c r="Y321" s="1" t="s">
        <v>48</v>
      </c>
      <c r="Z321" s="2">
        <v>35002</v>
      </c>
      <c r="AA321" s="2">
        <v>35370</v>
      </c>
      <c r="AB321" s="2" t="s">
        <v>84</v>
      </c>
    </row>
    <row r="322" spans="1:28" x14ac:dyDescent="0.35">
      <c r="A322" s="12">
        <v>5205</v>
      </c>
      <c r="B322" s="12">
        <v>7602281</v>
      </c>
      <c r="C322" s="12" t="s">
        <v>164</v>
      </c>
      <c r="D322" s="12">
        <v>50069324</v>
      </c>
      <c r="E322" s="1" t="s">
        <v>1798</v>
      </c>
      <c r="F322" s="1" t="str">
        <f>VLOOKUP(A322,[1]Sheet1!$A$2:$E$1141,5,0)</f>
        <v>Spv of Clinker &amp; Cement Supporting</v>
      </c>
      <c r="G322" s="17" t="str">
        <f>VLOOKUP(A322,[1]Sheet1!$A$2:$F$1141,6,0)</f>
        <v>Supervisor</v>
      </c>
      <c r="H322" s="1" t="s">
        <v>1792</v>
      </c>
      <c r="I322" s="1" t="s">
        <v>1117</v>
      </c>
      <c r="J322" s="1" t="str">
        <f>VLOOKUP(A322,[1]Sheet1!$A$2:$H$1141,8,0)</f>
        <v>Dept. of Clinker &amp; Cement Production</v>
      </c>
      <c r="K322" s="1" t="str">
        <f>VLOOKUP(A322,[1]Sheet1!$A$2:$I$1141,9,0)</f>
        <v>Unit of Derivative Product  &amp; Supporting</v>
      </c>
      <c r="L322" s="1" t="str">
        <f>VLOOKUP(A322,[1]Sheet1!$A$2:$J$1141,10,0)</f>
        <v>Section of Product Ctr. Compliance &amp; SLA</v>
      </c>
      <c r="M322" s="2">
        <v>27948</v>
      </c>
      <c r="N322" s="1" t="s">
        <v>29</v>
      </c>
      <c r="O322" s="1" t="s">
        <v>30</v>
      </c>
      <c r="P322" s="1" t="s">
        <v>1799</v>
      </c>
      <c r="Q322" s="1" t="s">
        <v>1800</v>
      </c>
      <c r="R322" s="1" t="s">
        <v>1801</v>
      </c>
      <c r="S322" s="1" t="s">
        <v>1796</v>
      </c>
      <c r="T322" s="14">
        <v>48427</v>
      </c>
      <c r="U322" s="1" t="s">
        <v>1802</v>
      </c>
      <c r="V322" s="1" t="s">
        <v>36</v>
      </c>
      <c r="W322" s="3" t="str">
        <f t="shared" si="4"/>
        <v>50 tahun</v>
      </c>
      <c r="X322" s="1" t="s">
        <v>37</v>
      </c>
      <c r="Y322" s="1" t="s">
        <v>56</v>
      </c>
      <c r="Z322" s="2">
        <v>37469</v>
      </c>
      <c r="AA322" s="2">
        <v>38718</v>
      </c>
      <c r="AB322" s="2" t="s">
        <v>1803</v>
      </c>
    </row>
    <row r="323" spans="1:28" x14ac:dyDescent="0.35">
      <c r="A323" s="12">
        <v>6050</v>
      </c>
      <c r="B323" s="12">
        <v>8912218</v>
      </c>
      <c r="C323" s="12" t="s">
        <v>103</v>
      </c>
      <c r="D323" s="12">
        <v>50069350</v>
      </c>
      <c r="E323" s="1" t="s">
        <v>1804</v>
      </c>
      <c r="F323" s="1" t="str">
        <f>VLOOKUP(A323,[1]Sheet1!$A$2:$E$1141,5,0)</f>
        <v>Spv of Clinker &amp; SLA Management</v>
      </c>
      <c r="G323" s="17" t="str">
        <f>VLOOKUP(A323,[1]Sheet1!$A$2:$F$1141,6,0)</f>
        <v>Supervisor</v>
      </c>
      <c r="H323" s="1" t="s">
        <v>1792</v>
      </c>
      <c r="I323" s="1" t="s">
        <v>1117</v>
      </c>
      <c r="J323" s="1" t="str">
        <f>VLOOKUP(A323,[1]Sheet1!$A$2:$H$1141,8,0)</f>
        <v>Dept. of Clinker &amp; Cement Production</v>
      </c>
      <c r="K323" s="1" t="str">
        <f>VLOOKUP(A323,[1]Sheet1!$A$2:$I$1141,9,0)</f>
        <v>Unit of Derivative Product  &amp; Supporting</v>
      </c>
      <c r="L323" s="1" t="str">
        <f>VLOOKUP(A323,[1]Sheet1!$A$2:$J$1141,10,0)</f>
        <v>Section of Product Ctr. Compliance &amp; SLA</v>
      </c>
      <c r="M323" s="2">
        <v>32778</v>
      </c>
      <c r="N323" s="1" t="s">
        <v>29</v>
      </c>
      <c r="O323" s="1" t="s">
        <v>30</v>
      </c>
      <c r="P323" s="1" t="s">
        <v>1805</v>
      </c>
      <c r="Q323" s="1" t="s">
        <v>1806</v>
      </c>
      <c r="R323" s="1" t="s">
        <v>1807</v>
      </c>
      <c r="S323" s="1" t="s">
        <v>1796</v>
      </c>
      <c r="T323" s="14">
        <v>53236</v>
      </c>
      <c r="U323" s="1" t="s">
        <v>1808</v>
      </c>
      <c r="V323" s="1" t="s">
        <v>36</v>
      </c>
      <c r="W323" s="3" t="str">
        <f t="shared" ref="W323:W386" si="5">DATEDIF(M323,$W$1,"Y")&amp;" "&amp;"tahun"</f>
        <v>36 tahun</v>
      </c>
      <c r="X323" s="1" t="s">
        <v>55</v>
      </c>
      <c r="Y323" s="1" t="s">
        <v>56</v>
      </c>
      <c r="Z323" s="2">
        <v>41275</v>
      </c>
      <c r="AA323" s="2">
        <v>41395</v>
      </c>
      <c r="AB323" s="2" t="s">
        <v>1809</v>
      </c>
    </row>
    <row r="324" spans="1:28" x14ac:dyDescent="0.35">
      <c r="A324" s="12">
        <v>5133</v>
      </c>
      <c r="B324" s="12">
        <v>7595125</v>
      </c>
      <c r="C324" s="12" t="s">
        <v>50</v>
      </c>
      <c r="D324" s="12">
        <v>50052838</v>
      </c>
      <c r="E324" s="16" t="s">
        <v>1810</v>
      </c>
      <c r="F324" s="1" t="str">
        <f>VLOOKUP(A324,[1]Sheet1!$A$2:$E$1141,5,0)</f>
        <v>Mgr of Derivative Prod. &amp; Operation 2/3</v>
      </c>
      <c r="G324" s="16" t="str">
        <f>VLOOKUP(A324,[1]Sheet1!$A$2:$F$1141,6,0)</f>
        <v>Manager</v>
      </c>
      <c r="H324" s="1" t="s">
        <v>1811</v>
      </c>
      <c r="I324" s="1" t="s">
        <v>1117</v>
      </c>
      <c r="J324" s="1" t="str">
        <f>VLOOKUP(A324,[1]Sheet1!$A$2:$H$1141,8,0)</f>
        <v>Dept. of Clinker &amp; Cement Production</v>
      </c>
      <c r="K324" s="1" t="str">
        <f>VLOOKUP(A324,[1]Sheet1!$A$2:$I$1141,9,0)</f>
        <v>Unit of Derivative Product  &amp; Supporting</v>
      </c>
      <c r="L324" s="1" t="str">
        <f>VLOOKUP(A324,[1]Sheet1!$A$2:$J$1141,10,0)</f>
        <v>Section of Derivative Prod. &amp; Opr. 2/3</v>
      </c>
      <c r="M324" s="2">
        <v>27516</v>
      </c>
      <c r="N324" s="1" t="s">
        <v>29</v>
      </c>
      <c r="O324" s="1" t="s">
        <v>30</v>
      </c>
      <c r="P324" s="1" t="s">
        <v>1812</v>
      </c>
      <c r="Q324" s="1" t="s">
        <v>1813</v>
      </c>
      <c r="R324" s="1" t="s">
        <v>1814</v>
      </c>
      <c r="S324" s="1" t="s">
        <v>1815</v>
      </c>
      <c r="T324" s="14">
        <v>48000</v>
      </c>
      <c r="U324" s="1" t="s">
        <v>1816</v>
      </c>
      <c r="V324" s="1" t="s">
        <v>36</v>
      </c>
      <c r="W324" s="3" t="str">
        <f t="shared" si="5"/>
        <v>51 tahun</v>
      </c>
      <c r="X324" s="1" t="s">
        <v>356</v>
      </c>
      <c r="Y324" s="1" t="s">
        <v>48</v>
      </c>
      <c r="Z324" s="2">
        <v>34932</v>
      </c>
      <c r="AA324" s="2">
        <v>35309</v>
      </c>
      <c r="AB324" s="2" t="s">
        <v>1817</v>
      </c>
    </row>
    <row r="325" spans="1:28" x14ac:dyDescent="0.35">
      <c r="A325" s="12">
        <v>4736</v>
      </c>
      <c r="B325" s="12">
        <v>7002143</v>
      </c>
      <c r="C325" s="12" t="s">
        <v>164</v>
      </c>
      <c r="D325" s="12">
        <v>50053080</v>
      </c>
      <c r="E325" s="1" t="s">
        <v>1818</v>
      </c>
      <c r="F325" s="1" t="str">
        <f>VLOOKUP(A325,[1]Sheet1!$A$2:$E$1141,5,0)</f>
        <v>2/3 CCR RKC Jr Officer (Shift)</v>
      </c>
      <c r="G325" s="17" t="str">
        <f>VLOOKUP(A325,[1]Sheet1!$A$2:$F$1141,6,0)</f>
        <v>Supervisor</v>
      </c>
      <c r="H325" s="1" t="s">
        <v>1811</v>
      </c>
      <c r="I325" s="1" t="s">
        <v>1117</v>
      </c>
      <c r="J325" s="1" t="str">
        <f>VLOOKUP(A325,[1]Sheet1!$A$2:$H$1141,8,0)</f>
        <v>Dept. of Clinker &amp; Cement Production</v>
      </c>
      <c r="K325" s="1" t="str">
        <f>VLOOKUP(A325,[1]Sheet1!$A$2:$I$1141,9,0)</f>
        <v>Unit of Derivative Product  &amp; Supporting</v>
      </c>
      <c r="L325" s="1" t="str">
        <f>VLOOKUP(A325,[1]Sheet1!$A$2:$J$1141,10,0)</f>
        <v>Section of Derivative Prod. &amp; Opr. 2/3</v>
      </c>
      <c r="M325" s="2">
        <v>25847</v>
      </c>
      <c r="N325" s="1" t="s">
        <v>29</v>
      </c>
      <c r="O325" s="1" t="s">
        <v>30</v>
      </c>
      <c r="P325" s="1" t="s">
        <v>1819</v>
      </c>
      <c r="Q325" s="1" t="s">
        <v>1820</v>
      </c>
      <c r="R325" s="1" t="s">
        <v>1821</v>
      </c>
      <c r="S325" s="1" t="s">
        <v>1815</v>
      </c>
      <c r="T325" s="14">
        <v>46327</v>
      </c>
      <c r="U325" s="1" t="s">
        <v>1822</v>
      </c>
      <c r="V325" s="1" t="s">
        <v>36</v>
      </c>
      <c r="W325" s="3" t="str">
        <f t="shared" si="5"/>
        <v>55 tahun</v>
      </c>
      <c r="X325" s="1" t="s">
        <v>1274</v>
      </c>
      <c r="Y325" s="1" t="s">
        <v>56</v>
      </c>
      <c r="Z325" s="2">
        <v>37469</v>
      </c>
      <c r="AA325" s="2">
        <v>38718</v>
      </c>
      <c r="AB325" s="2" t="s">
        <v>1823</v>
      </c>
    </row>
    <row r="326" spans="1:28" x14ac:dyDescent="0.35">
      <c r="A326" s="12">
        <v>4752</v>
      </c>
      <c r="B326" s="12">
        <v>7102153</v>
      </c>
      <c r="C326" s="12" t="s">
        <v>164</v>
      </c>
      <c r="D326" s="12">
        <v>50052870</v>
      </c>
      <c r="E326" s="1" t="s">
        <v>673</v>
      </c>
      <c r="F326" s="1" t="str">
        <f>VLOOKUP(A326,[1]Sheet1!$A$2:$E$1141,5,0)</f>
        <v>Spv of Line 2/3 RM Field (Shift)</v>
      </c>
      <c r="G326" s="17" t="str">
        <f>VLOOKUP(A326,[1]Sheet1!$A$2:$F$1141,6,0)</f>
        <v>Supervisor</v>
      </c>
      <c r="H326" s="1" t="s">
        <v>1811</v>
      </c>
      <c r="I326" s="1" t="s">
        <v>1117</v>
      </c>
      <c r="J326" s="1" t="str">
        <f>VLOOKUP(A326,[1]Sheet1!$A$2:$H$1141,8,0)</f>
        <v>Dept. of Clinker &amp; Cement Production</v>
      </c>
      <c r="K326" s="1" t="str">
        <f>VLOOKUP(A326,[1]Sheet1!$A$2:$I$1141,9,0)</f>
        <v>Unit of Derivative Product  &amp; Supporting</v>
      </c>
      <c r="L326" s="1" t="str">
        <f>VLOOKUP(A326,[1]Sheet1!$A$2:$J$1141,10,0)</f>
        <v>Section of Derivative Prod. &amp; Opr. 2/3</v>
      </c>
      <c r="M326" s="2">
        <v>25967</v>
      </c>
      <c r="N326" s="1" t="s">
        <v>29</v>
      </c>
      <c r="O326" s="1" t="s">
        <v>30</v>
      </c>
      <c r="P326" s="1" t="s">
        <v>1824</v>
      </c>
      <c r="Q326" s="1" t="s">
        <v>1825</v>
      </c>
      <c r="R326" s="1" t="s">
        <v>1826</v>
      </c>
      <c r="S326" s="1" t="s">
        <v>1815</v>
      </c>
      <c r="T326" s="14">
        <v>46447</v>
      </c>
      <c r="U326" s="1" t="s">
        <v>1827</v>
      </c>
      <c r="V326" s="1" t="s">
        <v>36</v>
      </c>
      <c r="W326" s="3" t="str">
        <f t="shared" si="5"/>
        <v>55 tahun</v>
      </c>
      <c r="X326" s="1" t="s">
        <v>204</v>
      </c>
      <c r="Y326" s="1" t="s">
        <v>56</v>
      </c>
      <c r="Z326" s="2">
        <v>37469</v>
      </c>
      <c r="AA326" s="2">
        <v>38718</v>
      </c>
      <c r="AB326" s="2" t="s">
        <v>1828</v>
      </c>
    </row>
    <row r="327" spans="1:28" x14ac:dyDescent="0.35">
      <c r="A327" s="12">
        <v>4351</v>
      </c>
      <c r="B327" s="12">
        <v>7206257</v>
      </c>
      <c r="C327" s="12" t="s">
        <v>219</v>
      </c>
      <c r="D327" s="12">
        <v>50052873</v>
      </c>
      <c r="E327" s="1" t="s">
        <v>1829</v>
      </c>
      <c r="F327" s="1" t="str">
        <f>VLOOKUP(A327,[1]Sheet1!$A$2:$E$1141,5,0)</f>
        <v>E Tender Inlet Dryer (shift)</v>
      </c>
      <c r="G327" s="17" t="str">
        <f>VLOOKUP(A327,[1]Sheet1!$A$2:$F$1141,6,0)</f>
        <v>Associate</v>
      </c>
      <c r="H327" s="1" t="s">
        <v>1811</v>
      </c>
      <c r="I327" s="1" t="s">
        <v>1117</v>
      </c>
      <c r="J327" s="1" t="str">
        <f>VLOOKUP(A327,[1]Sheet1!$A$2:$H$1141,8,0)</f>
        <v>Dept. of Clinker &amp; Cement Production</v>
      </c>
      <c r="K327" s="1" t="str">
        <f>VLOOKUP(A327,[1]Sheet1!$A$2:$I$1141,9,0)</f>
        <v>Unit of Derivative Product  &amp; Supporting</v>
      </c>
      <c r="L327" s="1" t="str">
        <f>VLOOKUP(A327,[1]Sheet1!$A$2:$J$1141,10,0)</f>
        <v>Section of Derivative Prod. &amp; Opr. 2/3</v>
      </c>
      <c r="M327" s="2">
        <v>26452</v>
      </c>
      <c r="N327" s="1" t="s">
        <v>29</v>
      </c>
      <c r="O327" s="1" t="s">
        <v>30</v>
      </c>
      <c r="P327" s="1" t="s">
        <v>1830</v>
      </c>
      <c r="Q327" s="1" t="s">
        <v>1831</v>
      </c>
      <c r="R327" s="1" t="s">
        <v>1826</v>
      </c>
      <c r="S327" s="1" t="s">
        <v>1815</v>
      </c>
      <c r="T327" s="14">
        <v>46935</v>
      </c>
      <c r="U327" s="1" t="s">
        <v>1832</v>
      </c>
      <c r="V327" s="1" t="s">
        <v>36</v>
      </c>
      <c r="W327" s="3" t="str">
        <f t="shared" si="5"/>
        <v>54 tahun</v>
      </c>
      <c r="X327" s="1" t="s">
        <v>96</v>
      </c>
      <c r="Y327" s="1" t="s">
        <v>56</v>
      </c>
      <c r="Z327" s="2">
        <v>38718</v>
      </c>
      <c r="AA327" s="2">
        <v>41030</v>
      </c>
      <c r="AB327" s="2" t="s">
        <v>1833</v>
      </c>
    </row>
    <row r="328" spans="1:28" x14ac:dyDescent="0.35">
      <c r="A328" s="12">
        <v>4889</v>
      </c>
      <c r="B328" s="12">
        <v>7295154</v>
      </c>
      <c r="C328" s="12" t="s">
        <v>50</v>
      </c>
      <c r="D328" s="12">
        <v>50052866</v>
      </c>
      <c r="E328" s="1" t="s">
        <v>1834</v>
      </c>
      <c r="F328" s="1" t="str">
        <f>VLOOKUP(A328,[1]Sheet1!$A$2:$E$1141,5,0)</f>
        <v>Tender Mill 2 &amp; Separator</v>
      </c>
      <c r="G328" s="17" t="str">
        <f>VLOOKUP(A328,[1]Sheet1!$A$2:$F$1141,6,0)</f>
        <v>Associate</v>
      </c>
      <c r="H328" s="1" t="s">
        <v>1811</v>
      </c>
      <c r="I328" s="1" t="s">
        <v>1117</v>
      </c>
      <c r="J328" s="1" t="str">
        <f>VLOOKUP(A328,[1]Sheet1!$A$2:$H$1141,8,0)</f>
        <v>Dept. of Clinker &amp; Cement Production</v>
      </c>
      <c r="K328" s="1" t="str">
        <f>VLOOKUP(A328,[1]Sheet1!$A$2:$I$1141,9,0)</f>
        <v>Unit of Derivative Product  &amp; Supporting</v>
      </c>
      <c r="L328" s="1" t="str">
        <f>VLOOKUP(A328,[1]Sheet1!$A$2:$J$1141,10,0)</f>
        <v>Section of Derivative Prod. &amp; Opr. 2/3</v>
      </c>
      <c r="M328" s="2">
        <v>26658</v>
      </c>
      <c r="N328" s="1" t="s">
        <v>29</v>
      </c>
      <c r="O328" s="1" t="s">
        <v>30</v>
      </c>
      <c r="P328" s="1" t="s">
        <v>1835</v>
      </c>
      <c r="Q328" s="1" t="s">
        <v>1836</v>
      </c>
      <c r="R328" s="1" t="s">
        <v>1826</v>
      </c>
      <c r="S328" s="1" t="s">
        <v>1815</v>
      </c>
      <c r="T328" s="14">
        <v>47119</v>
      </c>
      <c r="U328" s="1" t="s">
        <v>1837</v>
      </c>
      <c r="V328" s="1" t="s">
        <v>36</v>
      </c>
      <c r="W328" s="3" t="str">
        <f t="shared" si="5"/>
        <v>53 tahun</v>
      </c>
      <c r="X328" s="1" t="s">
        <v>96</v>
      </c>
      <c r="Y328" s="1" t="s">
        <v>56</v>
      </c>
      <c r="Z328" s="2">
        <v>34943</v>
      </c>
      <c r="AA328" s="2">
        <v>35490</v>
      </c>
      <c r="AB328" s="2" t="s">
        <v>1838</v>
      </c>
    </row>
    <row r="329" spans="1:28" x14ac:dyDescent="0.35">
      <c r="A329" s="12">
        <v>5128</v>
      </c>
      <c r="B329" s="12">
        <v>7606520</v>
      </c>
      <c r="C329" s="12" t="s">
        <v>219</v>
      </c>
      <c r="D329" s="12">
        <v>50052867</v>
      </c>
      <c r="E329" s="1" t="s">
        <v>1839</v>
      </c>
      <c r="F329" s="1" t="str">
        <f>VLOOKUP(A329,[1]Sheet1!$A$2:$E$1141,5,0)</f>
        <v>E Tender Inlet Dryer (shift)</v>
      </c>
      <c r="G329" s="17" t="str">
        <f>VLOOKUP(A329,[1]Sheet1!$A$2:$F$1141,6,0)</f>
        <v>Associate</v>
      </c>
      <c r="H329" s="1" t="s">
        <v>1811</v>
      </c>
      <c r="I329" s="1" t="s">
        <v>1117</v>
      </c>
      <c r="J329" s="1" t="str">
        <f>VLOOKUP(A329,[1]Sheet1!$A$2:$H$1141,8,0)</f>
        <v>Dept. of Clinker &amp; Cement Production</v>
      </c>
      <c r="K329" s="1" t="str">
        <f>VLOOKUP(A329,[1]Sheet1!$A$2:$I$1141,9,0)</f>
        <v>Unit of Derivative Product  &amp; Supporting</v>
      </c>
      <c r="L329" s="1" t="str">
        <f>VLOOKUP(A329,[1]Sheet1!$A$2:$J$1141,10,0)</f>
        <v>Section of Derivative Prod. &amp; Opr. 2/3</v>
      </c>
      <c r="M329" s="2">
        <v>27864</v>
      </c>
      <c r="N329" s="1" t="s">
        <v>29</v>
      </c>
      <c r="O329" s="1" t="s">
        <v>30</v>
      </c>
      <c r="P329" s="1" t="s">
        <v>1840</v>
      </c>
      <c r="Q329" s="1" t="s">
        <v>1836</v>
      </c>
      <c r="R329" s="1" t="s">
        <v>1826</v>
      </c>
      <c r="S329" s="1" t="s">
        <v>1815</v>
      </c>
      <c r="T329" s="14">
        <v>48335</v>
      </c>
      <c r="U329" s="1" t="s">
        <v>1841</v>
      </c>
      <c r="V329" s="1" t="s">
        <v>36</v>
      </c>
      <c r="W329" s="3" t="str">
        <f t="shared" si="5"/>
        <v>50 tahun</v>
      </c>
      <c r="X329" s="1" t="s">
        <v>1151</v>
      </c>
      <c r="Y329" s="1" t="s">
        <v>56</v>
      </c>
      <c r="Z329" s="2">
        <v>38718</v>
      </c>
      <c r="AA329" s="2">
        <v>41030</v>
      </c>
      <c r="AB329" s="2" t="s">
        <v>84</v>
      </c>
    </row>
    <row r="330" spans="1:28" x14ac:dyDescent="0.35">
      <c r="A330" s="12">
        <v>5900</v>
      </c>
      <c r="B330" s="12">
        <v>8712067</v>
      </c>
      <c r="C330" s="12" t="s">
        <v>103</v>
      </c>
      <c r="D330" s="12">
        <v>50061405</v>
      </c>
      <c r="E330" s="1" t="s">
        <v>1842</v>
      </c>
      <c r="F330" s="1" t="str">
        <f>VLOOKUP(A330,[1]Sheet1!$A$2:$E$1141,5,0)</f>
        <v>Assc of Line 2/3 RKC Autonomous</v>
      </c>
      <c r="G330" s="17" t="str">
        <f>VLOOKUP(A330,[1]Sheet1!$A$2:$F$1141,6,0)</f>
        <v>Associate</v>
      </c>
      <c r="H330" s="1" t="s">
        <v>1811</v>
      </c>
      <c r="I330" s="1" t="s">
        <v>1117</v>
      </c>
      <c r="J330" s="1" t="str">
        <f>VLOOKUP(A330,[1]Sheet1!$A$2:$H$1141,8,0)</f>
        <v>Dept. of Clinker &amp; Cement Production</v>
      </c>
      <c r="K330" s="1" t="str">
        <f>VLOOKUP(A330,[1]Sheet1!$A$2:$I$1141,9,0)</f>
        <v>Unit of Derivative Product  &amp; Supporting</v>
      </c>
      <c r="L330" s="1" t="str">
        <f>VLOOKUP(A330,[1]Sheet1!$A$2:$J$1141,10,0)</f>
        <v>Section of Derivative Prod. &amp; Opr. 2/3</v>
      </c>
      <c r="M330" s="2">
        <v>31786</v>
      </c>
      <c r="N330" s="1" t="s">
        <v>29</v>
      </c>
      <c r="O330" s="1" t="s">
        <v>30</v>
      </c>
      <c r="P330" s="1" t="s">
        <v>1843</v>
      </c>
      <c r="Q330" s="1" t="s">
        <v>1844</v>
      </c>
      <c r="R330" s="1" t="s">
        <v>1845</v>
      </c>
      <c r="S330" s="1" t="s">
        <v>1815</v>
      </c>
      <c r="T330" s="14">
        <v>52263</v>
      </c>
      <c r="U330" s="1" t="s">
        <v>1846</v>
      </c>
      <c r="V330" s="1" t="s">
        <v>36</v>
      </c>
      <c r="W330" s="3" t="str">
        <f t="shared" si="5"/>
        <v>39 tahun</v>
      </c>
      <c r="X330" s="1" t="s">
        <v>55</v>
      </c>
      <c r="Y330" s="1" t="s">
        <v>56</v>
      </c>
      <c r="Z330" s="2">
        <v>41275</v>
      </c>
      <c r="AA330" s="2">
        <v>41426</v>
      </c>
      <c r="AB330" s="2" t="s">
        <v>1847</v>
      </c>
    </row>
    <row r="331" spans="1:28" x14ac:dyDescent="0.35">
      <c r="A331" s="12">
        <v>5142</v>
      </c>
      <c r="B331" s="12">
        <v>7595027</v>
      </c>
      <c r="C331" s="12" t="s">
        <v>50</v>
      </c>
      <c r="D331" s="12">
        <v>50069308</v>
      </c>
      <c r="E331" s="1" t="s">
        <v>1848</v>
      </c>
      <c r="F331" s="1" t="str">
        <f>VLOOKUP(A331,[1]Sheet1!$A$2:$E$1141,5,0)</f>
        <v>Spv of Operation RKC 2/3</v>
      </c>
      <c r="G331" s="17" t="str">
        <f>VLOOKUP(A331,[1]Sheet1!$A$2:$F$1141,6,0)</f>
        <v>Supervisor</v>
      </c>
      <c r="H331" s="1" t="s">
        <v>1811</v>
      </c>
      <c r="I331" s="1" t="s">
        <v>1117</v>
      </c>
      <c r="J331" s="1" t="str">
        <f>VLOOKUP(A331,[1]Sheet1!$A$2:$H$1141,8,0)</f>
        <v>Dept. of Clinker &amp; Cement Production</v>
      </c>
      <c r="K331" s="1" t="str">
        <f>VLOOKUP(A331,[1]Sheet1!$A$2:$I$1141,9,0)</f>
        <v>Unit of Derivative Product  &amp; Supporting</v>
      </c>
      <c r="L331" s="1" t="str">
        <f>VLOOKUP(A331,[1]Sheet1!$A$2:$J$1141,10,0)</f>
        <v>Section of Derivative Prod. &amp; Opr. 2/3</v>
      </c>
      <c r="M331" s="2">
        <v>27547</v>
      </c>
      <c r="N331" s="1" t="s">
        <v>29</v>
      </c>
      <c r="O331" s="1" t="s">
        <v>30</v>
      </c>
      <c r="P331" s="1" t="s">
        <v>1849</v>
      </c>
      <c r="Q331" s="1" t="s">
        <v>1850</v>
      </c>
      <c r="R331" s="1" t="s">
        <v>1851</v>
      </c>
      <c r="S331" s="1" t="s">
        <v>1815</v>
      </c>
      <c r="T331" s="14">
        <v>48030</v>
      </c>
      <c r="U331" s="1" t="s">
        <v>1852</v>
      </c>
      <c r="V331" s="1" t="s">
        <v>36</v>
      </c>
      <c r="W331" s="3" t="str">
        <f t="shared" si="5"/>
        <v>51 tahun</v>
      </c>
      <c r="X331" s="1" t="s">
        <v>96</v>
      </c>
      <c r="Y331" s="1" t="s">
        <v>56</v>
      </c>
      <c r="Z331" s="2">
        <v>34897</v>
      </c>
      <c r="AA331" s="2">
        <v>35278</v>
      </c>
      <c r="AB331" s="2" t="s">
        <v>84</v>
      </c>
    </row>
    <row r="332" spans="1:28" x14ac:dyDescent="0.35">
      <c r="A332" s="12">
        <v>5020</v>
      </c>
      <c r="B332" s="12">
        <v>7495108</v>
      </c>
      <c r="C332" s="12" t="s">
        <v>50</v>
      </c>
      <c r="D332" s="12">
        <v>50069311</v>
      </c>
      <c r="E332" s="1" t="s">
        <v>1853</v>
      </c>
      <c r="F332" s="1" t="str">
        <f>VLOOKUP(A332,[1]Sheet1!$A$2:$E$1141,5,0)</f>
        <v>Spv of Operation RKC 2/3</v>
      </c>
      <c r="G332" s="17" t="str">
        <f>VLOOKUP(A332,[1]Sheet1!$A$2:$F$1141,6,0)</f>
        <v>Supervisor</v>
      </c>
      <c r="H332" s="1" t="s">
        <v>1811</v>
      </c>
      <c r="I332" s="1" t="s">
        <v>1117</v>
      </c>
      <c r="J332" s="1" t="str">
        <f>VLOOKUP(A332,[1]Sheet1!$A$2:$H$1141,8,0)</f>
        <v>Dept. of Clinker &amp; Cement Production</v>
      </c>
      <c r="K332" s="1" t="str">
        <f>VLOOKUP(A332,[1]Sheet1!$A$2:$I$1141,9,0)</f>
        <v>Unit of Derivative Product  &amp; Supporting</v>
      </c>
      <c r="L332" s="1" t="str">
        <f>VLOOKUP(A332,[1]Sheet1!$A$2:$J$1141,10,0)</f>
        <v>Section of Derivative Prod. &amp; Opr. 2/3</v>
      </c>
      <c r="M332" s="2">
        <v>27103</v>
      </c>
      <c r="N332" s="1" t="s">
        <v>29</v>
      </c>
      <c r="O332" s="1" t="s">
        <v>30</v>
      </c>
      <c r="P332" s="1" t="s">
        <v>1854</v>
      </c>
      <c r="Q332" s="1" t="s">
        <v>1850</v>
      </c>
      <c r="R332" s="1" t="s">
        <v>1851</v>
      </c>
      <c r="S332" s="1" t="s">
        <v>1815</v>
      </c>
      <c r="T332" s="14">
        <v>47574</v>
      </c>
      <c r="U332" s="1" t="s">
        <v>1855</v>
      </c>
      <c r="V332" s="1" t="s">
        <v>36</v>
      </c>
      <c r="W332" s="3" t="str">
        <f t="shared" si="5"/>
        <v>52 tahun</v>
      </c>
      <c r="X332" s="1" t="s">
        <v>55</v>
      </c>
      <c r="Y332" s="1" t="s">
        <v>56</v>
      </c>
      <c r="Z332" s="2">
        <v>34932</v>
      </c>
      <c r="AA332" s="2">
        <v>35309</v>
      </c>
      <c r="AB332" s="2" t="s">
        <v>1856</v>
      </c>
    </row>
    <row r="333" spans="1:28" x14ac:dyDescent="0.35">
      <c r="A333" s="12">
        <v>4850</v>
      </c>
      <c r="B333" s="12">
        <v>7202190</v>
      </c>
      <c r="C333" s="12" t="s">
        <v>164</v>
      </c>
      <c r="D333" s="12">
        <v>50069313</v>
      </c>
      <c r="E333" s="1" t="s">
        <v>1857</v>
      </c>
      <c r="F333" s="1" t="str">
        <f>VLOOKUP(A333,[1]Sheet1!$A$2:$E$1141,5,0)</f>
        <v>Spv of Operation BIP</v>
      </c>
      <c r="G333" s="17" t="str">
        <f>VLOOKUP(A333,[1]Sheet1!$A$2:$F$1141,6,0)</f>
        <v>Supervisor</v>
      </c>
      <c r="H333" s="1" t="s">
        <v>1811</v>
      </c>
      <c r="I333" s="1" t="s">
        <v>1117</v>
      </c>
      <c r="J333" s="1" t="str">
        <f>VLOOKUP(A333,[1]Sheet1!$A$2:$H$1141,8,0)</f>
        <v>Dept. of Clinker &amp; Cement Production</v>
      </c>
      <c r="K333" s="1" t="str">
        <f>VLOOKUP(A333,[1]Sheet1!$A$2:$I$1141,9,0)</f>
        <v>Unit of Derivative Product  &amp; Supporting</v>
      </c>
      <c r="L333" s="1" t="str">
        <f>VLOOKUP(A333,[1]Sheet1!$A$2:$J$1141,10,0)</f>
        <v>Section of Derivative Prod. &amp; Opr. 2/3</v>
      </c>
      <c r="M333" s="2">
        <v>26488</v>
      </c>
      <c r="N333" s="1" t="s">
        <v>29</v>
      </c>
      <c r="O333" s="1" t="s">
        <v>30</v>
      </c>
      <c r="P333" s="1" t="s">
        <v>1858</v>
      </c>
      <c r="Q333" s="1" t="s">
        <v>1859</v>
      </c>
      <c r="R333" s="1" t="s">
        <v>1860</v>
      </c>
      <c r="S333" s="1" t="s">
        <v>1815</v>
      </c>
      <c r="T333" s="14">
        <v>46966</v>
      </c>
      <c r="U333" s="1" t="s">
        <v>1861</v>
      </c>
      <c r="V333" s="1" t="s">
        <v>186</v>
      </c>
      <c r="W333" s="3" t="str">
        <f t="shared" si="5"/>
        <v>54 tahun</v>
      </c>
      <c r="X333" s="1" t="s">
        <v>248</v>
      </c>
      <c r="Y333" s="1" t="s">
        <v>68</v>
      </c>
      <c r="Z333" s="2">
        <v>37469</v>
      </c>
      <c r="AA333" s="2">
        <v>38718</v>
      </c>
      <c r="AB333" s="2" t="s">
        <v>1862</v>
      </c>
    </row>
    <row r="334" spans="1:28" x14ac:dyDescent="0.35">
      <c r="A334" s="12">
        <v>4943</v>
      </c>
      <c r="B334" s="12">
        <v>7395156</v>
      </c>
      <c r="C334" s="12" t="s">
        <v>50</v>
      </c>
      <c r="D334" s="12">
        <v>50069314</v>
      </c>
      <c r="E334" s="1" t="s">
        <v>1863</v>
      </c>
      <c r="F334" s="1" t="str">
        <f>VLOOKUP(A334,[1]Sheet1!$A$2:$E$1141,5,0)</f>
        <v>Spv of Operation BIP</v>
      </c>
      <c r="G334" s="17" t="str">
        <f>VLOOKUP(A334,[1]Sheet1!$A$2:$F$1141,6,0)</f>
        <v>Supervisor</v>
      </c>
      <c r="H334" s="1" t="s">
        <v>1811</v>
      </c>
      <c r="I334" s="1" t="s">
        <v>1117</v>
      </c>
      <c r="J334" s="1" t="str">
        <f>VLOOKUP(A334,[1]Sheet1!$A$2:$H$1141,8,0)</f>
        <v>Dept. of Clinker &amp; Cement Production</v>
      </c>
      <c r="K334" s="1" t="str">
        <f>VLOOKUP(A334,[1]Sheet1!$A$2:$I$1141,9,0)</f>
        <v>Unit of Derivative Product  &amp; Supporting</v>
      </c>
      <c r="L334" s="1" t="str">
        <f>VLOOKUP(A334,[1]Sheet1!$A$2:$J$1141,10,0)</f>
        <v>Section of Derivative Prod. &amp; Opr. 2/3</v>
      </c>
      <c r="M334" s="2">
        <v>26862</v>
      </c>
      <c r="N334" s="1" t="s">
        <v>29</v>
      </c>
      <c r="O334" s="1" t="s">
        <v>30</v>
      </c>
      <c r="P334" s="1" t="s">
        <v>1864</v>
      </c>
      <c r="Q334" s="1" t="s">
        <v>1859</v>
      </c>
      <c r="R334" s="1" t="s">
        <v>1860</v>
      </c>
      <c r="S334" s="1" t="s">
        <v>1815</v>
      </c>
      <c r="T334" s="14">
        <v>47331</v>
      </c>
      <c r="U334" s="1" t="s">
        <v>1865</v>
      </c>
      <c r="V334" s="1" t="s">
        <v>36</v>
      </c>
      <c r="W334" s="3" t="str">
        <f t="shared" si="5"/>
        <v>53 tahun</v>
      </c>
      <c r="X334" s="1" t="s">
        <v>356</v>
      </c>
      <c r="Y334" s="1" t="s">
        <v>56</v>
      </c>
      <c r="Z334" s="2">
        <v>34943</v>
      </c>
      <c r="AA334" s="2">
        <v>35309</v>
      </c>
      <c r="AB334" s="2" t="s">
        <v>1866</v>
      </c>
    </row>
    <row r="335" spans="1:28" x14ac:dyDescent="0.35">
      <c r="A335" s="12">
        <v>4929</v>
      </c>
      <c r="B335" s="12">
        <v>7302212</v>
      </c>
      <c r="C335" s="12" t="s">
        <v>164</v>
      </c>
      <c r="D335" s="12">
        <v>50069315</v>
      </c>
      <c r="E335" s="1" t="s">
        <v>1867</v>
      </c>
      <c r="F335" s="1" t="str">
        <f>VLOOKUP(A335,[1]Sheet1!$A$2:$E$1141,5,0)</f>
        <v>Spv of Operation BIP</v>
      </c>
      <c r="G335" s="17" t="str">
        <f>VLOOKUP(A335,[1]Sheet1!$A$2:$F$1141,6,0)</f>
        <v>Supervisor</v>
      </c>
      <c r="H335" s="1" t="s">
        <v>1811</v>
      </c>
      <c r="I335" s="1" t="s">
        <v>1117</v>
      </c>
      <c r="J335" s="1" t="str">
        <f>VLOOKUP(A335,[1]Sheet1!$A$2:$H$1141,8,0)</f>
        <v>Dept. of Clinker &amp; Cement Production</v>
      </c>
      <c r="K335" s="1" t="str">
        <f>VLOOKUP(A335,[1]Sheet1!$A$2:$I$1141,9,0)</f>
        <v>Unit of Derivative Product  &amp; Supporting</v>
      </c>
      <c r="L335" s="1" t="str">
        <f>VLOOKUP(A335,[1]Sheet1!$A$2:$J$1141,10,0)</f>
        <v>Section of Derivative Prod. &amp; Opr. 2/3</v>
      </c>
      <c r="M335" s="2">
        <v>26817</v>
      </c>
      <c r="N335" s="1" t="s">
        <v>29</v>
      </c>
      <c r="O335" s="1" t="s">
        <v>30</v>
      </c>
      <c r="P335" s="1" t="s">
        <v>1868</v>
      </c>
      <c r="Q335" s="1" t="s">
        <v>1859</v>
      </c>
      <c r="R335" s="1" t="s">
        <v>1860</v>
      </c>
      <c r="S335" s="1" t="s">
        <v>1815</v>
      </c>
      <c r="T335" s="14">
        <v>47300</v>
      </c>
      <c r="U335" s="1" t="s">
        <v>1869</v>
      </c>
      <c r="V335" s="1" t="s">
        <v>36</v>
      </c>
      <c r="W335" s="3" t="str">
        <f t="shared" si="5"/>
        <v>53 tahun</v>
      </c>
      <c r="X335" s="1" t="s">
        <v>121</v>
      </c>
      <c r="Y335" s="1" t="s">
        <v>56</v>
      </c>
      <c r="Z335" s="2">
        <v>37469</v>
      </c>
      <c r="AA335" s="2">
        <v>38718</v>
      </c>
      <c r="AB335" s="2" t="s">
        <v>1870</v>
      </c>
    </row>
    <row r="336" spans="1:28" x14ac:dyDescent="0.35">
      <c r="A336" s="12">
        <v>6076</v>
      </c>
      <c r="B336" s="12">
        <v>9012243</v>
      </c>
      <c r="C336" s="12" t="s">
        <v>103</v>
      </c>
      <c r="D336" s="12">
        <v>50069316</v>
      </c>
      <c r="E336" s="1" t="s">
        <v>1871</v>
      </c>
      <c r="F336" s="1" t="str">
        <f>VLOOKUP(A336,[1]Sheet1!$A$2:$E$1141,5,0)</f>
        <v>Spv of Operation BIP</v>
      </c>
      <c r="G336" s="17" t="str">
        <f>VLOOKUP(A336,[1]Sheet1!$A$2:$F$1141,6,0)</f>
        <v>Supervisor</v>
      </c>
      <c r="H336" s="1" t="s">
        <v>1811</v>
      </c>
      <c r="I336" s="1" t="s">
        <v>1117</v>
      </c>
      <c r="J336" s="1" t="str">
        <f>VLOOKUP(A336,[1]Sheet1!$A$2:$H$1141,8,0)</f>
        <v>Dept. of Clinker &amp; Cement Production</v>
      </c>
      <c r="K336" s="1" t="str">
        <f>VLOOKUP(A336,[1]Sheet1!$A$2:$I$1141,9,0)</f>
        <v>Unit of Derivative Product  &amp; Supporting</v>
      </c>
      <c r="L336" s="1" t="str">
        <f>VLOOKUP(A336,[1]Sheet1!$A$2:$J$1141,10,0)</f>
        <v>Section of Derivative Prod. &amp; Opr. 2/3</v>
      </c>
      <c r="M336" s="2">
        <v>32937</v>
      </c>
      <c r="N336" s="1" t="s">
        <v>29</v>
      </c>
      <c r="O336" s="1" t="s">
        <v>30</v>
      </c>
      <c r="P336" s="1" t="s">
        <v>1872</v>
      </c>
      <c r="Q336" s="1" t="s">
        <v>1859</v>
      </c>
      <c r="R336" s="1" t="s">
        <v>1860</v>
      </c>
      <c r="S336" s="1" t="s">
        <v>1815</v>
      </c>
      <c r="T336" s="14">
        <v>53418</v>
      </c>
      <c r="U336" s="1" t="s">
        <v>1873</v>
      </c>
      <c r="V336" s="1" t="s">
        <v>36</v>
      </c>
      <c r="W336" s="3" t="str">
        <f t="shared" si="5"/>
        <v>36 tahun</v>
      </c>
      <c r="X336" s="1" t="s">
        <v>1874</v>
      </c>
      <c r="Y336" s="1" t="s">
        <v>56</v>
      </c>
      <c r="Z336" s="2">
        <v>41275</v>
      </c>
      <c r="AA336" s="2">
        <v>41456</v>
      </c>
      <c r="AB336" s="2" t="s">
        <v>1875</v>
      </c>
    </row>
    <row r="337" spans="1:28" x14ac:dyDescent="0.35">
      <c r="A337" s="12">
        <v>5974</v>
      </c>
      <c r="B337" s="12">
        <v>8812142</v>
      </c>
      <c r="C337" s="12" t="s">
        <v>103</v>
      </c>
      <c r="D337" s="12">
        <v>50069318</v>
      </c>
      <c r="E337" s="1" t="s">
        <v>1876</v>
      </c>
      <c r="F337" s="1" t="str">
        <f>VLOOKUP(A337,[1]Sheet1!$A$2:$E$1141,5,0)</f>
        <v>Spv of Autonomous</v>
      </c>
      <c r="G337" s="17" t="str">
        <f>VLOOKUP(A337,[1]Sheet1!$A$2:$F$1141,6,0)</f>
        <v>Supervisor</v>
      </c>
      <c r="H337" s="1" t="s">
        <v>1811</v>
      </c>
      <c r="I337" s="1" t="s">
        <v>1117</v>
      </c>
      <c r="J337" s="1" t="str">
        <f>VLOOKUP(A337,[1]Sheet1!$A$2:$H$1141,8,0)</f>
        <v>Dept. of Clinker &amp; Cement Production</v>
      </c>
      <c r="K337" s="1" t="str">
        <f>VLOOKUP(A337,[1]Sheet1!$A$2:$I$1141,9,0)</f>
        <v>Unit of Derivative Product  &amp; Supporting</v>
      </c>
      <c r="L337" s="1" t="str">
        <f>VLOOKUP(A337,[1]Sheet1!$A$2:$J$1141,10,0)</f>
        <v>Section of Derivative Prod. &amp; Opr. 2/3</v>
      </c>
      <c r="M337" s="2">
        <v>32375</v>
      </c>
      <c r="N337" s="1" t="s">
        <v>29</v>
      </c>
      <c r="O337" s="1" t="s">
        <v>30</v>
      </c>
      <c r="P337" s="1" t="s">
        <v>1877</v>
      </c>
      <c r="Q337" s="1" t="s">
        <v>1878</v>
      </c>
      <c r="R337" s="1" t="s">
        <v>1879</v>
      </c>
      <c r="S337" s="1" t="s">
        <v>1815</v>
      </c>
      <c r="T337" s="14">
        <v>52841</v>
      </c>
      <c r="U337" s="1" t="s">
        <v>1880</v>
      </c>
      <c r="V337" s="1" t="s">
        <v>36</v>
      </c>
      <c r="W337" s="3" t="str">
        <f t="shared" si="5"/>
        <v>38 tahun</v>
      </c>
      <c r="X337" s="1" t="s">
        <v>600</v>
      </c>
      <c r="Y337" s="1" t="s">
        <v>48</v>
      </c>
      <c r="Z337" s="2">
        <v>41275</v>
      </c>
      <c r="AA337" s="2">
        <v>41426</v>
      </c>
      <c r="AB337" s="2" t="s">
        <v>1881</v>
      </c>
    </row>
    <row r="338" spans="1:28" x14ac:dyDescent="0.35">
      <c r="A338" s="12">
        <v>5171</v>
      </c>
      <c r="B338" s="12">
        <v>7595067</v>
      </c>
      <c r="C338" s="12" t="s">
        <v>50</v>
      </c>
      <c r="D338" s="12">
        <v>50069319</v>
      </c>
      <c r="E338" s="1" t="s">
        <v>1882</v>
      </c>
      <c r="F338" s="1" t="str">
        <f>VLOOKUP(A338,[1]Sheet1!$A$2:$E$1141,5,0)</f>
        <v>Spv of Autonomous</v>
      </c>
      <c r="G338" s="17" t="str">
        <f>VLOOKUP(A338,[1]Sheet1!$A$2:$F$1141,6,0)</f>
        <v>Supervisor</v>
      </c>
      <c r="H338" s="1" t="s">
        <v>1811</v>
      </c>
      <c r="I338" s="1" t="s">
        <v>1117</v>
      </c>
      <c r="J338" s="1" t="str">
        <f>VLOOKUP(A338,[1]Sheet1!$A$2:$H$1141,8,0)</f>
        <v>Dept. of Clinker &amp; Cement Production</v>
      </c>
      <c r="K338" s="1" t="str">
        <f>VLOOKUP(A338,[1]Sheet1!$A$2:$I$1141,9,0)</f>
        <v>Unit of Derivative Product  &amp; Supporting</v>
      </c>
      <c r="L338" s="1" t="str">
        <f>VLOOKUP(A338,[1]Sheet1!$A$2:$J$1141,10,0)</f>
        <v>Section of Derivative Prod. &amp; Opr. 2/3</v>
      </c>
      <c r="M338" s="2">
        <v>27701</v>
      </c>
      <c r="N338" s="1" t="s">
        <v>29</v>
      </c>
      <c r="O338" s="1" t="s">
        <v>30</v>
      </c>
      <c r="P338" s="1" t="s">
        <v>1883</v>
      </c>
      <c r="Q338" s="1" t="s">
        <v>1878</v>
      </c>
      <c r="R338" s="1" t="s">
        <v>1879</v>
      </c>
      <c r="S338" s="1" t="s">
        <v>1815</v>
      </c>
      <c r="T338" s="14">
        <v>48183</v>
      </c>
      <c r="U338" s="1" t="s">
        <v>1884</v>
      </c>
      <c r="V338" s="1" t="s">
        <v>186</v>
      </c>
      <c r="W338" s="3" t="str">
        <f t="shared" si="5"/>
        <v>50 tahun</v>
      </c>
      <c r="X338" s="1" t="s">
        <v>55</v>
      </c>
      <c r="Y338" s="1" t="s">
        <v>56</v>
      </c>
      <c r="Z338" s="2">
        <v>34897</v>
      </c>
      <c r="AA338" s="2">
        <v>35278</v>
      </c>
      <c r="AB338" s="2" t="s">
        <v>1885</v>
      </c>
    </row>
    <row r="339" spans="1:28" x14ac:dyDescent="0.35">
      <c r="A339" s="12">
        <v>4746</v>
      </c>
      <c r="B339" s="12">
        <v>7002113</v>
      </c>
      <c r="C339" s="12" t="s">
        <v>164</v>
      </c>
      <c r="D339" s="12">
        <v>50053059</v>
      </c>
      <c r="E339" s="1" t="s">
        <v>1886</v>
      </c>
      <c r="F339" s="1" t="str">
        <f>VLOOKUP(A339,[1]Sheet1!$A$2:$E$1141,5,0)</f>
        <v>Spv of Line 2/3 Kiln Field (Shift)</v>
      </c>
      <c r="G339" s="17" t="str">
        <f>VLOOKUP(A339,[1]Sheet1!$A$2:$F$1141,6,0)</f>
        <v>Supervisor</v>
      </c>
      <c r="H339" s="1" t="s">
        <v>1811</v>
      </c>
      <c r="I339" s="1" t="s">
        <v>1117</v>
      </c>
      <c r="J339" s="1" t="str">
        <f>VLOOKUP(A339,[1]Sheet1!$A$2:$H$1141,8,0)</f>
        <v>Dept. of Clinker &amp; Cement Production</v>
      </c>
      <c r="K339" s="1" t="str">
        <f>VLOOKUP(A339,[1]Sheet1!$A$2:$I$1141,9,0)</f>
        <v>Unit of Derivative Product  &amp; Supporting</v>
      </c>
      <c r="L339" s="1" t="str">
        <f>VLOOKUP(A339,[1]Sheet1!$A$2:$J$1141,10,0)</f>
        <v>Section of Derivative Prod. &amp; Opr. 2/3</v>
      </c>
      <c r="M339" s="2">
        <v>25933</v>
      </c>
      <c r="N339" s="1" t="s">
        <v>29</v>
      </c>
      <c r="O339" s="1" t="s">
        <v>30</v>
      </c>
      <c r="P339" s="1" t="s">
        <v>1887</v>
      </c>
      <c r="Q339" s="1" t="s">
        <v>1888</v>
      </c>
      <c r="R339" s="1" t="s">
        <v>1889</v>
      </c>
      <c r="S339" s="1" t="s">
        <v>1815</v>
      </c>
      <c r="T339" s="14">
        <v>46388</v>
      </c>
      <c r="U339" s="1" t="s">
        <v>1890</v>
      </c>
      <c r="V339" s="1" t="s">
        <v>36</v>
      </c>
      <c r="W339" s="3" t="str">
        <f t="shared" si="5"/>
        <v>55 tahun</v>
      </c>
      <c r="X339" s="1" t="s">
        <v>1891</v>
      </c>
      <c r="Y339" s="1" t="s">
        <v>56</v>
      </c>
      <c r="Z339" s="2">
        <v>37469</v>
      </c>
      <c r="AA339" s="2">
        <v>38718</v>
      </c>
      <c r="AB339" s="2" t="s">
        <v>1892</v>
      </c>
    </row>
    <row r="340" spans="1:28" x14ac:dyDescent="0.35">
      <c r="A340" s="12">
        <v>6107</v>
      </c>
      <c r="B340" s="12">
        <v>9012276</v>
      </c>
      <c r="C340" s="12" t="s">
        <v>103</v>
      </c>
      <c r="D340" s="12">
        <v>50053061</v>
      </c>
      <c r="E340" s="1" t="s">
        <v>1893</v>
      </c>
      <c r="F340" s="1" t="str">
        <f>VLOOKUP(A340,[1]Sheet1!$A$2:$E$1141,5,0)</f>
        <v>Tender of Clinker Transport (Shift)</v>
      </c>
      <c r="G340" s="17" t="str">
        <f>VLOOKUP(A340,[1]Sheet1!$A$2:$F$1141,6,0)</f>
        <v>Associate</v>
      </c>
      <c r="H340" s="1" t="s">
        <v>1811</v>
      </c>
      <c r="I340" s="1" t="s">
        <v>1117</v>
      </c>
      <c r="J340" s="1" t="str">
        <f>VLOOKUP(A340,[1]Sheet1!$A$2:$H$1141,8,0)</f>
        <v>Dept. of Clinker &amp; Cement Production</v>
      </c>
      <c r="K340" s="1" t="str">
        <f>VLOOKUP(A340,[1]Sheet1!$A$2:$I$1141,9,0)</f>
        <v>Unit of Derivative Product  &amp; Supporting</v>
      </c>
      <c r="L340" s="1" t="str">
        <f>VLOOKUP(A340,[1]Sheet1!$A$2:$J$1141,10,0)</f>
        <v>Section of Derivative Prod. &amp; Opr. 2/3</v>
      </c>
      <c r="M340" s="2">
        <v>33080</v>
      </c>
      <c r="N340" s="1" t="s">
        <v>29</v>
      </c>
      <c r="O340" s="1" t="s">
        <v>30</v>
      </c>
      <c r="P340" s="1" t="s">
        <v>1894</v>
      </c>
      <c r="Q340" s="1" t="s">
        <v>1888</v>
      </c>
      <c r="R340" s="1" t="s">
        <v>1889</v>
      </c>
      <c r="S340" s="1" t="s">
        <v>1815</v>
      </c>
      <c r="T340" s="14">
        <v>53540</v>
      </c>
      <c r="U340" s="1" t="s">
        <v>1895</v>
      </c>
      <c r="V340" s="1" t="s">
        <v>36</v>
      </c>
      <c r="W340" s="3" t="str">
        <f t="shared" si="5"/>
        <v>36 tahun</v>
      </c>
      <c r="X340" s="1" t="s">
        <v>1896</v>
      </c>
      <c r="Y340" s="1" t="s">
        <v>56</v>
      </c>
      <c r="Z340" s="2">
        <v>41275</v>
      </c>
      <c r="AA340" s="2">
        <v>41426</v>
      </c>
      <c r="AB340" s="2" t="s">
        <v>1897</v>
      </c>
    </row>
    <row r="341" spans="1:28" x14ac:dyDescent="0.35">
      <c r="A341" s="12">
        <v>4893</v>
      </c>
      <c r="B341" s="12">
        <v>7306434</v>
      </c>
      <c r="C341" s="12" t="s">
        <v>219</v>
      </c>
      <c r="D341" s="12">
        <v>50065566</v>
      </c>
      <c r="E341" s="1" t="s">
        <v>1898</v>
      </c>
      <c r="F341" s="1" t="str">
        <f>VLOOKUP(A341,[1]Sheet1!$A$2:$E$1141,5,0)</f>
        <v>E Tender Hopper Belt Transport</v>
      </c>
      <c r="G341" s="17" t="str">
        <f>VLOOKUP(A341,[1]Sheet1!$A$2:$F$1141,6,0)</f>
        <v>Associate</v>
      </c>
      <c r="H341" s="1" t="s">
        <v>1811</v>
      </c>
      <c r="I341" s="1" t="s">
        <v>1117</v>
      </c>
      <c r="J341" s="1" t="str">
        <f>VLOOKUP(A341,[1]Sheet1!$A$2:$H$1141,8,0)</f>
        <v>Dept. of Clinker &amp; Cement Production</v>
      </c>
      <c r="K341" s="1" t="str">
        <f>VLOOKUP(A341,[1]Sheet1!$A$2:$I$1141,9,0)</f>
        <v>Unit of Derivative Product  &amp; Supporting</v>
      </c>
      <c r="L341" s="1" t="str">
        <f>VLOOKUP(A341,[1]Sheet1!$A$2:$J$1141,10,0)</f>
        <v>Section of Derivative Prod. &amp; Opr. 2/3</v>
      </c>
      <c r="M341" s="2">
        <v>27026</v>
      </c>
      <c r="N341" s="1" t="s">
        <v>29</v>
      </c>
      <c r="O341" s="1" t="s">
        <v>30</v>
      </c>
      <c r="P341" s="1" t="s">
        <v>1899</v>
      </c>
      <c r="Q341" s="1" t="s">
        <v>1900</v>
      </c>
      <c r="R341" s="1" t="s">
        <v>1901</v>
      </c>
      <c r="S341" s="1" t="s">
        <v>1815</v>
      </c>
      <c r="T341" s="14">
        <v>47484</v>
      </c>
      <c r="U341" s="1" t="s">
        <v>1902</v>
      </c>
      <c r="V341" s="1" t="s">
        <v>36</v>
      </c>
      <c r="W341" s="3" t="str">
        <f t="shared" si="5"/>
        <v>52 tahun</v>
      </c>
      <c r="X341" s="1" t="s">
        <v>248</v>
      </c>
      <c r="Y341" s="1" t="s">
        <v>56</v>
      </c>
      <c r="Z341" s="2">
        <v>38718</v>
      </c>
      <c r="AA341" s="2">
        <v>41030</v>
      </c>
      <c r="AB341" s="2" t="s">
        <v>84</v>
      </c>
    </row>
    <row r="342" spans="1:28" x14ac:dyDescent="0.35">
      <c r="A342" s="12">
        <v>4685</v>
      </c>
      <c r="B342" s="12">
        <v>7106296</v>
      </c>
      <c r="C342" s="12" t="s">
        <v>219</v>
      </c>
      <c r="D342" s="12">
        <v>50054122</v>
      </c>
      <c r="E342" s="1" t="s">
        <v>1903</v>
      </c>
      <c r="F342" s="1" t="str">
        <f>VLOOKUP(A342,[1]Sheet1!$A$2:$E$1141,5,0)</f>
        <v>Spv of Line 2/3 Trass Dryer (Shift)</v>
      </c>
      <c r="G342" s="17" t="str">
        <f>VLOOKUP(A342,[1]Sheet1!$A$2:$F$1141,6,0)</f>
        <v>Supervisor</v>
      </c>
      <c r="H342" s="1" t="s">
        <v>1811</v>
      </c>
      <c r="I342" s="1" t="s">
        <v>1117</v>
      </c>
      <c r="J342" s="1" t="str">
        <f>VLOOKUP(A342,[1]Sheet1!$A$2:$H$1141,8,0)</f>
        <v>Dept. of Clinker &amp; Cement Production</v>
      </c>
      <c r="K342" s="1" t="str">
        <f>VLOOKUP(A342,[1]Sheet1!$A$2:$I$1141,9,0)</f>
        <v>Unit of Derivative Product  &amp; Supporting</v>
      </c>
      <c r="L342" s="1" t="str">
        <f>VLOOKUP(A342,[1]Sheet1!$A$2:$J$1141,10,0)</f>
        <v>Section of Derivative Prod. &amp; Opr. 2/3</v>
      </c>
      <c r="M342" s="2">
        <v>25964</v>
      </c>
      <c r="N342" s="1" t="s">
        <v>29</v>
      </c>
      <c r="O342" s="1" t="s">
        <v>30</v>
      </c>
      <c r="P342" s="1" t="s">
        <v>1904</v>
      </c>
      <c r="Q342" s="1" t="s">
        <v>1905</v>
      </c>
      <c r="R342" s="1" t="s">
        <v>1906</v>
      </c>
      <c r="S342" s="1" t="s">
        <v>1815</v>
      </c>
      <c r="T342" s="14">
        <v>46419</v>
      </c>
      <c r="U342" s="1" t="s">
        <v>1907</v>
      </c>
      <c r="V342" s="1" t="s">
        <v>36</v>
      </c>
      <c r="W342" s="3" t="str">
        <f t="shared" si="5"/>
        <v>55 tahun</v>
      </c>
      <c r="X342" s="1" t="s">
        <v>248</v>
      </c>
      <c r="Y342" s="1" t="s">
        <v>56</v>
      </c>
      <c r="Z342" s="2">
        <v>38718</v>
      </c>
      <c r="AA342" s="2">
        <v>41030</v>
      </c>
      <c r="AB342" s="2" t="s">
        <v>1908</v>
      </c>
    </row>
    <row r="343" spans="1:28" x14ac:dyDescent="0.35">
      <c r="A343" s="12">
        <v>4782</v>
      </c>
      <c r="B343" s="12">
        <v>7102175</v>
      </c>
      <c r="C343" s="12" t="s">
        <v>164</v>
      </c>
      <c r="D343" s="12">
        <v>50065565</v>
      </c>
      <c r="E343" s="1" t="s">
        <v>1909</v>
      </c>
      <c r="F343" s="1" t="str">
        <f>VLOOKUP(A343,[1]Sheet1!$A$2:$E$1141,5,0)</f>
        <v>E Tender Hopper Belt Transport</v>
      </c>
      <c r="G343" s="17" t="str">
        <f>VLOOKUP(A343,[1]Sheet1!$A$2:$F$1141,6,0)</f>
        <v>Associate</v>
      </c>
      <c r="H343" s="1" t="s">
        <v>1811</v>
      </c>
      <c r="I343" s="1" t="s">
        <v>1117</v>
      </c>
      <c r="J343" s="1" t="str">
        <f>VLOOKUP(A343,[1]Sheet1!$A$2:$H$1141,8,0)</f>
        <v>Dept. of Clinker &amp; Cement Production</v>
      </c>
      <c r="K343" s="1" t="str">
        <f>VLOOKUP(A343,[1]Sheet1!$A$2:$I$1141,9,0)</f>
        <v>Unit of Derivative Product  &amp; Supporting</v>
      </c>
      <c r="L343" s="1" t="str">
        <f>VLOOKUP(A343,[1]Sheet1!$A$2:$J$1141,10,0)</f>
        <v>Section of Derivative Prod. &amp; Opr. 2/3</v>
      </c>
      <c r="M343" s="2">
        <v>26214</v>
      </c>
      <c r="N343" s="1" t="s">
        <v>29</v>
      </c>
      <c r="O343" s="1" t="s">
        <v>30</v>
      </c>
      <c r="P343" s="1" t="s">
        <v>1910</v>
      </c>
      <c r="Q343" s="1" t="s">
        <v>1905</v>
      </c>
      <c r="R343" s="1" t="s">
        <v>1906</v>
      </c>
      <c r="S343" s="1" t="s">
        <v>1815</v>
      </c>
      <c r="T343" s="14">
        <v>46692</v>
      </c>
      <c r="U343" s="1" t="s">
        <v>1911</v>
      </c>
      <c r="V343" s="1" t="s">
        <v>36</v>
      </c>
      <c r="W343" s="3" t="str">
        <f t="shared" si="5"/>
        <v>54 tahun</v>
      </c>
      <c r="X343" s="1" t="s">
        <v>96</v>
      </c>
      <c r="Y343" s="1" t="s">
        <v>56</v>
      </c>
      <c r="Z343" s="2">
        <v>37469</v>
      </c>
      <c r="AA343" s="2">
        <v>38718</v>
      </c>
      <c r="AB343" s="2" t="s">
        <v>1912</v>
      </c>
    </row>
    <row r="344" spans="1:28" x14ac:dyDescent="0.35">
      <c r="A344" s="12">
        <v>4883</v>
      </c>
      <c r="B344" s="12">
        <v>7306421</v>
      </c>
      <c r="C344" s="12" t="s">
        <v>219</v>
      </c>
      <c r="D344" s="12">
        <v>50053106</v>
      </c>
      <c r="E344" s="1" t="s">
        <v>1913</v>
      </c>
      <c r="F344" s="1" t="str">
        <f>VLOOKUP(A344,[1]Sheet1!$A$2:$E$1141,5,0)</f>
        <v>E Tender Hopper Belt Transport</v>
      </c>
      <c r="G344" s="17" t="str">
        <f>VLOOKUP(A344,[1]Sheet1!$A$2:$F$1141,6,0)</f>
        <v>Associate</v>
      </c>
      <c r="H344" s="1" t="s">
        <v>1811</v>
      </c>
      <c r="I344" s="1" t="s">
        <v>1117</v>
      </c>
      <c r="J344" s="1" t="str">
        <f>VLOOKUP(A344,[1]Sheet1!$A$2:$H$1141,8,0)</f>
        <v>Dept. of Clinker &amp; Cement Production</v>
      </c>
      <c r="K344" s="1" t="str">
        <f>VLOOKUP(A344,[1]Sheet1!$A$2:$I$1141,9,0)</f>
        <v>Unit of Derivative Product  &amp; Supporting</v>
      </c>
      <c r="L344" s="1" t="str">
        <f>VLOOKUP(A344,[1]Sheet1!$A$2:$J$1141,10,0)</f>
        <v>Section of Derivative Prod. &amp; Opr. 2/3</v>
      </c>
      <c r="M344" s="2">
        <v>26985</v>
      </c>
      <c r="N344" s="1" t="s">
        <v>29</v>
      </c>
      <c r="O344" s="1" t="s">
        <v>30</v>
      </c>
      <c r="P344" s="1" t="s">
        <v>1914</v>
      </c>
      <c r="Q344" s="1" t="s">
        <v>1905</v>
      </c>
      <c r="R344" s="1" t="s">
        <v>1906</v>
      </c>
      <c r="S344" s="1" t="s">
        <v>1815</v>
      </c>
      <c r="T344" s="14">
        <v>47453</v>
      </c>
      <c r="U344" s="1" t="s">
        <v>1915</v>
      </c>
      <c r="V344" s="1" t="s">
        <v>36</v>
      </c>
      <c r="W344" s="3" t="str">
        <f t="shared" si="5"/>
        <v>52 tahun</v>
      </c>
      <c r="X344" s="1" t="s">
        <v>96</v>
      </c>
      <c r="Y344" s="1" t="s">
        <v>56</v>
      </c>
      <c r="Z344" s="2">
        <v>38718</v>
      </c>
      <c r="AA344" s="2">
        <v>41030</v>
      </c>
      <c r="AB344" s="2" t="s">
        <v>1916</v>
      </c>
    </row>
    <row r="345" spans="1:28" x14ac:dyDescent="0.35">
      <c r="A345" s="12">
        <v>5381</v>
      </c>
      <c r="B345" s="12">
        <v>8610073</v>
      </c>
      <c r="C345" s="12" t="s">
        <v>139</v>
      </c>
      <c r="D345" s="12">
        <v>50008055</v>
      </c>
      <c r="E345" s="15" t="s">
        <v>1917</v>
      </c>
      <c r="F345" s="1" t="str">
        <f>VLOOKUP(A345,[1]Sheet1!$A$2:$E$1141,5,0)</f>
        <v>SM of Clinker Production</v>
      </c>
      <c r="G345" s="15" t="str">
        <f>VLOOKUP(A345,[1]Sheet1!$A$2:$F$1141,6,0)</f>
        <v>Senior Manager</v>
      </c>
      <c r="H345" s="1" t="s">
        <v>1918</v>
      </c>
      <c r="I345" s="1" t="s">
        <v>1117</v>
      </c>
      <c r="J345" s="1" t="str">
        <f>VLOOKUP(A345,[1]Sheet1!$A$2:$H$1141,8,0)</f>
        <v>Dept. of Clinker &amp; Cement Production</v>
      </c>
      <c r="K345" s="1" t="str">
        <f>VLOOKUP(A345,[1]Sheet1!$A$2:$I$1141,9,0)</f>
        <v>Unit of Clinker Production</v>
      </c>
      <c r="L345" s="1" t="e">
        <f>VLOOKUP(A345,[1]Sheet1!$A$2:$J$1141,10,0)</f>
        <v>#REF!</v>
      </c>
      <c r="M345" s="2">
        <v>31732</v>
      </c>
      <c r="N345" s="1" t="s">
        <v>29</v>
      </c>
      <c r="O345" s="1" t="s">
        <v>30</v>
      </c>
      <c r="P345" s="1" t="s">
        <v>1919</v>
      </c>
      <c r="Q345" s="1" t="s">
        <v>1920</v>
      </c>
      <c r="R345" s="1" t="s">
        <v>1921</v>
      </c>
      <c r="S345" s="1" t="s">
        <v>1922</v>
      </c>
      <c r="T345" s="14">
        <v>52201</v>
      </c>
      <c r="U345" s="1" t="s">
        <v>1923</v>
      </c>
      <c r="V345" s="1" t="s">
        <v>36</v>
      </c>
      <c r="W345" s="3" t="str">
        <f t="shared" si="5"/>
        <v>39 tahun</v>
      </c>
      <c r="X345" s="1" t="s">
        <v>851</v>
      </c>
      <c r="Y345" s="1" t="s">
        <v>48</v>
      </c>
      <c r="Z345" s="2">
        <v>40544</v>
      </c>
      <c r="AA345" s="2">
        <v>40695</v>
      </c>
      <c r="AB345" s="2" t="s">
        <v>1924</v>
      </c>
    </row>
    <row r="346" spans="1:28" x14ac:dyDescent="0.35">
      <c r="A346" s="12">
        <v>5215</v>
      </c>
      <c r="B346" s="12">
        <v>7695253</v>
      </c>
      <c r="C346" s="12" t="s">
        <v>50</v>
      </c>
      <c r="D346" s="12">
        <v>50053111</v>
      </c>
      <c r="E346" s="16" t="s">
        <v>1925</v>
      </c>
      <c r="F346" s="1" t="str">
        <f>VLOOKUP(A346,[1]Sheet1!$A$2:$E$1141,5,0)</f>
        <v>Mgr of Line 4 RKC Operation</v>
      </c>
      <c r="G346" s="16" t="str">
        <f>VLOOKUP(A346,[1]Sheet1!$A$2:$F$1141,6,0)</f>
        <v>Manager</v>
      </c>
      <c r="H346" s="1" t="s">
        <v>1926</v>
      </c>
      <c r="I346" s="1" t="s">
        <v>1117</v>
      </c>
      <c r="J346" s="1" t="str">
        <f>VLOOKUP(A346,[1]Sheet1!$A$2:$H$1141,8,0)</f>
        <v>Dept. of Clinker &amp; Cement Production</v>
      </c>
      <c r="K346" s="1" t="str">
        <f>VLOOKUP(A346,[1]Sheet1!$A$2:$I$1141,9,0)</f>
        <v>Unit of Clinker Production</v>
      </c>
      <c r="L346" s="1" t="str">
        <f>VLOOKUP(A346,[1]Sheet1!$A$2:$J$1141,10,0)</f>
        <v>Section of Line 4 RKC Operation</v>
      </c>
      <c r="M346" s="2">
        <v>28026</v>
      </c>
      <c r="N346" s="1" t="s">
        <v>29</v>
      </c>
      <c r="O346" s="1" t="s">
        <v>30</v>
      </c>
      <c r="P346" s="1" t="s">
        <v>1927</v>
      </c>
      <c r="Q346" s="1" t="s">
        <v>1928</v>
      </c>
      <c r="R346" s="1" t="s">
        <v>1929</v>
      </c>
      <c r="S346" s="1" t="s">
        <v>1930</v>
      </c>
      <c r="T346" s="14">
        <v>48488</v>
      </c>
      <c r="U346" s="1" t="s">
        <v>1931</v>
      </c>
      <c r="V346" s="1" t="s">
        <v>36</v>
      </c>
      <c r="W346" s="3" t="str">
        <f t="shared" si="5"/>
        <v>49 tahun</v>
      </c>
      <c r="X346" s="1" t="s">
        <v>1274</v>
      </c>
      <c r="Y346" s="1" t="s">
        <v>48</v>
      </c>
      <c r="Z346" s="2">
        <v>35002</v>
      </c>
      <c r="AA346" s="2">
        <v>35370</v>
      </c>
      <c r="AB346" s="2" t="s">
        <v>1932</v>
      </c>
    </row>
    <row r="347" spans="1:28" x14ac:dyDescent="0.35">
      <c r="A347" s="12">
        <v>4875</v>
      </c>
      <c r="B347" s="12">
        <v>7306412</v>
      </c>
      <c r="C347" s="12" t="s">
        <v>219</v>
      </c>
      <c r="D347" s="12">
        <v>50069365</v>
      </c>
      <c r="E347" s="1" t="s">
        <v>1933</v>
      </c>
      <c r="F347" s="1" t="str">
        <f>VLOOKUP(A347,[1]Sheet1!$A$2:$E$1141,5,0)</f>
        <v>Spv of Line 4 RM Field</v>
      </c>
      <c r="G347" s="17" t="str">
        <f>VLOOKUP(A347,[1]Sheet1!$A$2:$F$1141,6,0)</f>
        <v>Supervisor</v>
      </c>
      <c r="H347" s="1" t="s">
        <v>1926</v>
      </c>
      <c r="I347" s="1" t="s">
        <v>1117</v>
      </c>
      <c r="J347" s="1" t="str">
        <f>VLOOKUP(A347,[1]Sheet1!$A$2:$H$1141,8,0)</f>
        <v>Dept. of Clinker &amp; Cement Production</v>
      </c>
      <c r="K347" s="1" t="str">
        <f>VLOOKUP(A347,[1]Sheet1!$A$2:$I$1141,9,0)</f>
        <v>Unit of Clinker Production</v>
      </c>
      <c r="L347" s="1" t="str">
        <f>VLOOKUP(A347,[1]Sheet1!$A$2:$J$1141,10,0)</f>
        <v>Section of Line 4 RKC Operation</v>
      </c>
      <c r="M347" s="2">
        <v>26954</v>
      </c>
      <c r="N347" s="1" t="s">
        <v>29</v>
      </c>
      <c r="O347" s="1" t="s">
        <v>30</v>
      </c>
      <c r="P347" s="1" t="s">
        <v>1934</v>
      </c>
      <c r="Q347" s="1" t="s">
        <v>1935</v>
      </c>
      <c r="R347" s="1" t="s">
        <v>1936</v>
      </c>
      <c r="S347" s="1" t="s">
        <v>1930</v>
      </c>
      <c r="T347" s="14">
        <v>47423</v>
      </c>
      <c r="U347" s="1" t="s">
        <v>1937</v>
      </c>
      <c r="V347" s="1" t="s">
        <v>36</v>
      </c>
      <c r="W347" s="3" t="str">
        <f t="shared" si="5"/>
        <v>52 tahun</v>
      </c>
      <c r="X347" s="1" t="s">
        <v>486</v>
      </c>
      <c r="Y347" s="1" t="s">
        <v>56</v>
      </c>
      <c r="Z347" s="2">
        <v>38718</v>
      </c>
      <c r="AA347" s="2">
        <v>41030</v>
      </c>
      <c r="AB347" s="2" t="s">
        <v>84</v>
      </c>
    </row>
    <row r="348" spans="1:28" x14ac:dyDescent="0.35">
      <c r="A348" s="12">
        <v>6241</v>
      </c>
      <c r="B348" s="12">
        <v>9212409</v>
      </c>
      <c r="C348" s="12" t="s">
        <v>103</v>
      </c>
      <c r="D348" s="12">
        <v>50069366</v>
      </c>
      <c r="E348" s="1" t="s">
        <v>1938</v>
      </c>
      <c r="F348" s="1" t="str">
        <f>VLOOKUP(A348,[1]Sheet1!$A$2:$E$1141,5,0)</f>
        <v>Spv of Line 4 RM Field</v>
      </c>
      <c r="G348" s="17" t="str">
        <f>VLOOKUP(A348,[1]Sheet1!$A$2:$F$1141,6,0)</f>
        <v>Supervisor</v>
      </c>
      <c r="H348" s="1" t="s">
        <v>1926</v>
      </c>
      <c r="I348" s="1" t="s">
        <v>1117</v>
      </c>
      <c r="J348" s="1" t="str">
        <f>VLOOKUP(A348,[1]Sheet1!$A$2:$H$1141,8,0)</f>
        <v>Dept. of Clinker &amp; Cement Production</v>
      </c>
      <c r="K348" s="1" t="str">
        <f>VLOOKUP(A348,[1]Sheet1!$A$2:$I$1141,9,0)</f>
        <v>Unit of Clinker Production</v>
      </c>
      <c r="L348" s="1" t="str">
        <f>VLOOKUP(A348,[1]Sheet1!$A$2:$J$1141,10,0)</f>
        <v>Section of Line 4 RKC Operation</v>
      </c>
      <c r="M348" s="2">
        <v>33680</v>
      </c>
      <c r="N348" s="1" t="s">
        <v>29</v>
      </c>
      <c r="O348" s="1" t="s">
        <v>30</v>
      </c>
      <c r="P348" s="1" t="s">
        <v>1939</v>
      </c>
      <c r="Q348" s="1" t="s">
        <v>1935</v>
      </c>
      <c r="R348" s="1" t="s">
        <v>1936</v>
      </c>
      <c r="S348" s="1" t="s">
        <v>1930</v>
      </c>
      <c r="T348" s="14">
        <v>54149</v>
      </c>
      <c r="U348" s="1" t="s">
        <v>1940</v>
      </c>
      <c r="V348" s="1" t="s">
        <v>36</v>
      </c>
      <c r="W348" s="3" t="str">
        <f t="shared" si="5"/>
        <v>34 tahun</v>
      </c>
      <c r="X348" s="1" t="s">
        <v>121</v>
      </c>
      <c r="Y348" s="1" t="s">
        <v>56</v>
      </c>
      <c r="Z348" s="2">
        <v>41275</v>
      </c>
      <c r="AA348" s="2">
        <v>41456</v>
      </c>
      <c r="AB348" s="2" t="s">
        <v>1941</v>
      </c>
    </row>
    <row r="349" spans="1:28" x14ac:dyDescent="0.35">
      <c r="A349" s="12">
        <v>4608</v>
      </c>
      <c r="B349" s="12">
        <v>7406479</v>
      </c>
      <c r="C349" s="12" t="s">
        <v>219</v>
      </c>
      <c r="D349" s="12">
        <v>50069367</v>
      </c>
      <c r="E349" s="1" t="s">
        <v>1942</v>
      </c>
      <c r="F349" s="1" t="str">
        <f>VLOOKUP(A349,[1]Sheet1!$A$2:$E$1141,5,0)</f>
        <v>Spv of Line 4 RM Field</v>
      </c>
      <c r="G349" s="17" t="str">
        <f>VLOOKUP(A349,[1]Sheet1!$A$2:$F$1141,6,0)</f>
        <v>Supervisor</v>
      </c>
      <c r="H349" s="1" t="s">
        <v>1926</v>
      </c>
      <c r="I349" s="1" t="s">
        <v>1117</v>
      </c>
      <c r="J349" s="1" t="str">
        <f>VLOOKUP(A349,[1]Sheet1!$A$2:$H$1141,8,0)</f>
        <v>Dept. of Clinker &amp; Cement Production</v>
      </c>
      <c r="K349" s="1" t="str">
        <f>VLOOKUP(A349,[1]Sheet1!$A$2:$I$1141,9,0)</f>
        <v>Unit of Clinker Production</v>
      </c>
      <c r="L349" s="1" t="str">
        <f>VLOOKUP(A349,[1]Sheet1!$A$2:$J$1141,10,0)</f>
        <v>Section of Line 4 RKC Operation</v>
      </c>
      <c r="M349" s="2">
        <v>27305</v>
      </c>
      <c r="N349" s="1" t="s">
        <v>29</v>
      </c>
      <c r="O349" s="1" t="s">
        <v>30</v>
      </c>
      <c r="P349" s="1" t="s">
        <v>1943</v>
      </c>
      <c r="Q349" s="1" t="s">
        <v>1935</v>
      </c>
      <c r="R349" s="1" t="s">
        <v>1936</v>
      </c>
      <c r="S349" s="1" t="s">
        <v>1930</v>
      </c>
      <c r="T349" s="14">
        <v>47788</v>
      </c>
      <c r="U349" s="1" t="s">
        <v>1944</v>
      </c>
      <c r="V349" s="1" t="s">
        <v>36</v>
      </c>
      <c r="W349" s="3" t="str">
        <f t="shared" si="5"/>
        <v>51 tahun</v>
      </c>
      <c r="X349" s="1" t="s">
        <v>121</v>
      </c>
      <c r="Y349" s="1" t="s">
        <v>1945</v>
      </c>
      <c r="Z349" s="2">
        <v>38718</v>
      </c>
      <c r="AA349" s="2">
        <v>41030</v>
      </c>
      <c r="AB349" s="2" t="s">
        <v>1946</v>
      </c>
    </row>
    <row r="350" spans="1:28" x14ac:dyDescent="0.35">
      <c r="A350" s="12">
        <v>6206</v>
      </c>
      <c r="B350" s="12">
        <v>9112372</v>
      </c>
      <c r="C350" s="12" t="s">
        <v>103</v>
      </c>
      <c r="D350" s="12">
        <v>50069417</v>
      </c>
      <c r="E350" s="1" t="s">
        <v>1947</v>
      </c>
      <c r="F350" s="1" t="str">
        <f>VLOOKUP(A350,[1]Sheet1!$A$2:$E$1141,5,0)</f>
        <v>Spv of Line 4 RM Field</v>
      </c>
      <c r="G350" s="17" t="str">
        <f>VLOOKUP(A350,[1]Sheet1!$A$2:$F$1141,6,0)</f>
        <v>Supervisor</v>
      </c>
      <c r="H350" s="1" t="s">
        <v>1926</v>
      </c>
      <c r="I350" s="1" t="s">
        <v>1117</v>
      </c>
      <c r="J350" s="1" t="str">
        <f>VLOOKUP(A350,[1]Sheet1!$A$2:$H$1141,8,0)</f>
        <v>Dept. of Clinker &amp; Cement Production</v>
      </c>
      <c r="K350" s="1" t="str">
        <f>VLOOKUP(A350,[1]Sheet1!$A$2:$I$1141,9,0)</f>
        <v>Unit of Clinker Production</v>
      </c>
      <c r="L350" s="1" t="str">
        <f>VLOOKUP(A350,[1]Sheet1!$A$2:$J$1141,10,0)</f>
        <v>Section of Line 4 RKC Operation</v>
      </c>
      <c r="M350" s="2">
        <v>33484</v>
      </c>
      <c r="N350" s="1" t="s">
        <v>29</v>
      </c>
      <c r="O350" s="1" t="s">
        <v>30</v>
      </c>
      <c r="P350" s="1" t="s">
        <v>1948</v>
      </c>
      <c r="Q350" s="1" t="s">
        <v>1935</v>
      </c>
      <c r="R350" s="1" t="s">
        <v>1936</v>
      </c>
      <c r="S350" s="1" t="s">
        <v>1930</v>
      </c>
      <c r="T350" s="14">
        <v>53966</v>
      </c>
      <c r="U350" s="1" t="s">
        <v>1949</v>
      </c>
      <c r="V350" s="1" t="s">
        <v>36</v>
      </c>
      <c r="W350" s="3" t="str">
        <f t="shared" si="5"/>
        <v>34 tahun</v>
      </c>
      <c r="X350" s="1" t="s">
        <v>121</v>
      </c>
      <c r="Y350" s="1" t="s">
        <v>56</v>
      </c>
      <c r="Z350" s="2">
        <v>41275</v>
      </c>
      <c r="AA350" s="2">
        <v>41395</v>
      </c>
      <c r="AB350" s="2" t="s">
        <v>1950</v>
      </c>
    </row>
    <row r="351" spans="1:28" x14ac:dyDescent="0.35">
      <c r="A351" s="12">
        <v>4738</v>
      </c>
      <c r="B351" s="12">
        <v>7002145</v>
      </c>
      <c r="C351" s="12" t="s">
        <v>164</v>
      </c>
      <c r="D351" s="12">
        <v>50065601</v>
      </c>
      <c r="E351" s="1" t="s">
        <v>1951</v>
      </c>
      <c r="F351" s="1" t="str">
        <f>VLOOKUP(A351,[1]Sheet1!$A$2:$E$1141,5,0)</f>
        <v>E Tender Belt Transport Sil, CL &amp; LS</v>
      </c>
      <c r="G351" s="17" t="str">
        <f>VLOOKUP(A351,[1]Sheet1!$A$2:$F$1141,6,0)</f>
        <v>Associate</v>
      </c>
      <c r="H351" s="1" t="s">
        <v>1926</v>
      </c>
      <c r="I351" s="1" t="s">
        <v>1117</v>
      </c>
      <c r="J351" s="1" t="str">
        <f>VLOOKUP(A351,[1]Sheet1!$A$2:$H$1141,8,0)</f>
        <v>Dept. of Clinker &amp; Cement Production</v>
      </c>
      <c r="K351" s="1" t="str">
        <f>VLOOKUP(A351,[1]Sheet1!$A$2:$I$1141,9,0)</f>
        <v>Unit of Clinker Production</v>
      </c>
      <c r="L351" s="1" t="str">
        <f>VLOOKUP(A351,[1]Sheet1!$A$2:$J$1141,10,0)</f>
        <v>Section of Line 4 RKC Operation</v>
      </c>
      <c r="M351" s="2">
        <v>25869</v>
      </c>
      <c r="N351" s="1" t="s">
        <v>29</v>
      </c>
      <c r="O351" s="1" t="s">
        <v>30</v>
      </c>
      <c r="P351" s="1" t="s">
        <v>1952</v>
      </c>
      <c r="Q351" s="1" t="s">
        <v>1935</v>
      </c>
      <c r="R351" s="1" t="s">
        <v>1936</v>
      </c>
      <c r="S351" s="1" t="s">
        <v>1930</v>
      </c>
      <c r="T351" s="14">
        <v>46327</v>
      </c>
      <c r="U351" s="1" t="s">
        <v>1953</v>
      </c>
      <c r="V351" s="1" t="s">
        <v>36</v>
      </c>
      <c r="W351" s="3" t="str">
        <f t="shared" si="5"/>
        <v>55 tahun</v>
      </c>
      <c r="X351" s="1" t="s">
        <v>91</v>
      </c>
      <c r="Y351" s="1" t="s">
        <v>56</v>
      </c>
      <c r="Z351" s="2">
        <v>37469</v>
      </c>
      <c r="AA351" s="2">
        <v>38718</v>
      </c>
      <c r="AB351" s="2" t="s">
        <v>1954</v>
      </c>
    </row>
    <row r="352" spans="1:28" x14ac:dyDescent="0.35">
      <c r="A352" s="12">
        <v>4756</v>
      </c>
      <c r="B352" s="12">
        <v>7102157</v>
      </c>
      <c r="C352" s="12" t="s">
        <v>164</v>
      </c>
      <c r="D352" s="12">
        <v>50053162</v>
      </c>
      <c r="E352" s="1" t="s">
        <v>1955</v>
      </c>
      <c r="F352" s="1" t="str">
        <f>VLOOKUP(A352,[1]Sheet1!$A$2:$E$1141,5,0)</f>
        <v>Tender Feed Bin &amp; Trans Bin</v>
      </c>
      <c r="G352" s="17" t="str">
        <f>VLOOKUP(A352,[1]Sheet1!$A$2:$F$1141,6,0)</f>
        <v>Associate</v>
      </c>
      <c r="H352" s="1" t="s">
        <v>1926</v>
      </c>
      <c r="I352" s="1" t="s">
        <v>1117</v>
      </c>
      <c r="J352" s="1" t="str">
        <f>VLOOKUP(A352,[1]Sheet1!$A$2:$H$1141,8,0)</f>
        <v>Dept. of Clinker &amp; Cement Production</v>
      </c>
      <c r="K352" s="1" t="str">
        <f>VLOOKUP(A352,[1]Sheet1!$A$2:$I$1141,9,0)</f>
        <v>Unit of Clinker Production</v>
      </c>
      <c r="L352" s="1" t="str">
        <f>VLOOKUP(A352,[1]Sheet1!$A$2:$J$1141,10,0)</f>
        <v>Section of Line 4 RKC Operation</v>
      </c>
      <c r="M352" s="2">
        <v>26016</v>
      </c>
      <c r="N352" s="1" t="s">
        <v>29</v>
      </c>
      <c r="O352" s="1" t="s">
        <v>30</v>
      </c>
      <c r="P352" s="1" t="s">
        <v>1956</v>
      </c>
      <c r="Q352" s="1" t="s">
        <v>1957</v>
      </c>
      <c r="R352" s="1" t="s">
        <v>1958</v>
      </c>
      <c r="S352" s="1" t="s">
        <v>1930</v>
      </c>
      <c r="T352" s="14">
        <v>46478</v>
      </c>
      <c r="U352" s="1" t="s">
        <v>1959</v>
      </c>
      <c r="V352" s="1" t="s">
        <v>36</v>
      </c>
      <c r="W352" s="3" t="str">
        <f t="shared" si="5"/>
        <v>55 tahun</v>
      </c>
      <c r="X352" s="1" t="s">
        <v>37</v>
      </c>
      <c r="Y352" s="1" t="s">
        <v>56</v>
      </c>
      <c r="Z352" s="2">
        <v>37469</v>
      </c>
      <c r="AA352" s="2">
        <v>38718</v>
      </c>
      <c r="AB352" s="2" t="s">
        <v>1960</v>
      </c>
    </row>
    <row r="353" spans="1:28" x14ac:dyDescent="0.35">
      <c r="A353" s="12">
        <v>4964</v>
      </c>
      <c r="B353" s="12">
        <v>7395203</v>
      </c>
      <c r="C353" s="12" t="s">
        <v>50</v>
      </c>
      <c r="D353" s="12">
        <v>50053163</v>
      </c>
      <c r="E353" s="1" t="s">
        <v>1961</v>
      </c>
      <c r="F353" s="1" t="str">
        <f>VLOOKUP(A353,[1]Sheet1!$A$2:$E$1141,5,0)</f>
        <v>Spv of CCR RKC &amp; Trass Dryer 4</v>
      </c>
      <c r="G353" s="17" t="str">
        <f>VLOOKUP(A353,[1]Sheet1!$A$2:$F$1141,6,0)</f>
        <v>Supervisor</v>
      </c>
      <c r="H353" s="1" t="s">
        <v>1926</v>
      </c>
      <c r="I353" s="1" t="s">
        <v>1117</v>
      </c>
      <c r="J353" s="1" t="str">
        <f>VLOOKUP(A353,[1]Sheet1!$A$2:$H$1141,8,0)</f>
        <v>Dept. of Clinker &amp; Cement Production</v>
      </c>
      <c r="K353" s="1" t="str">
        <f>VLOOKUP(A353,[1]Sheet1!$A$2:$I$1141,9,0)</f>
        <v>Unit of Clinker Production</v>
      </c>
      <c r="L353" s="1" t="str">
        <f>VLOOKUP(A353,[1]Sheet1!$A$2:$J$1141,10,0)</f>
        <v>Section of Line 4 RKC Operation</v>
      </c>
      <c r="M353" s="2">
        <v>26938</v>
      </c>
      <c r="N353" s="1" t="s">
        <v>29</v>
      </c>
      <c r="O353" s="1" t="s">
        <v>30</v>
      </c>
      <c r="P353" s="1" t="s">
        <v>1962</v>
      </c>
      <c r="Q353" s="1" t="s">
        <v>1963</v>
      </c>
      <c r="R353" s="1" t="s">
        <v>1964</v>
      </c>
      <c r="S353" s="1" t="s">
        <v>1930</v>
      </c>
      <c r="T353" s="14">
        <v>47423</v>
      </c>
      <c r="U353" s="1" t="s">
        <v>1965</v>
      </c>
      <c r="V353" s="1" t="s">
        <v>36</v>
      </c>
      <c r="W353" s="3" t="str">
        <f t="shared" si="5"/>
        <v>52 tahun</v>
      </c>
      <c r="X353" s="1" t="s">
        <v>55</v>
      </c>
      <c r="Y353" s="1" t="s">
        <v>56</v>
      </c>
      <c r="Z353" s="2">
        <v>35002</v>
      </c>
      <c r="AA353" s="2">
        <v>35370</v>
      </c>
      <c r="AB353" s="2" t="s">
        <v>1966</v>
      </c>
    </row>
    <row r="354" spans="1:28" x14ac:dyDescent="0.35">
      <c r="A354" s="12">
        <v>6073</v>
      </c>
      <c r="B354" s="12">
        <v>9012240</v>
      </c>
      <c r="C354" s="12" t="s">
        <v>103</v>
      </c>
      <c r="D354" s="12">
        <v>50053164</v>
      </c>
      <c r="E354" s="1" t="s">
        <v>1967</v>
      </c>
      <c r="F354" s="1" t="str">
        <f>VLOOKUP(A354,[1]Sheet1!$A$2:$E$1141,5,0)</f>
        <v>Spv of CCR RKC &amp; Trass Dryer 4</v>
      </c>
      <c r="G354" s="17" t="str">
        <f>VLOOKUP(A354,[1]Sheet1!$A$2:$F$1141,6,0)</f>
        <v>Supervisor</v>
      </c>
      <c r="H354" s="1" t="s">
        <v>1926</v>
      </c>
      <c r="I354" s="1" t="s">
        <v>1117</v>
      </c>
      <c r="J354" s="1" t="str">
        <f>VLOOKUP(A354,[1]Sheet1!$A$2:$H$1141,8,0)</f>
        <v>Dept. of Clinker &amp; Cement Production</v>
      </c>
      <c r="K354" s="1" t="str">
        <f>VLOOKUP(A354,[1]Sheet1!$A$2:$I$1141,9,0)</f>
        <v>Unit of Clinker Production</v>
      </c>
      <c r="L354" s="1" t="str">
        <f>VLOOKUP(A354,[1]Sheet1!$A$2:$J$1141,10,0)</f>
        <v>Section of Line 4 RKC Operation</v>
      </c>
      <c r="M354" s="2">
        <v>32914</v>
      </c>
      <c r="N354" s="1" t="s">
        <v>29</v>
      </c>
      <c r="O354" s="1" t="s">
        <v>30</v>
      </c>
      <c r="P354" s="1" t="s">
        <v>1968</v>
      </c>
      <c r="Q354" s="1" t="s">
        <v>1963</v>
      </c>
      <c r="R354" s="1" t="s">
        <v>1964</v>
      </c>
      <c r="S354" s="1" t="s">
        <v>1930</v>
      </c>
      <c r="T354" s="14">
        <v>53387</v>
      </c>
      <c r="U354" s="1" t="s">
        <v>1969</v>
      </c>
      <c r="V354" s="1" t="s">
        <v>36</v>
      </c>
      <c r="W354" s="3" t="str">
        <f t="shared" si="5"/>
        <v>36 tahun</v>
      </c>
      <c r="X354" s="1" t="s">
        <v>356</v>
      </c>
      <c r="Y354" s="1" t="s">
        <v>48</v>
      </c>
      <c r="Z354" s="2">
        <v>41275</v>
      </c>
      <c r="AA354" s="2">
        <v>41395</v>
      </c>
      <c r="AB354" s="2" t="s">
        <v>1970</v>
      </c>
    </row>
    <row r="355" spans="1:28" x14ac:dyDescent="0.35">
      <c r="A355" s="12">
        <v>6043</v>
      </c>
      <c r="B355" s="12">
        <v>8912211</v>
      </c>
      <c r="C355" s="12" t="s">
        <v>103</v>
      </c>
      <c r="D355" s="12">
        <v>50053165</v>
      </c>
      <c r="E355" s="1" t="s">
        <v>1971</v>
      </c>
      <c r="F355" s="1" t="str">
        <f>VLOOKUP(A355,[1]Sheet1!$A$2:$E$1141,5,0)</f>
        <v>Spv of CCR RKC &amp; Trass Dryer 4</v>
      </c>
      <c r="G355" s="17" t="str">
        <f>VLOOKUP(A355,[1]Sheet1!$A$2:$F$1141,6,0)</f>
        <v>Supervisor</v>
      </c>
      <c r="H355" s="1" t="s">
        <v>1926</v>
      </c>
      <c r="I355" s="1" t="s">
        <v>1117</v>
      </c>
      <c r="J355" s="1" t="str">
        <f>VLOOKUP(A355,[1]Sheet1!$A$2:$H$1141,8,0)</f>
        <v>Dept. of Clinker &amp; Cement Production</v>
      </c>
      <c r="K355" s="1" t="str">
        <f>VLOOKUP(A355,[1]Sheet1!$A$2:$I$1141,9,0)</f>
        <v>Unit of Clinker Production</v>
      </c>
      <c r="L355" s="1" t="str">
        <f>VLOOKUP(A355,[1]Sheet1!$A$2:$J$1141,10,0)</f>
        <v>Section of Line 4 RKC Operation</v>
      </c>
      <c r="M355" s="2">
        <v>32746</v>
      </c>
      <c r="N355" s="1" t="s">
        <v>29</v>
      </c>
      <c r="O355" s="1" t="s">
        <v>30</v>
      </c>
      <c r="P355" s="1" t="s">
        <v>1972</v>
      </c>
      <c r="Q355" s="1" t="s">
        <v>1963</v>
      </c>
      <c r="R355" s="1" t="s">
        <v>1964</v>
      </c>
      <c r="S355" s="1" t="s">
        <v>1930</v>
      </c>
      <c r="T355" s="14">
        <v>53206</v>
      </c>
      <c r="U355" s="1" t="s">
        <v>1973</v>
      </c>
      <c r="V355" s="1" t="s">
        <v>36</v>
      </c>
      <c r="W355" s="3" t="str">
        <f t="shared" si="5"/>
        <v>37 tahun</v>
      </c>
      <c r="X355" s="1" t="s">
        <v>600</v>
      </c>
      <c r="Y355" s="1" t="s">
        <v>48</v>
      </c>
      <c r="Z355" s="2">
        <v>41275</v>
      </c>
      <c r="AA355" s="2">
        <v>41426</v>
      </c>
      <c r="AB355" s="2" t="s">
        <v>1974</v>
      </c>
    </row>
    <row r="356" spans="1:28" x14ac:dyDescent="0.35">
      <c r="A356" s="12">
        <v>6100</v>
      </c>
      <c r="B356" s="12">
        <v>9012268</v>
      </c>
      <c r="C356" s="12" t="s">
        <v>103</v>
      </c>
      <c r="D356" s="12">
        <v>50053166</v>
      </c>
      <c r="E356" s="1" t="s">
        <v>1975</v>
      </c>
      <c r="F356" s="1" t="str">
        <f>VLOOKUP(A356,[1]Sheet1!$A$2:$E$1141,5,0)</f>
        <v>Spv of CCR RKC &amp; Trass Dryer 4</v>
      </c>
      <c r="G356" s="17" t="str">
        <f>VLOOKUP(A356,[1]Sheet1!$A$2:$F$1141,6,0)</f>
        <v>Supervisor</v>
      </c>
      <c r="H356" s="1" t="s">
        <v>1926</v>
      </c>
      <c r="I356" s="1" t="s">
        <v>1117</v>
      </c>
      <c r="J356" s="1" t="str">
        <f>VLOOKUP(A356,[1]Sheet1!$A$2:$H$1141,8,0)</f>
        <v>Dept. of Clinker &amp; Cement Production</v>
      </c>
      <c r="K356" s="1" t="str">
        <f>VLOOKUP(A356,[1]Sheet1!$A$2:$I$1141,9,0)</f>
        <v>Unit of Clinker Production</v>
      </c>
      <c r="L356" s="1" t="str">
        <f>VLOOKUP(A356,[1]Sheet1!$A$2:$J$1141,10,0)</f>
        <v>Section of Line 4 RKC Operation</v>
      </c>
      <c r="M356" s="2">
        <v>33030</v>
      </c>
      <c r="N356" s="1" t="s">
        <v>29</v>
      </c>
      <c r="O356" s="1" t="s">
        <v>30</v>
      </c>
      <c r="P356" s="1" t="s">
        <v>1976</v>
      </c>
      <c r="Q356" s="1" t="s">
        <v>1963</v>
      </c>
      <c r="R356" s="1" t="s">
        <v>1964</v>
      </c>
      <c r="S356" s="1" t="s">
        <v>1930</v>
      </c>
      <c r="T356" s="14">
        <v>53509</v>
      </c>
      <c r="U356" s="1" t="s">
        <v>1977</v>
      </c>
      <c r="V356" s="1" t="s">
        <v>36</v>
      </c>
      <c r="W356" s="3" t="str">
        <f t="shared" si="5"/>
        <v>36 tahun</v>
      </c>
      <c r="X356" s="1" t="s">
        <v>55</v>
      </c>
      <c r="Y356" s="1" t="s">
        <v>56</v>
      </c>
      <c r="Z356" s="2">
        <v>41275</v>
      </c>
      <c r="AA356" s="2">
        <v>41456</v>
      </c>
      <c r="AB356" s="2" t="s">
        <v>1978</v>
      </c>
    </row>
    <row r="357" spans="1:28" x14ac:dyDescent="0.35">
      <c r="A357" s="12">
        <v>6120</v>
      </c>
      <c r="B357" s="12">
        <v>9012289</v>
      </c>
      <c r="C357" s="12" t="s">
        <v>103</v>
      </c>
      <c r="D357" s="12">
        <v>50055597</v>
      </c>
      <c r="E357" s="1" t="s">
        <v>1979</v>
      </c>
      <c r="F357" s="1" t="str">
        <f>VLOOKUP(A357,[1]Sheet1!$A$2:$E$1141,5,0)</f>
        <v>Spv of CCR RKC &amp; Trass Dryer 4</v>
      </c>
      <c r="G357" s="17" t="str">
        <f>VLOOKUP(A357,[1]Sheet1!$A$2:$F$1141,6,0)</f>
        <v>Supervisor</v>
      </c>
      <c r="H357" s="1" t="s">
        <v>1926</v>
      </c>
      <c r="I357" s="1" t="s">
        <v>1117</v>
      </c>
      <c r="J357" s="1" t="str">
        <f>VLOOKUP(A357,[1]Sheet1!$A$2:$H$1141,8,0)</f>
        <v>Dept. of Clinker &amp; Cement Production</v>
      </c>
      <c r="K357" s="1" t="str">
        <f>VLOOKUP(A357,[1]Sheet1!$A$2:$I$1141,9,0)</f>
        <v>Unit of Clinker Production</v>
      </c>
      <c r="L357" s="1" t="str">
        <f>VLOOKUP(A357,[1]Sheet1!$A$2:$J$1141,10,0)</f>
        <v>Section of Line 4 RKC Operation</v>
      </c>
      <c r="M357" s="2">
        <v>33132</v>
      </c>
      <c r="N357" s="1" t="s">
        <v>29</v>
      </c>
      <c r="O357" s="1" t="s">
        <v>30</v>
      </c>
      <c r="P357" s="1" t="s">
        <v>1980</v>
      </c>
      <c r="Q357" s="1" t="s">
        <v>1963</v>
      </c>
      <c r="R357" s="1" t="s">
        <v>1964</v>
      </c>
      <c r="S357" s="1" t="s">
        <v>1930</v>
      </c>
      <c r="T357" s="14">
        <v>53601</v>
      </c>
      <c r="U357" s="1" t="s">
        <v>1981</v>
      </c>
      <c r="V357" s="1" t="s">
        <v>36</v>
      </c>
      <c r="W357" s="3" t="str">
        <f t="shared" si="5"/>
        <v>35 tahun</v>
      </c>
      <c r="X357" s="1" t="s">
        <v>595</v>
      </c>
      <c r="Y357" s="1" t="s">
        <v>56</v>
      </c>
      <c r="Z357" s="2">
        <v>41275</v>
      </c>
      <c r="AA357" s="2">
        <v>41426</v>
      </c>
      <c r="AB357" s="2" t="s">
        <v>1982</v>
      </c>
    </row>
    <row r="358" spans="1:28" x14ac:dyDescent="0.35">
      <c r="A358" s="12">
        <v>6251</v>
      </c>
      <c r="B358" s="12">
        <v>9212419</v>
      </c>
      <c r="C358" s="12" t="s">
        <v>103</v>
      </c>
      <c r="D358" s="12">
        <v>50055598</v>
      </c>
      <c r="E358" s="1" t="s">
        <v>1983</v>
      </c>
      <c r="F358" s="1" t="str">
        <f>VLOOKUP(A358,[1]Sheet1!$A$2:$E$1141,5,0)</f>
        <v>Spv of CCR RKC &amp; Trass Dryer 4</v>
      </c>
      <c r="G358" s="17" t="str">
        <f>VLOOKUP(A358,[1]Sheet1!$A$2:$F$1141,6,0)</f>
        <v>Supervisor</v>
      </c>
      <c r="H358" s="1" t="s">
        <v>1926</v>
      </c>
      <c r="I358" s="1" t="s">
        <v>1117</v>
      </c>
      <c r="J358" s="1" t="str">
        <f>VLOOKUP(A358,[1]Sheet1!$A$2:$H$1141,8,0)</f>
        <v>Dept. of Clinker &amp; Cement Production</v>
      </c>
      <c r="K358" s="1" t="str">
        <f>VLOOKUP(A358,[1]Sheet1!$A$2:$I$1141,9,0)</f>
        <v>Unit of Clinker Production</v>
      </c>
      <c r="L358" s="1" t="str">
        <f>VLOOKUP(A358,[1]Sheet1!$A$2:$J$1141,10,0)</f>
        <v>Section of Line 4 RKC Operation</v>
      </c>
      <c r="M358" s="2">
        <v>33725</v>
      </c>
      <c r="N358" s="1" t="s">
        <v>29</v>
      </c>
      <c r="O358" s="1" t="s">
        <v>30</v>
      </c>
      <c r="P358" s="1" t="s">
        <v>1984</v>
      </c>
      <c r="Q358" s="1" t="s">
        <v>1963</v>
      </c>
      <c r="R358" s="1" t="s">
        <v>1964</v>
      </c>
      <c r="S358" s="1" t="s">
        <v>1930</v>
      </c>
      <c r="T358" s="14">
        <v>54210</v>
      </c>
      <c r="U358" s="1" t="s">
        <v>1985</v>
      </c>
      <c r="V358" s="1" t="s">
        <v>36</v>
      </c>
      <c r="W358" s="3" t="str">
        <f t="shared" si="5"/>
        <v>34 tahun</v>
      </c>
      <c r="X358" s="1" t="s">
        <v>91</v>
      </c>
      <c r="Y358" s="1" t="s">
        <v>56</v>
      </c>
      <c r="Z358" s="2">
        <v>41275</v>
      </c>
      <c r="AA358" s="2">
        <v>41395</v>
      </c>
      <c r="AB358" s="2" t="s">
        <v>1986</v>
      </c>
    </row>
    <row r="359" spans="1:28" x14ac:dyDescent="0.35">
      <c r="A359" s="12">
        <v>6237</v>
      </c>
      <c r="B359" s="12">
        <v>9212405</v>
      </c>
      <c r="C359" s="12" t="s">
        <v>103</v>
      </c>
      <c r="D359" s="12">
        <v>50055599</v>
      </c>
      <c r="E359" s="1" t="s">
        <v>1987</v>
      </c>
      <c r="F359" s="1" t="str">
        <f>VLOOKUP(A359,[1]Sheet1!$A$2:$E$1141,5,0)</f>
        <v>Spv of CCR RKC &amp; Trass Dryer 4</v>
      </c>
      <c r="G359" s="17" t="str">
        <f>VLOOKUP(A359,[1]Sheet1!$A$2:$F$1141,6,0)</f>
        <v>Supervisor</v>
      </c>
      <c r="H359" s="1" t="s">
        <v>1926</v>
      </c>
      <c r="I359" s="1" t="s">
        <v>1117</v>
      </c>
      <c r="J359" s="1" t="str">
        <f>VLOOKUP(A359,[1]Sheet1!$A$2:$H$1141,8,0)</f>
        <v>Dept. of Clinker &amp; Cement Production</v>
      </c>
      <c r="K359" s="1" t="str">
        <f>VLOOKUP(A359,[1]Sheet1!$A$2:$I$1141,9,0)</f>
        <v>Unit of Clinker Production</v>
      </c>
      <c r="L359" s="1" t="str">
        <f>VLOOKUP(A359,[1]Sheet1!$A$2:$J$1141,10,0)</f>
        <v>Section of Line 4 RKC Operation</v>
      </c>
      <c r="M359" s="2">
        <v>33648</v>
      </c>
      <c r="N359" s="1" t="s">
        <v>29</v>
      </c>
      <c r="O359" s="1" t="s">
        <v>30</v>
      </c>
      <c r="P359" s="1" t="s">
        <v>1988</v>
      </c>
      <c r="Q359" s="1" t="s">
        <v>1963</v>
      </c>
      <c r="R359" s="1" t="s">
        <v>1964</v>
      </c>
      <c r="S359" s="1" t="s">
        <v>1930</v>
      </c>
      <c r="T359" s="14">
        <v>54118</v>
      </c>
      <c r="U359" s="1" t="s">
        <v>1989</v>
      </c>
      <c r="V359" s="1" t="s">
        <v>36</v>
      </c>
      <c r="W359" s="3" t="str">
        <f t="shared" si="5"/>
        <v>34 tahun</v>
      </c>
      <c r="X359" s="1" t="s">
        <v>527</v>
      </c>
      <c r="Y359" s="1" t="s">
        <v>48</v>
      </c>
      <c r="Z359" s="2">
        <v>41275</v>
      </c>
      <c r="AA359" s="2">
        <v>41395</v>
      </c>
      <c r="AB359" s="2" t="s">
        <v>1990</v>
      </c>
    </row>
    <row r="360" spans="1:28" x14ac:dyDescent="0.35">
      <c r="A360" s="12">
        <v>6279</v>
      </c>
      <c r="B360" s="12">
        <v>9312448</v>
      </c>
      <c r="C360" s="12" t="s">
        <v>103</v>
      </c>
      <c r="D360" s="12">
        <v>50055775</v>
      </c>
      <c r="E360" s="1" t="s">
        <v>1335</v>
      </c>
      <c r="F360" s="1" t="str">
        <f>VLOOKUP(A360,[1]Sheet1!$A$2:$E$1141,5,0)</f>
        <v>Spv of CCR RKC &amp; Trass Dryer 4</v>
      </c>
      <c r="G360" s="17" t="str">
        <f>VLOOKUP(A360,[1]Sheet1!$A$2:$F$1141,6,0)</f>
        <v>Supervisor</v>
      </c>
      <c r="H360" s="1" t="s">
        <v>1926</v>
      </c>
      <c r="I360" s="1" t="s">
        <v>1117</v>
      </c>
      <c r="J360" s="1" t="str">
        <f>VLOOKUP(A360,[1]Sheet1!$A$2:$H$1141,8,0)</f>
        <v>Dept. of Clinker &amp; Cement Production</v>
      </c>
      <c r="K360" s="1" t="str">
        <f>VLOOKUP(A360,[1]Sheet1!$A$2:$I$1141,9,0)</f>
        <v>Unit of Clinker Production</v>
      </c>
      <c r="L360" s="1" t="str">
        <f>VLOOKUP(A360,[1]Sheet1!$A$2:$J$1141,10,0)</f>
        <v>Section of Line 4 RKC Operation</v>
      </c>
      <c r="M360" s="2">
        <v>34164</v>
      </c>
      <c r="N360" s="1" t="s">
        <v>29</v>
      </c>
      <c r="O360" s="1" t="s">
        <v>30</v>
      </c>
      <c r="P360" s="1" t="s">
        <v>1991</v>
      </c>
      <c r="Q360" s="1" t="s">
        <v>1963</v>
      </c>
      <c r="R360" s="1" t="s">
        <v>1964</v>
      </c>
      <c r="S360" s="1" t="s">
        <v>1930</v>
      </c>
      <c r="T360" s="14">
        <v>54636</v>
      </c>
      <c r="U360" s="1" t="s">
        <v>1992</v>
      </c>
      <c r="V360" s="1" t="s">
        <v>36</v>
      </c>
      <c r="W360" s="3" t="str">
        <f t="shared" si="5"/>
        <v>33 tahun</v>
      </c>
      <c r="X360" s="1" t="s">
        <v>112</v>
      </c>
      <c r="Y360" s="1" t="s">
        <v>56</v>
      </c>
      <c r="Z360" s="2">
        <v>41275</v>
      </c>
      <c r="AA360" s="2">
        <v>41426</v>
      </c>
      <c r="AB360" s="2" t="s">
        <v>1993</v>
      </c>
    </row>
    <row r="361" spans="1:28" x14ac:dyDescent="0.35">
      <c r="A361" s="12">
        <v>6004</v>
      </c>
      <c r="B361" s="12">
        <v>8912171</v>
      </c>
      <c r="C361" s="12" t="s">
        <v>103</v>
      </c>
      <c r="D361" s="12">
        <v>50069361</v>
      </c>
      <c r="E361" s="1" t="s">
        <v>1994</v>
      </c>
      <c r="F361" s="1" t="str">
        <f>VLOOKUP(A361,[1]Sheet1!$A$2:$E$1141,5,0)</f>
        <v>Spv of CCR RKC &amp; Trass Dryer 4</v>
      </c>
      <c r="G361" s="17" t="str">
        <f>VLOOKUP(A361,[1]Sheet1!$A$2:$F$1141,6,0)</f>
        <v>Supervisor</v>
      </c>
      <c r="H361" s="1" t="s">
        <v>1926</v>
      </c>
      <c r="I361" s="1" t="s">
        <v>1117</v>
      </c>
      <c r="J361" s="1" t="str">
        <f>VLOOKUP(A361,[1]Sheet1!$A$2:$H$1141,8,0)</f>
        <v>Dept. of Clinker &amp; Cement Production</v>
      </c>
      <c r="K361" s="1" t="str">
        <f>VLOOKUP(A361,[1]Sheet1!$A$2:$I$1141,9,0)</f>
        <v>Unit of Clinker Production</v>
      </c>
      <c r="L361" s="1" t="str">
        <f>VLOOKUP(A361,[1]Sheet1!$A$2:$J$1141,10,0)</f>
        <v>Section of Line 4 RKC Operation</v>
      </c>
      <c r="M361" s="2">
        <v>32564</v>
      </c>
      <c r="N361" s="1" t="s">
        <v>29</v>
      </c>
      <c r="O361" s="1" t="s">
        <v>30</v>
      </c>
      <c r="P361" s="1" t="s">
        <v>1995</v>
      </c>
      <c r="Q361" s="1" t="s">
        <v>1963</v>
      </c>
      <c r="R361" s="1" t="s">
        <v>1964</v>
      </c>
      <c r="S361" s="1" t="s">
        <v>1930</v>
      </c>
      <c r="T361" s="14">
        <v>53022</v>
      </c>
      <c r="U361" s="1" t="s">
        <v>1996</v>
      </c>
      <c r="V361" s="1" t="s">
        <v>36</v>
      </c>
      <c r="W361" s="3" t="str">
        <f t="shared" si="5"/>
        <v>37 tahun</v>
      </c>
      <c r="X361" s="1" t="s">
        <v>55</v>
      </c>
      <c r="Y361" s="1" t="s">
        <v>56</v>
      </c>
      <c r="Z361" s="2">
        <v>41275</v>
      </c>
      <c r="AA361" s="2">
        <v>41395</v>
      </c>
      <c r="AB361" s="2" t="s">
        <v>1997</v>
      </c>
    </row>
    <row r="362" spans="1:28" x14ac:dyDescent="0.35">
      <c r="A362" s="12">
        <v>6071</v>
      </c>
      <c r="B362" s="12">
        <v>9012238</v>
      </c>
      <c r="C362" s="12" t="s">
        <v>103</v>
      </c>
      <c r="D362" s="12">
        <v>50069362</v>
      </c>
      <c r="E362" s="1" t="s">
        <v>1998</v>
      </c>
      <c r="F362" s="1" t="str">
        <f>VLOOKUP(A362,[1]Sheet1!$A$2:$E$1141,5,0)</f>
        <v>Spv of CCR RKC &amp; Trass Dryer 4</v>
      </c>
      <c r="G362" s="17" t="str">
        <f>VLOOKUP(A362,[1]Sheet1!$A$2:$F$1141,6,0)</f>
        <v>Supervisor</v>
      </c>
      <c r="H362" s="1" t="s">
        <v>1926</v>
      </c>
      <c r="I362" s="1" t="s">
        <v>1117</v>
      </c>
      <c r="J362" s="1" t="str">
        <f>VLOOKUP(A362,[1]Sheet1!$A$2:$H$1141,8,0)</f>
        <v>Dept. of Clinker &amp; Cement Production</v>
      </c>
      <c r="K362" s="1" t="str">
        <f>VLOOKUP(A362,[1]Sheet1!$A$2:$I$1141,9,0)</f>
        <v>Unit of Clinker Production</v>
      </c>
      <c r="L362" s="1" t="str">
        <f>VLOOKUP(A362,[1]Sheet1!$A$2:$J$1141,10,0)</f>
        <v>Section of Line 4 RKC Operation</v>
      </c>
      <c r="M362" s="2">
        <v>32904</v>
      </c>
      <c r="N362" s="1" t="s">
        <v>29</v>
      </c>
      <c r="O362" s="1" t="s">
        <v>30</v>
      </c>
      <c r="P362" s="1" t="s">
        <v>1999</v>
      </c>
      <c r="Q362" s="1" t="s">
        <v>1963</v>
      </c>
      <c r="R362" s="1" t="s">
        <v>1964</v>
      </c>
      <c r="S362" s="1" t="s">
        <v>1930</v>
      </c>
      <c r="T362" s="14">
        <v>53359</v>
      </c>
      <c r="U362" s="1" t="s">
        <v>2000</v>
      </c>
      <c r="V362" s="1" t="s">
        <v>36</v>
      </c>
      <c r="W362" s="3" t="str">
        <f t="shared" si="5"/>
        <v>36 tahun</v>
      </c>
      <c r="X362" s="1" t="s">
        <v>204</v>
      </c>
      <c r="Y362" s="1" t="s">
        <v>56</v>
      </c>
      <c r="Z362" s="2">
        <v>41275</v>
      </c>
      <c r="AA362" s="2">
        <v>41365</v>
      </c>
      <c r="AB362" s="2" t="s">
        <v>2001</v>
      </c>
    </row>
    <row r="363" spans="1:28" x14ac:dyDescent="0.35">
      <c r="A363" s="12">
        <v>6129</v>
      </c>
      <c r="B363" s="12">
        <v>9012298</v>
      </c>
      <c r="C363" s="12" t="s">
        <v>103</v>
      </c>
      <c r="D363" s="12">
        <v>50069363</v>
      </c>
      <c r="E363" s="1" t="s">
        <v>2002</v>
      </c>
      <c r="F363" s="1" t="str">
        <f>VLOOKUP(A363,[1]Sheet1!$A$2:$E$1141,5,0)</f>
        <v>Spv of CCR RKC &amp; Trass Dryer 4</v>
      </c>
      <c r="G363" s="17" t="str">
        <f>VLOOKUP(A363,[1]Sheet1!$A$2:$F$1141,6,0)</f>
        <v>Supervisor</v>
      </c>
      <c r="H363" s="1" t="s">
        <v>1926</v>
      </c>
      <c r="I363" s="1" t="s">
        <v>1117</v>
      </c>
      <c r="J363" s="1" t="str">
        <f>VLOOKUP(A363,[1]Sheet1!$A$2:$H$1141,8,0)</f>
        <v>Dept. of Clinker &amp; Cement Production</v>
      </c>
      <c r="K363" s="1" t="str">
        <f>VLOOKUP(A363,[1]Sheet1!$A$2:$I$1141,9,0)</f>
        <v>Unit of Clinker Production</v>
      </c>
      <c r="L363" s="1" t="str">
        <f>VLOOKUP(A363,[1]Sheet1!$A$2:$J$1141,10,0)</f>
        <v>Section of Line 4 RKC Operation</v>
      </c>
      <c r="M363" s="2">
        <v>33155</v>
      </c>
      <c r="N363" s="1" t="s">
        <v>29</v>
      </c>
      <c r="O363" s="1" t="s">
        <v>30</v>
      </c>
      <c r="P363" s="1" t="s">
        <v>2003</v>
      </c>
      <c r="Q363" s="1" t="s">
        <v>1963</v>
      </c>
      <c r="R363" s="1" t="s">
        <v>1964</v>
      </c>
      <c r="S363" s="1" t="s">
        <v>1930</v>
      </c>
      <c r="T363" s="14">
        <v>53632</v>
      </c>
      <c r="U363" s="1" t="s">
        <v>2004</v>
      </c>
      <c r="V363" s="1" t="s">
        <v>186</v>
      </c>
      <c r="W363" s="3" t="str">
        <f t="shared" si="5"/>
        <v>35 tahun</v>
      </c>
      <c r="X363" s="1" t="s">
        <v>121</v>
      </c>
      <c r="Y363" s="1" t="s">
        <v>56</v>
      </c>
      <c r="Z363" s="2">
        <v>41275</v>
      </c>
      <c r="AA363" s="2">
        <v>41426</v>
      </c>
      <c r="AB363" s="2" t="s">
        <v>2005</v>
      </c>
    </row>
    <row r="364" spans="1:28" x14ac:dyDescent="0.35">
      <c r="A364" s="12">
        <v>6273</v>
      </c>
      <c r="B364" s="12">
        <v>9212442</v>
      </c>
      <c r="C364" s="12" t="s">
        <v>103</v>
      </c>
      <c r="D364" s="12">
        <v>50069364</v>
      </c>
      <c r="E364" s="1" t="s">
        <v>2006</v>
      </c>
      <c r="F364" s="1" t="str">
        <f>VLOOKUP(A364,[1]Sheet1!$A$2:$E$1141,5,0)</f>
        <v>Spv of CCR RKC &amp; Trass Dryer 4</v>
      </c>
      <c r="G364" s="17" t="str">
        <f>VLOOKUP(A364,[1]Sheet1!$A$2:$F$1141,6,0)</f>
        <v>Supervisor</v>
      </c>
      <c r="H364" s="1" t="s">
        <v>1926</v>
      </c>
      <c r="I364" s="1" t="s">
        <v>1117</v>
      </c>
      <c r="J364" s="1" t="str">
        <f>VLOOKUP(A364,[1]Sheet1!$A$2:$H$1141,8,0)</f>
        <v>Dept. of Clinker &amp; Cement Production</v>
      </c>
      <c r="K364" s="1" t="str">
        <f>VLOOKUP(A364,[1]Sheet1!$A$2:$I$1141,9,0)</f>
        <v>Unit of Clinker Production</v>
      </c>
      <c r="L364" s="1" t="str">
        <f>VLOOKUP(A364,[1]Sheet1!$A$2:$J$1141,10,0)</f>
        <v>Section of Line 4 RKC Operation</v>
      </c>
      <c r="M364" s="2">
        <v>33905</v>
      </c>
      <c r="N364" s="1" t="s">
        <v>29</v>
      </c>
      <c r="O364" s="1" t="s">
        <v>30</v>
      </c>
      <c r="P364" s="1" t="s">
        <v>2007</v>
      </c>
      <c r="Q364" s="1" t="s">
        <v>1963</v>
      </c>
      <c r="R364" s="1" t="s">
        <v>1964</v>
      </c>
      <c r="S364" s="1" t="s">
        <v>1930</v>
      </c>
      <c r="T364" s="14">
        <v>54363</v>
      </c>
      <c r="U364" s="1" t="s">
        <v>2008</v>
      </c>
      <c r="V364" s="1" t="s">
        <v>36</v>
      </c>
      <c r="W364" s="3" t="str">
        <f t="shared" si="5"/>
        <v>33 tahun</v>
      </c>
      <c r="X364" s="1" t="s">
        <v>121</v>
      </c>
      <c r="Y364" s="1" t="s">
        <v>56</v>
      </c>
      <c r="Z364" s="2">
        <v>41275</v>
      </c>
      <c r="AA364" s="2">
        <v>41426</v>
      </c>
      <c r="AB364" s="2" t="s">
        <v>2009</v>
      </c>
    </row>
    <row r="365" spans="1:28" x14ac:dyDescent="0.35">
      <c r="A365" s="12">
        <v>6024</v>
      </c>
      <c r="B365" s="12">
        <v>8912191</v>
      </c>
      <c r="C365" s="12" t="s">
        <v>103</v>
      </c>
      <c r="D365" s="12">
        <v>50069368</v>
      </c>
      <c r="E365" s="1" t="s">
        <v>2010</v>
      </c>
      <c r="F365" s="1" t="str">
        <f>VLOOKUP(A365,[1]Sheet1!$A$2:$E$1141,5,0)</f>
        <v>Spv of Line 4 Kiln Field</v>
      </c>
      <c r="G365" s="17" t="str">
        <f>VLOOKUP(A365,[1]Sheet1!$A$2:$F$1141,6,0)</f>
        <v>Supervisor</v>
      </c>
      <c r="H365" s="1" t="s">
        <v>1926</v>
      </c>
      <c r="I365" s="1" t="s">
        <v>1117</v>
      </c>
      <c r="J365" s="1" t="str">
        <f>VLOOKUP(A365,[1]Sheet1!$A$2:$H$1141,8,0)</f>
        <v>Dept. of Clinker &amp; Cement Production</v>
      </c>
      <c r="K365" s="1" t="str">
        <f>VLOOKUP(A365,[1]Sheet1!$A$2:$I$1141,9,0)</f>
        <v>Unit of Clinker Production</v>
      </c>
      <c r="L365" s="1" t="str">
        <f>VLOOKUP(A365,[1]Sheet1!$A$2:$J$1141,10,0)</f>
        <v>Section of Line 4 RKC Operation</v>
      </c>
      <c r="M365" s="2">
        <v>32647</v>
      </c>
      <c r="N365" s="1" t="s">
        <v>29</v>
      </c>
      <c r="O365" s="1" t="s">
        <v>30</v>
      </c>
      <c r="P365" s="1" t="s">
        <v>2011</v>
      </c>
      <c r="Q365" s="1" t="s">
        <v>2012</v>
      </c>
      <c r="R365" s="1" t="s">
        <v>2013</v>
      </c>
      <c r="S365" s="1" t="s">
        <v>1930</v>
      </c>
      <c r="T365" s="14">
        <v>53114</v>
      </c>
      <c r="U365" s="1" t="s">
        <v>2014</v>
      </c>
      <c r="V365" s="1" t="s">
        <v>36</v>
      </c>
      <c r="W365" s="3" t="str">
        <f t="shared" si="5"/>
        <v>37 tahun</v>
      </c>
      <c r="X365" s="1" t="s">
        <v>595</v>
      </c>
      <c r="Y365" s="1" t="s">
        <v>56</v>
      </c>
      <c r="Z365" s="2">
        <v>41275</v>
      </c>
      <c r="AA365" s="2">
        <v>41426</v>
      </c>
      <c r="AB365" s="2" t="s">
        <v>2015</v>
      </c>
    </row>
    <row r="366" spans="1:28" x14ac:dyDescent="0.35">
      <c r="A366" s="12">
        <v>6274</v>
      </c>
      <c r="B366" s="12">
        <v>9212443</v>
      </c>
      <c r="C366" s="12" t="s">
        <v>103</v>
      </c>
      <c r="D366" s="12">
        <v>50069369</v>
      </c>
      <c r="E366" s="1" t="s">
        <v>2016</v>
      </c>
      <c r="F366" s="1" t="str">
        <f>VLOOKUP(A366,[1]Sheet1!$A$2:$E$1141,5,0)</f>
        <v>Spv of Line 4 Kiln Field</v>
      </c>
      <c r="G366" s="17" t="str">
        <f>VLOOKUP(A366,[1]Sheet1!$A$2:$F$1141,6,0)</f>
        <v>Supervisor</v>
      </c>
      <c r="H366" s="1" t="s">
        <v>1926</v>
      </c>
      <c r="I366" s="1" t="s">
        <v>1117</v>
      </c>
      <c r="J366" s="1" t="str">
        <f>VLOOKUP(A366,[1]Sheet1!$A$2:$H$1141,8,0)</f>
        <v>Dept. of Clinker &amp; Cement Production</v>
      </c>
      <c r="K366" s="1" t="str">
        <f>VLOOKUP(A366,[1]Sheet1!$A$2:$I$1141,9,0)</f>
        <v>Unit of Clinker Production</v>
      </c>
      <c r="L366" s="1" t="str">
        <f>VLOOKUP(A366,[1]Sheet1!$A$2:$J$1141,10,0)</f>
        <v>Section of Line 4 RKC Operation</v>
      </c>
      <c r="M366" s="2">
        <v>33927</v>
      </c>
      <c r="N366" s="1" t="s">
        <v>29</v>
      </c>
      <c r="O366" s="1" t="s">
        <v>30</v>
      </c>
      <c r="P366" s="1" t="s">
        <v>2017</v>
      </c>
      <c r="Q366" s="1" t="s">
        <v>2012</v>
      </c>
      <c r="R366" s="1" t="s">
        <v>2013</v>
      </c>
      <c r="S366" s="1" t="s">
        <v>1930</v>
      </c>
      <c r="T366" s="14">
        <v>54393</v>
      </c>
      <c r="U366" s="1" t="s">
        <v>2018</v>
      </c>
      <c r="V366" s="1" t="s">
        <v>36</v>
      </c>
      <c r="W366" s="3" t="str">
        <f t="shared" si="5"/>
        <v>33 tahun</v>
      </c>
      <c r="X366" s="1" t="s">
        <v>925</v>
      </c>
      <c r="Y366" s="1" t="s">
        <v>56</v>
      </c>
      <c r="Z366" s="2">
        <v>41275</v>
      </c>
      <c r="AA366" s="2">
        <v>41395</v>
      </c>
      <c r="AB366" s="2" t="s">
        <v>2019</v>
      </c>
    </row>
    <row r="367" spans="1:28" x14ac:dyDescent="0.35">
      <c r="A367" s="12">
        <v>6128</v>
      </c>
      <c r="B367" s="12">
        <v>9012270</v>
      </c>
      <c r="C367" s="12" t="s">
        <v>103</v>
      </c>
      <c r="D367" s="12">
        <v>50069370</v>
      </c>
      <c r="E367" s="1" t="s">
        <v>2020</v>
      </c>
      <c r="F367" s="1" t="str">
        <f>VLOOKUP(A367,[1]Sheet1!$A$2:$E$1141,5,0)</f>
        <v>Spv of Line 4 Kiln Field</v>
      </c>
      <c r="G367" s="17" t="str">
        <f>VLOOKUP(A367,[1]Sheet1!$A$2:$F$1141,6,0)</f>
        <v>Supervisor</v>
      </c>
      <c r="H367" s="1" t="s">
        <v>1926</v>
      </c>
      <c r="I367" s="1" t="s">
        <v>1117</v>
      </c>
      <c r="J367" s="1" t="str">
        <f>VLOOKUP(A367,[1]Sheet1!$A$2:$H$1141,8,0)</f>
        <v>Dept. of Clinker &amp; Cement Production</v>
      </c>
      <c r="K367" s="1" t="str">
        <f>VLOOKUP(A367,[1]Sheet1!$A$2:$I$1141,9,0)</f>
        <v>Unit of Clinker Production</v>
      </c>
      <c r="L367" s="1" t="str">
        <f>VLOOKUP(A367,[1]Sheet1!$A$2:$J$1141,10,0)</f>
        <v>Section of Line 4 RKC Operation</v>
      </c>
      <c r="M367" s="2">
        <v>33153</v>
      </c>
      <c r="N367" s="1" t="s">
        <v>29</v>
      </c>
      <c r="O367" s="1" t="s">
        <v>30</v>
      </c>
      <c r="P367" s="1" t="s">
        <v>2021</v>
      </c>
      <c r="Q367" s="1" t="s">
        <v>2012</v>
      </c>
      <c r="R367" s="1" t="s">
        <v>2013</v>
      </c>
      <c r="S367" s="1" t="s">
        <v>1930</v>
      </c>
      <c r="T367" s="14">
        <v>53632</v>
      </c>
      <c r="U367" s="1" t="s">
        <v>2022</v>
      </c>
      <c r="V367" s="1" t="s">
        <v>36</v>
      </c>
      <c r="W367" s="3" t="str">
        <f t="shared" si="5"/>
        <v>35 tahun</v>
      </c>
      <c r="X367" s="1" t="s">
        <v>2023</v>
      </c>
      <c r="Y367" s="1" t="s">
        <v>56</v>
      </c>
      <c r="Z367" s="2">
        <v>41275</v>
      </c>
      <c r="AA367" s="2">
        <v>41395</v>
      </c>
      <c r="AB367" s="2" t="s">
        <v>2024</v>
      </c>
    </row>
    <row r="368" spans="1:28" x14ac:dyDescent="0.35">
      <c r="A368" s="12">
        <v>6143</v>
      </c>
      <c r="B368" s="12">
        <v>9012311</v>
      </c>
      <c r="C368" s="12" t="s">
        <v>103</v>
      </c>
      <c r="D368" s="12">
        <v>50069418</v>
      </c>
      <c r="E368" s="1" t="s">
        <v>2025</v>
      </c>
      <c r="F368" s="1" t="str">
        <f>VLOOKUP(A368,[1]Sheet1!$A$2:$E$1141,5,0)</f>
        <v>Spv of Line 4 Kiln Field</v>
      </c>
      <c r="G368" s="17" t="str">
        <f>VLOOKUP(A368,[1]Sheet1!$A$2:$F$1141,6,0)</f>
        <v>Supervisor</v>
      </c>
      <c r="H368" s="1" t="s">
        <v>1926</v>
      </c>
      <c r="I368" s="1" t="s">
        <v>1117</v>
      </c>
      <c r="J368" s="1" t="str">
        <f>VLOOKUP(A368,[1]Sheet1!$A$2:$H$1141,8,0)</f>
        <v>Dept. of Clinker &amp; Cement Production</v>
      </c>
      <c r="K368" s="1" t="str">
        <f>VLOOKUP(A368,[1]Sheet1!$A$2:$I$1141,9,0)</f>
        <v>Unit of Clinker Production</v>
      </c>
      <c r="L368" s="1" t="str">
        <f>VLOOKUP(A368,[1]Sheet1!$A$2:$J$1141,10,0)</f>
        <v>Section of Line 4 RKC Operation</v>
      </c>
      <c r="M368" s="2">
        <v>33214</v>
      </c>
      <c r="N368" s="1" t="s">
        <v>29</v>
      </c>
      <c r="O368" s="1" t="s">
        <v>30</v>
      </c>
      <c r="P368" s="1" t="s">
        <v>2026</v>
      </c>
      <c r="Q368" s="1" t="s">
        <v>2012</v>
      </c>
      <c r="R368" s="1" t="s">
        <v>2013</v>
      </c>
      <c r="S368" s="1" t="s">
        <v>1930</v>
      </c>
      <c r="T368" s="14">
        <v>53693</v>
      </c>
      <c r="U368" s="1" t="s">
        <v>2027</v>
      </c>
      <c r="V368" s="1" t="s">
        <v>36</v>
      </c>
      <c r="W368" s="3" t="str">
        <f t="shared" si="5"/>
        <v>35 tahun</v>
      </c>
      <c r="X368" s="1" t="s">
        <v>55</v>
      </c>
      <c r="Y368" s="1" t="s">
        <v>56</v>
      </c>
      <c r="Z368" s="2">
        <v>41275</v>
      </c>
      <c r="AA368" s="2">
        <v>41426</v>
      </c>
      <c r="AB368" s="2" t="s">
        <v>2028</v>
      </c>
    </row>
    <row r="369" spans="1:28" x14ac:dyDescent="0.35">
      <c r="A369" s="12">
        <v>4726</v>
      </c>
      <c r="B369" s="12">
        <v>7095145</v>
      </c>
      <c r="C369" s="12" t="s">
        <v>50</v>
      </c>
      <c r="D369" s="12">
        <v>50053205</v>
      </c>
      <c r="E369" s="1" t="s">
        <v>2029</v>
      </c>
      <c r="F369" s="1" t="str">
        <f>VLOOKUP(A369,[1]Sheet1!$A$2:$E$1141,5,0)</f>
        <v>Spv of Line 4 Kiln Field (Shift) B</v>
      </c>
      <c r="G369" s="17" t="str">
        <f>VLOOKUP(A369,[1]Sheet1!$A$2:$F$1141,6,0)</f>
        <v>Supervisor</v>
      </c>
      <c r="H369" s="1" t="s">
        <v>1926</v>
      </c>
      <c r="I369" s="1" t="s">
        <v>1117</v>
      </c>
      <c r="J369" s="1" t="str">
        <f>VLOOKUP(A369,[1]Sheet1!$A$2:$H$1141,8,0)</f>
        <v>Dept. of Clinker &amp; Cement Production</v>
      </c>
      <c r="K369" s="1" t="str">
        <f>VLOOKUP(A369,[1]Sheet1!$A$2:$I$1141,9,0)</f>
        <v>Unit of Clinker Production</v>
      </c>
      <c r="L369" s="1" t="str">
        <f>VLOOKUP(A369,[1]Sheet1!$A$2:$J$1141,10,0)</f>
        <v>Section of Line 4 RKC Operation</v>
      </c>
      <c r="M369" s="2">
        <v>25792</v>
      </c>
      <c r="N369" s="1" t="s">
        <v>29</v>
      </c>
      <c r="O369" s="1" t="s">
        <v>30</v>
      </c>
      <c r="P369" s="1" t="s">
        <v>2030</v>
      </c>
      <c r="Q369" s="1" t="s">
        <v>2031</v>
      </c>
      <c r="R369" s="1" t="s">
        <v>2032</v>
      </c>
      <c r="S369" s="1" t="s">
        <v>1930</v>
      </c>
      <c r="T369" s="14">
        <v>46266</v>
      </c>
      <c r="U369" s="1" t="s">
        <v>2033</v>
      </c>
      <c r="V369" s="1" t="s">
        <v>36</v>
      </c>
      <c r="W369" s="3" t="str">
        <f t="shared" si="5"/>
        <v>56 tahun</v>
      </c>
      <c r="X369" s="1" t="s">
        <v>96</v>
      </c>
      <c r="Y369" s="1" t="s">
        <v>56</v>
      </c>
      <c r="Z369" s="2">
        <v>34943</v>
      </c>
      <c r="AA369" s="2">
        <v>35309</v>
      </c>
      <c r="AB369" s="2" t="s">
        <v>84</v>
      </c>
    </row>
    <row r="370" spans="1:28" x14ac:dyDescent="0.35">
      <c r="A370" s="12">
        <v>6185</v>
      </c>
      <c r="B370" s="12">
        <v>9112426</v>
      </c>
      <c r="C370" s="12" t="s">
        <v>103</v>
      </c>
      <c r="D370" s="12">
        <v>50069371</v>
      </c>
      <c r="E370" s="1" t="s">
        <v>2034</v>
      </c>
      <c r="F370" s="1" t="str">
        <f>VLOOKUP(A370,[1]Sheet1!$A$2:$E$1141,5,0)</f>
        <v>Spv of Line 4 Coal Mill Field</v>
      </c>
      <c r="G370" s="17" t="str">
        <f>VLOOKUP(A370,[1]Sheet1!$A$2:$F$1141,6,0)</f>
        <v>Supervisor</v>
      </c>
      <c r="H370" s="1" t="s">
        <v>1926</v>
      </c>
      <c r="I370" s="1" t="s">
        <v>1117</v>
      </c>
      <c r="J370" s="1" t="str">
        <f>VLOOKUP(A370,[1]Sheet1!$A$2:$H$1141,8,0)</f>
        <v>Dept. of Clinker &amp; Cement Production</v>
      </c>
      <c r="K370" s="1" t="str">
        <f>VLOOKUP(A370,[1]Sheet1!$A$2:$I$1141,9,0)</f>
        <v>Unit of Clinker Production</v>
      </c>
      <c r="L370" s="1" t="str">
        <f>VLOOKUP(A370,[1]Sheet1!$A$2:$J$1141,10,0)</f>
        <v>Section of Line 4 RKC Operation</v>
      </c>
      <c r="M370" s="2">
        <v>33407</v>
      </c>
      <c r="N370" s="1" t="s">
        <v>29</v>
      </c>
      <c r="O370" s="1" t="s">
        <v>30</v>
      </c>
      <c r="P370" s="1" t="s">
        <v>2035</v>
      </c>
      <c r="Q370" s="1" t="s">
        <v>2036</v>
      </c>
      <c r="R370" s="1" t="s">
        <v>2037</v>
      </c>
      <c r="S370" s="1" t="s">
        <v>1930</v>
      </c>
      <c r="T370" s="14">
        <v>53874</v>
      </c>
      <c r="U370" s="1" t="s">
        <v>2038</v>
      </c>
      <c r="V370" s="1" t="s">
        <v>36</v>
      </c>
      <c r="W370" s="3" t="str">
        <f t="shared" si="5"/>
        <v>35 tahun</v>
      </c>
      <c r="X370" s="1" t="s">
        <v>55</v>
      </c>
      <c r="Y370" s="1" t="s">
        <v>56</v>
      </c>
      <c r="Z370" s="2">
        <v>41275</v>
      </c>
      <c r="AA370" s="2">
        <v>41395</v>
      </c>
      <c r="AB370" s="2" t="s">
        <v>2039</v>
      </c>
    </row>
    <row r="371" spans="1:28" x14ac:dyDescent="0.35">
      <c r="A371" s="12">
        <v>6242</v>
      </c>
      <c r="B371" s="12">
        <v>9212410</v>
      </c>
      <c r="C371" s="12" t="s">
        <v>103</v>
      </c>
      <c r="D371" s="12">
        <v>50069372</v>
      </c>
      <c r="E371" s="1" t="s">
        <v>1639</v>
      </c>
      <c r="F371" s="1" t="str">
        <f>VLOOKUP(A371,[1]Sheet1!$A$2:$E$1141,5,0)</f>
        <v>Spv of Line 4 Coal Mill Field</v>
      </c>
      <c r="G371" s="17" t="str">
        <f>VLOOKUP(A371,[1]Sheet1!$A$2:$F$1141,6,0)</f>
        <v>Supervisor</v>
      </c>
      <c r="H371" s="1" t="s">
        <v>1926</v>
      </c>
      <c r="I371" s="1" t="s">
        <v>1117</v>
      </c>
      <c r="J371" s="1" t="str">
        <f>VLOOKUP(A371,[1]Sheet1!$A$2:$H$1141,8,0)</f>
        <v>Dept. of Clinker &amp; Cement Production</v>
      </c>
      <c r="K371" s="1" t="str">
        <f>VLOOKUP(A371,[1]Sheet1!$A$2:$I$1141,9,0)</f>
        <v>Unit of Clinker Production</v>
      </c>
      <c r="L371" s="1" t="str">
        <f>VLOOKUP(A371,[1]Sheet1!$A$2:$J$1141,10,0)</f>
        <v>Section of Line 4 RKC Operation</v>
      </c>
      <c r="M371" s="2">
        <v>33690</v>
      </c>
      <c r="N371" s="1" t="s">
        <v>29</v>
      </c>
      <c r="O371" s="1" t="s">
        <v>30</v>
      </c>
      <c r="P371" s="1" t="s">
        <v>2040</v>
      </c>
      <c r="Q371" s="1" t="s">
        <v>2036</v>
      </c>
      <c r="R371" s="1" t="s">
        <v>2037</v>
      </c>
      <c r="S371" s="1" t="s">
        <v>1930</v>
      </c>
      <c r="T371" s="14">
        <v>54149</v>
      </c>
      <c r="U371" s="1" t="s">
        <v>2041</v>
      </c>
      <c r="V371" s="1" t="s">
        <v>36</v>
      </c>
      <c r="W371" s="3" t="str">
        <f t="shared" si="5"/>
        <v>34 tahun</v>
      </c>
      <c r="X371" s="1" t="s">
        <v>112</v>
      </c>
      <c r="Y371" s="1" t="s">
        <v>56</v>
      </c>
      <c r="Z371" s="2">
        <v>41275</v>
      </c>
      <c r="AA371" s="2">
        <v>41395</v>
      </c>
      <c r="AB371" s="2" t="s">
        <v>2042</v>
      </c>
    </row>
    <row r="372" spans="1:28" x14ac:dyDescent="0.35">
      <c r="A372" s="12">
        <v>6033</v>
      </c>
      <c r="B372" s="12">
        <v>8912200</v>
      </c>
      <c r="C372" s="12" t="s">
        <v>103</v>
      </c>
      <c r="D372" s="12">
        <v>50069373</v>
      </c>
      <c r="E372" s="1" t="s">
        <v>2043</v>
      </c>
      <c r="F372" s="1" t="str">
        <f>VLOOKUP(A372,[1]Sheet1!$A$2:$E$1141,5,0)</f>
        <v>Spv of Line 4 Coal Mill Field</v>
      </c>
      <c r="G372" s="17" t="str">
        <f>VLOOKUP(A372,[1]Sheet1!$A$2:$F$1141,6,0)</f>
        <v>Supervisor</v>
      </c>
      <c r="H372" s="1" t="s">
        <v>1926</v>
      </c>
      <c r="I372" s="1" t="s">
        <v>1117</v>
      </c>
      <c r="J372" s="1" t="str">
        <f>VLOOKUP(A372,[1]Sheet1!$A$2:$H$1141,8,0)</f>
        <v>Dept. of Clinker &amp; Cement Production</v>
      </c>
      <c r="K372" s="1" t="str">
        <f>VLOOKUP(A372,[1]Sheet1!$A$2:$I$1141,9,0)</f>
        <v>Unit of Clinker Production</v>
      </c>
      <c r="L372" s="1" t="str">
        <f>VLOOKUP(A372,[1]Sheet1!$A$2:$J$1141,10,0)</f>
        <v>Section of Line 4 RKC Operation</v>
      </c>
      <c r="M372" s="2">
        <v>32702</v>
      </c>
      <c r="N372" s="1" t="s">
        <v>29</v>
      </c>
      <c r="O372" s="1" t="s">
        <v>30</v>
      </c>
      <c r="P372" s="1" t="s">
        <v>2044</v>
      </c>
      <c r="Q372" s="1" t="s">
        <v>2036</v>
      </c>
      <c r="R372" s="1" t="s">
        <v>2037</v>
      </c>
      <c r="S372" s="1" t="s">
        <v>1930</v>
      </c>
      <c r="T372" s="14">
        <v>53175</v>
      </c>
      <c r="U372" s="1" t="s">
        <v>2045</v>
      </c>
      <c r="V372" s="1" t="s">
        <v>36</v>
      </c>
      <c r="W372" s="3" t="str">
        <f t="shared" si="5"/>
        <v>37 tahun</v>
      </c>
      <c r="X372" s="1" t="s">
        <v>55</v>
      </c>
      <c r="Y372" s="1" t="s">
        <v>56</v>
      </c>
      <c r="Z372" s="2">
        <v>41275</v>
      </c>
      <c r="AA372" s="2">
        <v>41395</v>
      </c>
      <c r="AB372" s="2" t="s">
        <v>2046</v>
      </c>
    </row>
    <row r="373" spans="1:28" x14ac:dyDescent="0.35">
      <c r="A373" s="12">
        <v>6264</v>
      </c>
      <c r="B373" s="12">
        <v>9212433</v>
      </c>
      <c r="C373" s="12" t="s">
        <v>103</v>
      </c>
      <c r="D373" s="12">
        <v>50069419</v>
      </c>
      <c r="E373" s="1" t="s">
        <v>2047</v>
      </c>
      <c r="F373" s="1" t="str">
        <f>VLOOKUP(A373,[1]Sheet1!$A$2:$E$1141,5,0)</f>
        <v>Spv of Line 4 Coal Mill Field</v>
      </c>
      <c r="G373" s="17" t="str">
        <f>VLOOKUP(A373,[1]Sheet1!$A$2:$F$1141,6,0)</f>
        <v>Supervisor</v>
      </c>
      <c r="H373" s="1" t="s">
        <v>1926</v>
      </c>
      <c r="I373" s="1" t="s">
        <v>1117</v>
      </c>
      <c r="J373" s="1" t="str">
        <f>VLOOKUP(A373,[1]Sheet1!$A$2:$H$1141,8,0)</f>
        <v>Dept. of Clinker &amp; Cement Production</v>
      </c>
      <c r="K373" s="1" t="str">
        <f>VLOOKUP(A373,[1]Sheet1!$A$2:$I$1141,9,0)</f>
        <v>Unit of Clinker Production</v>
      </c>
      <c r="L373" s="1" t="str">
        <f>VLOOKUP(A373,[1]Sheet1!$A$2:$J$1141,10,0)</f>
        <v>Section of Line 4 RKC Operation</v>
      </c>
      <c r="M373" s="2">
        <v>33837</v>
      </c>
      <c r="N373" s="1" t="s">
        <v>29</v>
      </c>
      <c r="O373" s="1" t="s">
        <v>30</v>
      </c>
      <c r="P373" s="1" t="s">
        <v>2048</v>
      </c>
      <c r="Q373" s="1" t="s">
        <v>2036</v>
      </c>
      <c r="R373" s="1" t="s">
        <v>2037</v>
      </c>
      <c r="S373" s="1" t="s">
        <v>1930</v>
      </c>
      <c r="T373" s="14">
        <v>54302</v>
      </c>
      <c r="U373" s="1" t="s">
        <v>2049</v>
      </c>
      <c r="V373" s="1" t="s">
        <v>36</v>
      </c>
      <c r="W373" s="3" t="str">
        <f t="shared" si="5"/>
        <v>34 tahun</v>
      </c>
      <c r="X373" s="1" t="s">
        <v>2023</v>
      </c>
      <c r="Y373" s="1" t="s">
        <v>56</v>
      </c>
      <c r="Z373" s="2">
        <v>41275</v>
      </c>
      <c r="AA373" s="2">
        <v>41426</v>
      </c>
      <c r="AB373" s="2" t="s">
        <v>2050</v>
      </c>
    </row>
    <row r="374" spans="1:28" x14ac:dyDescent="0.35">
      <c r="A374" s="12">
        <v>4979</v>
      </c>
      <c r="B374" s="12">
        <v>7302231</v>
      </c>
      <c r="C374" s="12" t="s">
        <v>164</v>
      </c>
      <c r="D374" s="12">
        <v>50069375</v>
      </c>
      <c r="E374" s="1" t="s">
        <v>2051</v>
      </c>
      <c r="F374" s="1" t="str">
        <f>VLOOKUP(A374,[1]Sheet1!$A$2:$E$1141,5,0)</f>
        <v>Spv of Line 4 RM Field Specialist</v>
      </c>
      <c r="G374" s="17" t="str">
        <f>VLOOKUP(A374,[1]Sheet1!$A$2:$F$1141,6,0)</f>
        <v>Supervisor</v>
      </c>
      <c r="H374" s="1" t="s">
        <v>1926</v>
      </c>
      <c r="I374" s="1" t="s">
        <v>1117</v>
      </c>
      <c r="J374" s="1" t="str">
        <f>VLOOKUP(A374,[1]Sheet1!$A$2:$H$1141,8,0)</f>
        <v>Dept. of Clinker &amp; Cement Production</v>
      </c>
      <c r="K374" s="1" t="str">
        <f>VLOOKUP(A374,[1]Sheet1!$A$2:$I$1141,9,0)</f>
        <v>Unit of Clinker Production</v>
      </c>
      <c r="L374" s="1" t="str">
        <f>VLOOKUP(A374,[1]Sheet1!$A$2:$J$1141,10,0)</f>
        <v>Section of Line 4 RKC Operation</v>
      </c>
      <c r="M374" s="2">
        <v>26975</v>
      </c>
      <c r="N374" s="1" t="s">
        <v>29</v>
      </c>
      <c r="O374" s="1" t="s">
        <v>30</v>
      </c>
      <c r="P374" s="1" t="s">
        <v>2052</v>
      </c>
      <c r="Q374" s="1" t="s">
        <v>2053</v>
      </c>
      <c r="R374" s="1" t="s">
        <v>2054</v>
      </c>
      <c r="S374" s="1" t="s">
        <v>1930</v>
      </c>
      <c r="T374" s="14">
        <v>47453</v>
      </c>
      <c r="U374" s="1" t="s">
        <v>2055</v>
      </c>
      <c r="V374" s="1" t="s">
        <v>36</v>
      </c>
      <c r="W374" s="3" t="str">
        <f t="shared" si="5"/>
        <v>52 tahun</v>
      </c>
      <c r="X374" s="1" t="s">
        <v>2056</v>
      </c>
      <c r="Y374" s="1" t="s">
        <v>56</v>
      </c>
      <c r="Z374" s="2">
        <v>37469</v>
      </c>
      <c r="AA374" s="2">
        <v>38718</v>
      </c>
      <c r="AB374" s="2" t="s">
        <v>84</v>
      </c>
    </row>
    <row r="375" spans="1:28" x14ac:dyDescent="0.35">
      <c r="A375" s="12">
        <v>5239</v>
      </c>
      <c r="B375" s="12">
        <v>7902295</v>
      </c>
      <c r="C375" s="12" t="s">
        <v>164</v>
      </c>
      <c r="D375" s="12">
        <v>50069376</v>
      </c>
      <c r="E375" s="1" t="s">
        <v>2057</v>
      </c>
      <c r="F375" s="1" t="str">
        <f>VLOOKUP(A375,[1]Sheet1!$A$2:$E$1141,5,0)</f>
        <v>Spv of Line 4 RM Field Specialist</v>
      </c>
      <c r="G375" s="17" t="str">
        <f>VLOOKUP(A375,[1]Sheet1!$A$2:$F$1141,6,0)</f>
        <v>Supervisor</v>
      </c>
      <c r="H375" s="1" t="s">
        <v>1926</v>
      </c>
      <c r="I375" s="1" t="s">
        <v>1117</v>
      </c>
      <c r="J375" s="1" t="str">
        <f>VLOOKUP(A375,[1]Sheet1!$A$2:$H$1141,8,0)</f>
        <v>Dept. of Clinker &amp; Cement Production</v>
      </c>
      <c r="K375" s="1" t="str">
        <f>VLOOKUP(A375,[1]Sheet1!$A$2:$I$1141,9,0)</f>
        <v>Unit of Clinker Production</v>
      </c>
      <c r="L375" s="1" t="str">
        <f>VLOOKUP(A375,[1]Sheet1!$A$2:$J$1141,10,0)</f>
        <v>Section of Line 4 RKC Operation</v>
      </c>
      <c r="M375" s="2">
        <v>29040</v>
      </c>
      <c r="N375" s="1" t="s">
        <v>29</v>
      </c>
      <c r="O375" s="1" t="s">
        <v>30</v>
      </c>
      <c r="P375" s="1" t="s">
        <v>2058</v>
      </c>
      <c r="Q375" s="1" t="s">
        <v>2053</v>
      </c>
      <c r="R375" s="1" t="s">
        <v>2054</v>
      </c>
      <c r="S375" s="1" t="s">
        <v>1930</v>
      </c>
      <c r="T375" s="14">
        <v>49522</v>
      </c>
      <c r="U375" s="1" t="s">
        <v>2059</v>
      </c>
      <c r="V375" s="1" t="s">
        <v>36</v>
      </c>
      <c r="W375" s="3" t="str">
        <f t="shared" si="5"/>
        <v>47 tahun</v>
      </c>
      <c r="X375" s="1" t="s">
        <v>2060</v>
      </c>
      <c r="Y375" s="1" t="s">
        <v>56</v>
      </c>
      <c r="Z375" s="2">
        <v>37469</v>
      </c>
      <c r="AA375" s="2">
        <v>38718</v>
      </c>
      <c r="AB375" s="2" t="s">
        <v>2061</v>
      </c>
    </row>
    <row r="376" spans="1:28" x14ac:dyDescent="0.35">
      <c r="A376" s="12">
        <v>4786</v>
      </c>
      <c r="B376" s="12">
        <v>7102177</v>
      </c>
      <c r="C376" s="12" t="s">
        <v>164</v>
      </c>
      <c r="D376" s="12">
        <v>50069377</v>
      </c>
      <c r="E376" s="1" t="s">
        <v>2062</v>
      </c>
      <c r="F376" s="1" t="str">
        <f>VLOOKUP(A376,[1]Sheet1!$A$2:$E$1141,5,0)</f>
        <v>Spv of Line 4 RM Field Specialist</v>
      </c>
      <c r="G376" s="17" t="str">
        <f>VLOOKUP(A376,[1]Sheet1!$A$2:$F$1141,6,0)</f>
        <v>Supervisor</v>
      </c>
      <c r="H376" s="1" t="s">
        <v>1926</v>
      </c>
      <c r="I376" s="1" t="s">
        <v>1117</v>
      </c>
      <c r="J376" s="1" t="str">
        <f>VLOOKUP(A376,[1]Sheet1!$A$2:$H$1141,8,0)</f>
        <v>Dept. of Clinker &amp; Cement Production</v>
      </c>
      <c r="K376" s="1" t="str">
        <f>VLOOKUP(A376,[1]Sheet1!$A$2:$I$1141,9,0)</f>
        <v>Unit of Clinker Production</v>
      </c>
      <c r="L376" s="1" t="str">
        <f>VLOOKUP(A376,[1]Sheet1!$A$2:$J$1141,10,0)</f>
        <v>Section of Line 4 RKC Operation</v>
      </c>
      <c r="M376" s="2">
        <v>26265</v>
      </c>
      <c r="N376" s="1" t="s">
        <v>29</v>
      </c>
      <c r="O376" s="1" t="s">
        <v>30</v>
      </c>
      <c r="P376" s="1" t="s">
        <v>2063</v>
      </c>
      <c r="Q376" s="1" t="s">
        <v>2053</v>
      </c>
      <c r="R376" s="1" t="s">
        <v>2054</v>
      </c>
      <c r="S376" s="1" t="s">
        <v>1930</v>
      </c>
      <c r="T376" s="14">
        <v>46722</v>
      </c>
      <c r="U376" s="1" t="s">
        <v>2064</v>
      </c>
      <c r="V376" s="1" t="s">
        <v>36</v>
      </c>
      <c r="W376" s="3" t="str">
        <f t="shared" si="5"/>
        <v>54 tahun</v>
      </c>
      <c r="X376" s="1" t="s">
        <v>2065</v>
      </c>
      <c r="Y376" s="1" t="s">
        <v>56</v>
      </c>
      <c r="Z376" s="2">
        <v>37469</v>
      </c>
      <c r="AA376" s="2">
        <v>38718</v>
      </c>
      <c r="AB376" s="2" t="s">
        <v>2066</v>
      </c>
    </row>
    <row r="377" spans="1:28" x14ac:dyDescent="0.35">
      <c r="A377" s="12">
        <v>4892</v>
      </c>
      <c r="B377" s="12">
        <v>7302202</v>
      </c>
      <c r="C377" s="12" t="s">
        <v>164</v>
      </c>
      <c r="D377" s="12">
        <v>50069377</v>
      </c>
      <c r="E377" s="1" t="s">
        <v>2067</v>
      </c>
      <c r="F377" s="1" t="str">
        <f>VLOOKUP(A377,[1]Sheet1!$A$2:$E$1141,5,0)</f>
        <v>Spv of Line 4 RM Field Specialist</v>
      </c>
      <c r="G377" s="17" t="str">
        <f>VLOOKUP(A377,[1]Sheet1!$A$2:$F$1141,6,0)</f>
        <v>Supervisor</v>
      </c>
      <c r="H377" s="1" t="s">
        <v>1926</v>
      </c>
      <c r="I377" s="1" t="s">
        <v>1117</v>
      </c>
      <c r="J377" s="1" t="str">
        <f>VLOOKUP(A377,[1]Sheet1!$A$2:$H$1141,8,0)</f>
        <v>Dept. of Clinker &amp; Cement Production</v>
      </c>
      <c r="K377" s="1" t="str">
        <f>VLOOKUP(A377,[1]Sheet1!$A$2:$I$1141,9,0)</f>
        <v>Unit of Clinker Production</v>
      </c>
      <c r="L377" s="1" t="str">
        <f>VLOOKUP(A377,[1]Sheet1!$A$2:$J$1141,10,0)</f>
        <v>Section of Line 4 RKC Operation</v>
      </c>
      <c r="M377" s="2">
        <v>26665</v>
      </c>
      <c r="N377" s="1" t="s">
        <v>29</v>
      </c>
      <c r="O377" s="1" t="s">
        <v>30</v>
      </c>
      <c r="P377" s="1" t="s">
        <v>2063</v>
      </c>
      <c r="Q377" s="1" t="s">
        <v>2053</v>
      </c>
      <c r="R377" s="1" t="s">
        <v>2054</v>
      </c>
      <c r="S377" s="1" t="s">
        <v>1930</v>
      </c>
      <c r="T377" s="14">
        <v>47150</v>
      </c>
      <c r="U377" s="1" t="s">
        <v>2068</v>
      </c>
      <c r="V377" s="1" t="s">
        <v>36</v>
      </c>
      <c r="W377" s="3" t="str">
        <f t="shared" si="5"/>
        <v>53 tahun</v>
      </c>
      <c r="X377" s="1" t="s">
        <v>2069</v>
      </c>
      <c r="Y377" s="1" t="s">
        <v>56</v>
      </c>
      <c r="Z377" s="2">
        <v>37469</v>
      </c>
      <c r="AA377" s="2">
        <v>38718</v>
      </c>
      <c r="AB377" s="2" t="s">
        <v>84</v>
      </c>
    </row>
    <row r="378" spans="1:28" x14ac:dyDescent="0.35">
      <c r="A378" s="12">
        <v>4938</v>
      </c>
      <c r="B378" s="12">
        <v>7395197</v>
      </c>
      <c r="C378" s="12" t="s">
        <v>50</v>
      </c>
      <c r="D378" s="12">
        <v>50069380</v>
      </c>
      <c r="E378" s="1" t="s">
        <v>2070</v>
      </c>
      <c r="F378" s="1" t="str">
        <f>VLOOKUP(A378,[1]Sheet1!$A$2:$E$1141,5,0)</f>
        <v>Spv of Line 4 KCM Field Specialist</v>
      </c>
      <c r="G378" s="17" t="str">
        <f>VLOOKUP(A378,[1]Sheet1!$A$2:$F$1141,6,0)</f>
        <v>Supervisor</v>
      </c>
      <c r="H378" s="1" t="s">
        <v>1926</v>
      </c>
      <c r="I378" s="1" t="s">
        <v>1117</v>
      </c>
      <c r="J378" s="1" t="str">
        <f>VLOOKUP(A378,[1]Sheet1!$A$2:$H$1141,8,0)</f>
        <v>Dept. of Clinker &amp; Cement Production</v>
      </c>
      <c r="K378" s="1" t="str">
        <f>VLOOKUP(A378,[1]Sheet1!$A$2:$I$1141,9,0)</f>
        <v>Unit of Clinker Production</v>
      </c>
      <c r="L378" s="1" t="str">
        <f>VLOOKUP(A378,[1]Sheet1!$A$2:$J$1141,10,0)</f>
        <v>Section of Line 4 RKC Operation</v>
      </c>
      <c r="M378" s="2">
        <v>26840</v>
      </c>
      <c r="N378" s="1" t="s">
        <v>29</v>
      </c>
      <c r="O378" s="1" t="s">
        <v>30</v>
      </c>
      <c r="P378" s="1" t="s">
        <v>2071</v>
      </c>
      <c r="Q378" s="1" t="s">
        <v>2072</v>
      </c>
      <c r="R378" s="1" t="s">
        <v>2073</v>
      </c>
      <c r="S378" s="1" t="s">
        <v>1930</v>
      </c>
      <c r="T378" s="14">
        <v>47300</v>
      </c>
      <c r="U378" s="1" t="s">
        <v>2074</v>
      </c>
      <c r="V378" s="1" t="s">
        <v>36</v>
      </c>
      <c r="W378" s="3" t="str">
        <f t="shared" si="5"/>
        <v>53 tahun</v>
      </c>
      <c r="X378" s="1" t="s">
        <v>2075</v>
      </c>
      <c r="Y378" s="1" t="s">
        <v>48</v>
      </c>
      <c r="Z378" s="2">
        <v>35002</v>
      </c>
      <c r="AA378" s="2">
        <v>35370</v>
      </c>
      <c r="AB378" s="2" t="s">
        <v>2076</v>
      </c>
    </row>
    <row r="379" spans="1:28" x14ac:dyDescent="0.35">
      <c r="A379" s="12">
        <v>5005</v>
      </c>
      <c r="B379" s="12">
        <v>7402244</v>
      </c>
      <c r="C379" s="12" t="s">
        <v>164</v>
      </c>
      <c r="D379" s="12">
        <v>50069381</v>
      </c>
      <c r="E379" s="1" t="s">
        <v>2077</v>
      </c>
      <c r="F379" s="1" t="str">
        <f>VLOOKUP(A379,[1]Sheet1!$A$2:$E$1141,5,0)</f>
        <v>Spv of Line 4 KCM Field Specialist</v>
      </c>
      <c r="G379" s="17" t="str">
        <f>VLOOKUP(A379,[1]Sheet1!$A$2:$F$1141,6,0)</f>
        <v>Supervisor</v>
      </c>
      <c r="H379" s="1" t="s">
        <v>1926</v>
      </c>
      <c r="I379" s="1" t="s">
        <v>1117</v>
      </c>
      <c r="J379" s="1" t="str">
        <f>VLOOKUP(A379,[1]Sheet1!$A$2:$H$1141,8,0)</f>
        <v>Dept. of Clinker &amp; Cement Production</v>
      </c>
      <c r="K379" s="1" t="str">
        <f>VLOOKUP(A379,[1]Sheet1!$A$2:$I$1141,9,0)</f>
        <v>Unit of Clinker Production</v>
      </c>
      <c r="L379" s="1" t="str">
        <f>VLOOKUP(A379,[1]Sheet1!$A$2:$J$1141,10,0)</f>
        <v>Section of Line 4 RKC Operation</v>
      </c>
      <c r="M379" s="2">
        <v>27074</v>
      </c>
      <c r="N379" s="1" t="s">
        <v>29</v>
      </c>
      <c r="O379" s="1" t="s">
        <v>30</v>
      </c>
      <c r="P379" s="1" t="s">
        <v>2078</v>
      </c>
      <c r="Q379" s="1" t="s">
        <v>2072</v>
      </c>
      <c r="R379" s="1" t="s">
        <v>2073</v>
      </c>
      <c r="S379" s="1" t="s">
        <v>1930</v>
      </c>
      <c r="T379" s="14">
        <v>47543</v>
      </c>
      <c r="U379" s="1" t="s">
        <v>2079</v>
      </c>
      <c r="V379" s="1" t="s">
        <v>36</v>
      </c>
      <c r="W379" s="3" t="str">
        <f t="shared" si="5"/>
        <v>52 tahun</v>
      </c>
      <c r="X379" s="1" t="s">
        <v>1585</v>
      </c>
      <c r="Y379" s="1" t="s">
        <v>56</v>
      </c>
      <c r="Z379" s="2">
        <v>37469</v>
      </c>
      <c r="AA379" s="2">
        <v>38718</v>
      </c>
      <c r="AB379" s="2" t="s">
        <v>2080</v>
      </c>
    </row>
    <row r="380" spans="1:28" x14ac:dyDescent="0.35">
      <c r="A380" s="12">
        <v>4931</v>
      </c>
      <c r="B380" s="12">
        <v>7302214</v>
      </c>
      <c r="C380" s="12" t="s">
        <v>164</v>
      </c>
      <c r="D380" s="12">
        <v>50069382</v>
      </c>
      <c r="E380" s="1" t="s">
        <v>2081</v>
      </c>
      <c r="F380" s="1" t="str">
        <f>VLOOKUP(A380,[1]Sheet1!$A$2:$E$1141,5,0)</f>
        <v>Spv of Line 4 KCM Field Specialist</v>
      </c>
      <c r="G380" s="17" t="str">
        <f>VLOOKUP(A380,[1]Sheet1!$A$2:$F$1141,6,0)</f>
        <v>Supervisor</v>
      </c>
      <c r="H380" s="1" t="s">
        <v>1926</v>
      </c>
      <c r="I380" s="1" t="s">
        <v>1117</v>
      </c>
      <c r="J380" s="1" t="str">
        <f>VLOOKUP(A380,[1]Sheet1!$A$2:$H$1141,8,0)</f>
        <v>Dept. of Clinker &amp; Cement Production</v>
      </c>
      <c r="K380" s="1" t="str">
        <f>VLOOKUP(A380,[1]Sheet1!$A$2:$I$1141,9,0)</f>
        <v>Unit of Clinker Production</v>
      </c>
      <c r="L380" s="1" t="str">
        <f>VLOOKUP(A380,[1]Sheet1!$A$2:$J$1141,10,0)</f>
        <v>Section of Line 4 RKC Operation</v>
      </c>
      <c r="M380" s="2">
        <v>26829</v>
      </c>
      <c r="N380" s="1" t="s">
        <v>29</v>
      </c>
      <c r="O380" s="1" t="s">
        <v>30</v>
      </c>
      <c r="P380" s="1" t="s">
        <v>2082</v>
      </c>
      <c r="Q380" s="1" t="s">
        <v>2072</v>
      </c>
      <c r="R380" s="1" t="s">
        <v>2073</v>
      </c>
      <c r="S380" s="1" t="s">
        <v>1930</v>
      </c>
      <c r="T380" s="14">
        <v>47300</v>
      </c>
      <c r="U380" s="1" t="s">
        <v>2083</v>
      </c>
      <c r="V380" s="1" t="s">
        <v>186</v>
      </c>
      <c r="W380" s="3" t="str">
        <f t="shared" si="5"/>
        <v>53 tahun</v>
      </c>
      <c r="X380" s="1" t="s">
        <v>1146</v>
      </c>
      <c r="Y380" s="1" t="s">
        <v>56</v>
      </c>
      <c r="Z380" s="2">
        <v>37469</v>
      </c>
      <c r="AA380" s="2">
        <v>38718</v>
      </c>
      <c r="AB380" s="2" t="s">
        <v>2084</v>
      </c>
    </row>
    <row r="381" spans="1:28" x14ac:dyDescent="0.35">
      <c r="A381" s="12">
        <v>4870</v>
      </c>
      <c r="B381" s="12">
        <v>7202200</v>
      </c>
      <c r="C381" s="12" t="s">
        <v>164</v>
      </c>
      <c r="D381" s="12">
        <v>50069383</v>
      </c>
      <c r="E381" s="1" t="s">
        <v>2085</v>
      </c>
      <c r="F381" s="1" t="str">
        <f>VLOOKUP(A381,[1]Sheet1!$A$2:$E$1141,5,0)</f>
        <v>Spv of Line 4 KCM Field Specialist</v>
      </c>
      <c r="G381" s="17" t="str">
        <f>VLOOKUP(A381,[1]Sheet1!$A$2:$F$1141,6,0)</f>
        <v>Supervisor</v>
      </c>
      <c r="H381" s="1" t="s">
        <v>1926</v>
      </c>
      <c r="I381" s="1" t="s">
        <v>1117</v>
      </c>
      <c r="J381" s="1" t="str">
        <f>VLOOKUP(A381,[1]Sheet1!$A$2:$H$1141,8,0)</f>
        <v>Dept. of Clinker &amp; Cement Production</v>
      </c>
      <c r="K381" s="1" t="str">
        <f>VLOOKUP(A381,[1]Sheet1!$A$2:$I$1141,9,0)</f>
        <v>Unit of Clinker Production</v>
      </c>
      <c r="L381" s="1" t="str">
        <f>VLOOKUP(A381,[1]Sheet1!$A$2:$J$1141,10,0)</f>
        <v>Section of Line 4 RKC Operation</v>
      </c>
      <c r="M381" s="2">
        <v>26566</v>
      </c>
      <c r="N381" s="1" t="s">
        <v>29</v>
      </c>
      <c r="O381" s="1" t="s">
        <v>30</v>
      </c>
      <c r="P381" s="1" t="s">
        <v>2086</v>
      </c>
      <c r="Q381" s="1" t="s">
        <v>2072</v>
      </c>
      <c r="R381" s="1" t="s">
        <v>2073</v>
      </c>
      <c r="S381" s="1" t="s">
        <v>1930</v>
      </c>
      <c r="T381" s="14">
        <v>47027</v>
      </c>
      <c r="U381" s="1" t="s">
        <v>2087</v>
      </c>
      <c r="V381" s="1" t="s">
        <v>36</v>
      </c>
      <c r="W381" s="3" t="str">
        <f t="shared" si="5"/>
        <v>53 tahun</v>
      </c>
      <c r="X381" s="1" t="s">
        <v>121</v>
      </c>
      <c r="Y381" s="1" t="s">
        <v>56</v>
      </c>
      <c r="Z381" s="2">
        <v>37469</v>
      </c>
      <c r="AA381" s="2">
        <v>38718</v>
      </c>
      <c r="AB381" s="2" t="s">
        <v>84</v>
      </c>
    </row>
    <row r="382" spans="1:28" x14ac:dyDescent="0.35">
      <c r="A382" s="12">
        <v>5424</v>
      </c>
      <c r="B382" s="12">
        <v>8810096</v>
      </c>
      <c r="C382" s="12" t="s">
        <v>139</v>
      </c>
      <c r="D382" s="12">
        <v>50050361</v>
      </c>
      <c r="E382" s="16" t="s">
        <v>2088</v>
      </c>
      <c r="F382" s="1" t="str">
        <f>VLOOKUP(A382,[1]Sheet1!$A$2:$E$1141,5,0)</f>
        <v>Mgr of Line 5 RKC Operation</v>
      </c>
      <c r="G382" s="16" t="str">
        <f>VLOOKUP(A382,[1]Sheet1!$A$2:$F$1141,6,0)</f>
        <v>Manager</v>
      </c>
      <c r="H382" s="1" t="s">
        <v>2089</v>
      </c>
      <c r="I382" s="1" t="s">
        <v>1117</v>
      </c>
      <c r="J382" s="1" t="str">
        <f>VLOOKUP(A382,[1]Sheet1!$A$2:$H$1141,8,0)</f>
        <v>Dept. of Clinker &amp; Cement Production</v>
      </c>
      <c r="K382" s="1" t="str">
        <f>VLOOKUP(A382,[1]Sheet1!$A$2:$I$1141,9,0)</f>
        <v>Unit of Clinker Production</v>
      </c>
      <c r="L382" s="1" t="str">
        <f>VLOOKUP(A382,[1]Sheet1!$A$2:$J$1141,10,0)</f>
        <v>Section of Line 5 RKC Operation</v>
      </c>
      <c r="M382" s="2">
        <v>32504</v>
      </c>
      <c r="N382" s="1" t="s">
        <v>29</v>
      </c>
      <c r="O382" s="1" t="s">
        <v>30</v>
      </c>
      <c r="P382" s="1" t="s">
        <v>2090</v>
      </c>
      <c r="Q382" s="1" t="s">
        <v>2091</v>
      </c>
      <c r="R382" s="1" t="s">
        <v>2092</v>
      </c>
      <c r="S382" s="1" t="s">
        <v>2093</v>
      </c>
      <c r="T382" s="14">
        <v>52963</v>
      </c>
      <c r="U382" s="1" t="s">
        <v>2094</v>
      </c>
      <c r="V382" s="1" t="s">
        <v>36</v>
      </c>
      <c r="W382" s="3" t="str">
        <f t="shared" si="5"/>
        <v>37 tahun</v>
      </c>
      <c r="X382" s="1" t="s">
        <v>2095</v>
      </c>
      <c r="Y382" s="1" t="s">
        <v>48</v>
      </c>
      <c r="Z382" s="2">
        <v>40544</v>
      </c>
      <c r="AA382" s="2">
        <v>40695</v>
      </c>
      <c r="AB382" s="2" t="s">
        <v>2096</v>
      </c>
    </row>
    <row r="383" spans="1:28" x14ac:dyDescent="0.35">
      <c r="A383" s="12">
        <v>6029</v>
      </c>
      <c r="B383" s="12">
        <v>8912196</v>
      </c>
      <c r="C383" s="12" t="s">
        <v>103</v>
      </c>
      <c r="D383" s="12">
        <v>50055784</v>
      </c>
      <c r="E383" s="1" t="s">
        <v>2097</v>
      </c>
      <c r="F383" s="1" t="str">
        <f>VLOOKUP(A383,[1]Sheet1!$A$2:$E$1141,5,0)</f>
        <v>Spv of CCR RKC 5</v>
      </c>
      <c r="G383" s="17" t="str">
        <f>VLOOKUP(A383,[1]Sheet1!$A$2:$F$1141,6,0)</f>
        <v>Supervisor</v>
      </c>
      <c r="H383" s="1" t="s">
        <v>2098</v>
      </c>
      <c r="I383" s="1" t="s">
        <v>1117</v>
      </c>
      <c r="J383" s="1" t="str">
        <f>VLOOKUP(A383,[1]Sheet1!$A$2:$H$1141,8,0)</f>
        <v>Dept. of Clinker &amp; Cement Production</v>
      </c>
      <c r="K383" s="1" t="str">
        <f>VLOOKUP(A383,[1]Sheet1!$A$2:$I$1141,9,0)</f>
        <v>Unit of Clinker Production</v>
      </c>
      <c r="L383" s="1" t="str">
        <f>VLOOKUP(A383,[1]Sheet1!$A$2:$J$1141,10,0)</f>
        <v>Section of Line 5 RKC Operation</v>
      </c>
      <c r="M383" s="2">
        <v>32674</v>
      </c>
      <c r="N383" s="1" t="s">
        <v>29</v>
      </c>
      <c r="O383" s="1" t="s">
        <v>30</v>
      </c>
      <c r="P383" s="1" t="s">
        <v>2099</v>
      </c>
      <c r="Q383" s="1" t="s">
        <v>2100</v>
      </c>
      <c r="R383" s="1" t="s">
        <v>2101</v>
      </c>
      <c r="S383" s="1" t="s">
        <v>2102</v>
      </c>
      <c r="T383" s="14">
        <v>53144</v>
      </c>
      <c r="U383" s="1" t="s">
        <v>2103</v>
      </c>
      <c r="V383" s="1" t="s">
        <v>36</v>
      </c>
      <c r="W383" s="3" t="str">
        <f t="shared" si="5"/>
        <v>37 tahun</v>
      </c>
      <c r="X383" s="1" t="s">
        <v>2104</v>
      </c>
      <c r="Y383" s="1" t="s">
        <v>56</v>
      </c>
      <c r="Z383" s="2">
        <v>41275</v>
      </c>
      <c r="AA383" s="2">
        <v>41395</v>
      </c>
      <c r="AB383" s="2" t="s">
        <v>2105</v>
      </c>
    </row>
    <row r="384" spans="1:28" x14ac:dyDescent="0.35">
      <c r="A384" s="12">
        <v>5957</v>
      </c>
      <c r="B384" s="12">
        <v>8812122</v>
      </c>
      <c r="C384" s="12" t="s">
        <v>103</v>
      </c>
      <c r="D384" s="12">
        <v>50055785</v>
      </c>
      <c r="E384" s="1" t="s">
        <v>2106</v>
      </c>
      <c r="F384" s="1" t="str">
        <f>VLOOKUP(A384,[1]Sheet1!$A$2:$E$1141,5,0)</f>
        <v>Spv of CCR RKC 5</v>
      </c>
      <c r="G384" s="17" t="str">
        <f>VLOOKUP(A384,[1]Sheet1!$A$2:$F$1141,6,0)</f>
        <v>Supervisor</v>
      </c>
      <c r="H384" s="1" t="s">
        <v>2098</v>
      </c>
      <c r="I384" s="1" t="s">
        <v>1117</v>
      </c>
      <c r="J384" s="1" t="str">
        <f>VLOOKUP(A384,[1]Sheet1!$A$2:$H$1141,8,0)</f>
        <v>Dept. of Clinker &amp; Cement Production</v>
      </c>
      <c r="K384" s="1" t="str">
        <f>VLOOKUP(A384,[1]Sheet1!$A$2:$I$1141,9,0)</f>
        <v>Unit of Clinker Production</v>
      </c>
      <c r="L384" s="1" t="str">
        <f>VLOOKUP(A384,[1]Sheet1!$A$2:$J$1141,10,0)</f>
        <v>Section of Line 5 RKC Operation</v>
      </c>
      <c r="M384" s="2">
        <v>32244</v>
      </c>
      <c r="N384" s="1" t="s">
        <v>29</v>
      </c>
      <c r="O384" s="1" t="s">
        <v>30</v>
      </c>
      <c r="P384" s="1" t="s">
        <v>2107</v>
      </c>
      <c r="Q384" s="1" t="s">
        <v>2100</v>
      </c>
      <c r="R384" s="1" t="s">
        <v>2101</v>
      </c>
      <c r="S384" s="1" t="s">
        <v>2102</v>
      </c>
      <c r="T384" s="14">
        <v>52718</v>
      </c>
      <c r="U384" s="1" t="s">
        <v>2108</v>
      </c>
      <c r="V384" s="1" t="s">
        <v>36</v>
      </c>
      <c r="W384" s="3" t="str">
        <f t="shared" si="5"/>
        <v>38 tahun</v>
      </c>
      <c r="X384" s="1" t="s">
        <v>112</v>
      </c>
      <c r="Y384" s="1" t="s">
        <v>56</v>
      </c>
      <c r="Z384" s="2">
        <v>41275</v>
      </c>
      <c r="AA384" s="2">
        <v>41426</v>
      </c>
      <c r="AB384" s="2" t="s">
        <v>2109</v>
      </c>
    </row>
    <row r="385" spans="1:28" x14ac:dyDescent="0.35">
      <c r="A385" s="12">
        <v>6176</v>
      </c>
      <c r="B385" s="12">
        <v>9112343</v>
      </c>
      <c r="C385" s="12" t="s">
        <v>103</v>
      </c>
      <c r="D385" s="12">
        <v>50055786</v>
      </c>
      <c r="E385" s="1" t="s">
        <v>2110</v>
      </c>
      <c r="F385" s="1" t="str">
        <f>VLOOKUP(A385,[1]Sheet1!$A$2:$E$1141,5,0)</f>
        <v>Spv of CCR RKC 5</v>
      </c>
      <c r="G385" s="17" t="str">
        <f>VLOOKUP(A385,[1]Sheet1!$A$2:$F$1141,6,0)</f>
        <v>Supervisor</v>
      </c>
      <c r="H385" s="1" t="s">
        <v>2098</v>
      </c>
      <c r="I385" s="1" t="s">
        <v>1117</v>
      </c>
      <c r="J385" s="1" t="str">
        <f>VLOOKUP(A385,[1]Sheet1!$A$2:$H$1141,8,0)</f>
        <v>Dept. of Clinker &amp; Cement Production</v>
      </c>
      <c r="K385" s="1" t="str">
        <f>VLOOKUP(A385,[1]Sheet1!$A$2:$I$1141,9,0)</f>
        <v>Unit of Clinker Production</v>
      </c>
      <c r="L385" s="1" t="str">
        <f>VLOOKUP(A385,[1]Sheet1!$A$2:$J$1141,10,0)</f>
        <v>Section of Line 5 RKC Operation</v>
      </c>
      <c r="M385" s="2">
        <v>33349</v>
      </c>
      <c r="N385" s="1" t="s">
        <v>29</v>
      </c>
      <c r="O385" s="1" t="s">
        <v>30</v>
      </c>
      <c r="P385" s="1" t="s">
        <v>2111</v>
      </c>
      <c r="Q385" s="1" t="s">
        <v>2100</v>
      </c>
      <c r="R385" s="1" t="s">
        <v>2101</v>
      </c>
      <c r="S385" s="1" t="s">
        <v>2102</v>
      </c>
      <c r="T385" s="14">
        <v>53813</v>
      </c>
      <c r="U385" s="1" t="s">
        <v>2112</v>
      </c>
      <c r="V385" s="1" t="s">
        <v>186</v>
      </c>
      <c r="W385" s="3" t="str">
        <f t="shared" si="5"/>
        <v>35 tahun</v>
      </c>
      <c r="X385" s="1" t="s">
        <v>107</v>
      </c>
      <c r="Y385" s="1" t="s">
        <v>56</v>
      </c>
      <c r="Z385" s="2">
        <v>41275</v>
      </c>
      <c r="AA385" s="2">
        <v>41487</v>
      </c>
      <c r="AB385" s="2" t="s">
        <v>2113</v>
      </c>
    </row>
    <row r="386" spans="1:28" x14ac:dyDescent="0.35">
      <c r="A386" s="12">
        <v>6086</v>
      </c>
      <c r="B386" s="12">
        <v>9012254</v>
      </c>
      <c r="C386" s="12" t="s">
        <v>103</v>
      </c>
      <c r="D386" s="12">
        <v>50055787</v>
      </c>
      <c r="E386" s="1" t="s">
        <v>2114</v>
      </c>
      <c r="F386" s="1" t="str">
        <f>VLOOKUP(A386,[1]Sheet1!$A$2:$E$1141,5,0)</f>
        <v>Spv of CCR RKC 5</v>
      </c>
      <c r="G386" s="17" t="str">
        <f>VLOOKUP(A386,[1]Sheet1!$A$2:$F$1141,6,0)</f>
        <v>Supervisor</v>
      </c>
      <c r="H386" s="1" t="s">
        <v>2098</v>
      </c>
      <c r="I386" s="1" t="s">
        <v>1117</v>
      </c>
      <c r="J386" s="1" t="str">
        <f>VLOOKUP(A386,[1]Sheet1!$A$2:$H$1141,8,0)</f>
        <v>Dept. of Clinker &amp; Cement Production</v>
      </c>
      <c r="K386" s="1" t="str">
        <f>VLOOKUP(A386,[1]Sheet1!$A$2:$I$1141,9,0)</f>
        <v>Unit of Clinker Production</v>
      </c>
      <c r="L386" s="1" t="str">
        <f>VLOOKUP(A386,[1]Sheet1!$A$2:$J$1141,10,0)</f>
        <v>Section of Line 5 RKC Operation</v>
      </c>
      <c r="M386" s="2">
        <v>32978</v>
      </c>
      <c r="N386" s="1" t="s">
        <v>29</v>
      </c>
      <c r="O386" s="1" t="s">
        <v>30</v>
      </c>
      <c r="P386" s="1" t="s">
        <v>2115</v>
      </c>
      <c r="Q386" s="1" t="s">
        <v>2100</v>
      </c>
      <c r="R386" s="1" t="s">
        <v>2101</v>
      </c>
      <c r="S386" s="1" t="s">
        <v>2102</v>
      </c>
      <c r="T386" s="14">
        <v>53448</v>
      </c>
      <c r="U386" s="1" t="s">
        <v>2116</v>
      </c>
      <c r="V386" s="1" t="s">
        <v>36</v>
      </c>
      <c r="W386" s="3" t="str">
        <f t="shared" si="5"/>
        <v>36 tahun</v>
      </c>
      <c r="X386" s="1" t="s">
        <v>595</v>
      </c>
      <c r="Y386" s="1" t="s">
        <v>56</v>
      </c>
      <c r="Z386" s="2">
        <v>41275</v>
      </c>
      <c r="AA386" s="2">
        <v>41395</v>
      </c>
      <c r="AB386" s="2" t="s">
        <v>2117</v>
      </c>
    </row>
    <row r="387" spans="1:28" x14ac:dyDescent="0.35">
      <c r="A387" s="12">
        <v>6247</v>
      </c>
      <c r="B387" s="12">
        <v>9212415</v>
      </c>
      <c r="C387" s="12" t="s">
        <v>103</v>
      </c>
      <c r="D387" s="12">
        <v>50069384</v>
      </c>
      <c r="E387" s="1" t="s">
        <v>1853</v>
      </c>
      <c r="F387" s="1" t="str">
        <f>VLOOKUP(A387,[1]Sheet1!$A$2:$E$1141,5,0)</f>
        <v>Spv of CCR RKC 5</v>
      </c>
      <c r="G387" s="17" t="str">
        <f>VLOOKUP(A387,[1]Sheet1!$A$2:$F$1141,6,0)</f>
        <v>Supervisor</v>
      </c>
      <c r="H387" s="1" t="s">
        <v>2098</v>
      </c>
      <c r="I387" s="1" t="s">
        <v>1117</v>
      </c>
      <c r="J387" s="1" t="str">
        <f>VLOOKUP(A387,[1]Sheet1!$A$2:$H$1141,8,0)</f>
        <v>Dept. of Clinker &amp; Cement Production</v>
      </c>
      <c r="K387" s="1" t="str">
        <f>VLOOKUP(A387,[1]Sheet1!$A$2:$I$1141,9,0)</f>
        <v>Unit of Clinker Production</v>
      </c>
      <c r="L387" s="1" t="str">
        <f>VLOOKUP(A387,[1]Sheet1!$A$2:$J$1141,10,0)</f>
        <v>Section of Line 5 RKC Operation</v>
      </c>
      <c r="M387" s="2">
        <v>33718</v>
      </c>
      <c r="N387" s="1" t="s">
        <v>29</v>
      </c>
      <c r="O387" s="1" t="s">
        <v>30</v>
      </c>
      <c r="P387" s="1" t="s">
        <v>2118</v>
      </c>
      <c r="Q387" s="1" t="s">
        <v>2100</v>
      </c>
      <c r="R387" s="1" t="s">
        <v>2101</v>
      </c>
      <c r="S387" s="1" t="s">
        <v>2102</v>
      </c>
      <c r="T387" s="14">
        <v>54179</v>
      </c>
      <c r="U387" s="1" t="s">
        <v>2119</v>
      </c>
      <c r="V387" s="1" t="s">
        <v>36</v>
      </c>
      <c r="W387" s="3" t="str">
        <f t="shared" ref="W387:W450" si="6">DATEDIF(M387,$W$1,"Y")&amp;" "&amp;"tahun"</f>
        <v>34 tahun</v>
      </c>
      <c r="X387" s="1" t="s">
        <v>356</v>
      </c>
      <c r="Y387" s="1" t="s">
        <v>56</v>
      </c>
      <c r="Z387" s="2">
        <v>41275</v>
      </c>
      <c r="AA387" s="2">
        <v>41395</v>
      </c>
      <c r="AB387" s="2" t="s">
        <v>2120</v>
      </c>
    </row>
    <row r="388" spans="1:28" x14ac:dyDescent="0.35">
      <c r="A388" s="12">
        <v>5862</v>
      </c>
      <c r="B388" s="12">
        <v>8512029</v>
      </c>
      <c r="C388" s="12" t="s">
        <v>103</v>
      </c>
      <c r="D388" s="12">
        <v>50069385</v>
      </c>
      <c r="E388" s="1" t="s">
        <v>2121</v>
      </c>
      <c r="F388" s="1" t="str">
        <f>VLOOKUP(A388,[1]Sheet1!$A$2:$E$1141,5,0)</f>
        <v>Spv of CCR RKC 5</v>
      </c>
      <c r="G388" s="17" t="str">
        <f>VLOOKUP(A388,[1]Sheet1!$A$2:$F$1141,6,0)</f>
        <v>Supervisor</v>
      </c>
      <c r="H388" s="1" t="s">
        <v>2098</v>
      </c>
      <c r="I388" s="1" t="s">
        <v>1117</v>
      </c>
      <c r="J388" s="1" t="str">
        <f>VLOOKUP(A388,[1]Sheet1!$A$2:$H$1141,8,0)</f>
        <v>Dept. of Clinker &amp; Cement Production</v>
      </c>
      <c r="K388" s="1" t="str">
        <f>VLOOKUP(A388,[1]Sheet1!$A$2:$I$1141,9,0)</f>
        <v>Unit of Clinker Production</v>
      </c>
      <c r="L388" s="1" t="str">
        <f>VLOOKUP(A388,[1]Sheet1!$A$2:$J$1141,10,0)</f>
        <v>Section of Line 5 RKC Operation</v>
      </c>
      <c r="M388" s="2">
        <v>31411</v>
      </c>
      <c r="N388" s="1" t="s">
        <v>29</v>
      </c>
      <c r="O388" s="1" t="s">
        <v>30</v>
      </c>
      <c r="P388" s="1" t="s">
        <v>2122</v>
      </c>
      <c r="Q388" s="1" t="s">
        <v>2100</v>
      </c>
      <c r="R388" s="1" t="s">
        <v>2101</v>
      </c>
      <c r="S388" s="1" t="s">
        <v>2102</v>
      </c>
      <c r="T388" s="14">
        <v>51867</v>
      </c>
      <c r="U388" s="1" t="s">
        <v>2123</v>
      </c>
      <c r="V388" s="1" t="s">
        <v>36</v>
      </c>
      <c r="W388" s="3" t="str">
        <f t="shared" si="6"/>
        <v>40 tahun</v>
      </c>
      <c r="X388" s="1" t="s">
        <v>55</v>
      </c>
      <c r="Y388" s="1" t="s">
        <v>56</v>
      </c>
      <c r="Z388" s="2">
        <v>41275</v>
      </c>
      <c r="AA388" s="2">
        <v>41426</v>
      </c>
      <c r="AB388" s="2" t="s">
        <v>2124</v>
      </c>
    </row>
    <row r="389" spans="1:28" x14ac:dyDescent="0.35">
      <c r="A389" s="12">
        <v>6231</v>
      </c>
      <c r="B389" s="12">
        <v>9212398</v>
      </c>
      <c r="C389" s="12" t="s">
        <v>103</v>
      </c>
      <c r="D389" s="12">
        <v>50069386</v>
      </c>
      <c r="E389" s="1" t="s">
        <v>2125</v>
      </c>
      <c r="F389" s="1" t="str">
        <f>VLOOKUP(A389,[1]Sheet1!$A$2:$E$1141,5,0)</f>
        <v>Spv of CCR RKC 5</v>
      </c>
      <c r="G389" s="17" t="str">
        <f>VLOOKUP(A389,[1]Sheet1!$A$2:$F$1141,6,0)</f>
        <v>Supervisor</v>
      </c>
      <c r="H389" s="1" t="s">
        <v>2098</v>
      </c>
      <c r="I389" s="1" t="s">
        <v>1117</v>
      </c>
      <c r="J389" s="1" t="str">
        <f>VLOOKUP(A389,[1]Sheet1!$A$2:$H$1141,8,0)</f>
        <v>Dept. of Clinker &amp; Cement Production</v>
      </c>
      <c r="K389" s="1" t="str">
        <f>VLOOKUP(A389,[1]Sheet1!$A$2:$I$1141,9,0)</f>
        <v>Unit of Clinker Production</v>
      </c>
      <c r="L389" s="1" t="str">
        <f>VLOOKUP(A389,[1]Sheet1!$A$2:$J$1141,10,0)</f>
        <v>Section of Line 5 RKC Operation</v>
      </c>
      <c r="M389" s="2">
        <v>33631</v>
      </c>
      <c r="N389" s="1" t="s">
        <v>29</v>
      </c>
      <c r="O389" s="1" t="s">
        <v>30</v>
      </c>
      <c r="P389" s="1" t="s">
        <v>2126</v>
      </c>
      <c r="Q389" s="1" t="s">
        <v>2100</v>
      </c>
      <c r="R389" s="1" t="s">
        <v>2101</v>
      </c>
      <c r="S389" s="1" t="s">
        <v>2102</v>
      </c>
      <c r="T389" s="14">
        <v>54089</v>
      </c>
      <c r="U389" s="1" t="s">
        <v>2127</v>
      </c>
      <c r="V389" s="1" t="s">
        <v>36</v>
      </c>
      <c r="W389" s="3" t="str">
        <f t="shared" si="6"/>
        <v>34 tahun</v>
      </c>
      <c r="X389" s="1" t="s">
        <v>2128</v>
      </c>
      <c r="Y389" s="1" t="s">
        <v>56</v>
      </c>
      <c r="Z389" s="2">
        <v>41275</v>
      </c>
      <c r="AA389" s="2">
        <v>41395</v>
      </c>
      <c r="AB389" s="2" t="s">
        <v>2129</v>
      </c>
    </row>
    <row r="390" spans="1:28" x14ac:dyDescent="0.35">
      <c r="A390" s="12">
        <v>6026</v>
      </c>
      <c r="B390" s="12">
        <v>8912193</v>
      </c>
      <c r="C390" s="12" t="s">
        <v>103</v>
      </c>
      <c r="D390" s="12">
        <v>50069387</v>
      </c>
      <c r="E390" s="1" t="s">
        <v>2130</v>
      </c>
      <c r="F390" s="1" t="str">
        <f>VLOOKUP(A390,[1]Sheet1!$A$2:$E$1141,5,0)</f>
        <v>Spv of CCR RKC 5</v>
      </c>
      <c r="G390" s="17" t="str">
        <f>VLOOKUP(A390,[1]Sheet1!$A$2:$F$1141,6,0)</f>
        <v>Supervisor</v>
      </c>
      <c r="H390" s="1" t="s">
        <v>2098</v>
      </c>
      <c r="I390" s="1" t="s">
        <v>1117</v>
      </c>
      <c r="J390" s="1" t="str">
        <f>VLOOKUP(A390,[1]Sheet1!$A$2:$H$1141,8,0)</f>
        <v>Dept. of Clinker &amp; Cement Production</v>
      </c>
      <c r="K390" s="1" t="str">
        <f>VLOOKUP(A390,[1]Sheet1!$A$2:$I$1141,9,0)</f>
        <v>Unit of Clinker Production</v>
      </c>
      <c r="L390" s="1" t="str">
        <f>VLOOKUP(A390,[1]Sheet1!$A$2:$J$1141,10,0)</f>
        <v>Section of Line 5 RKC Operation</v>
      </c>
      <c r="M390" s="2">
        <v>32671</v>
      </c>
      <c r="N390" s="1" t="s">
        <v>29</v>
      </c>
      <c r="O390" s="1" t="s">
        <v>30</v>
      </c>
      <c r="P390" s="1" t="s">
        <v>2131</v>
      </c>
      <c r="Q390" s="1" t="s">
        <v>2100</v>
      </c>
      <c r="R390" s="1" t="s">
        <v>2101</v>
      </c>
      <c r="S390" s="1" t="s">
        <v>2102</v>
      </c>
      <c r="T390" s="14">
        <v>53144</v>
      </c>
      <c r="U390" s="1" t="s">
        <v>2132</v>
      </c>
      <c r="V390" s="1" t="s">
        <v>36</v>
      </c>
      <c r="W390" s="3" t="str">
        <f t="shared" si="6"/>
        <v>37 tahun</v>
      </c>
      <c r="X390" s="1" t="s">
        <v>356</v>
      </c>
      <c r="Y390" s="1" t="s">
        <v>48</v>
      </c>
      <c r="Z390" s="2">
        <v>41275</v>
      </c>
      <c r="AA390" s="2">
        <v>41395</v>
      </c>
      <c r="AB390" s="2" t="s">
        <v>1993</v>
      </c>
    </row>
    <row r="391" spans="1:28" x14ac:dyDescent="0.35">
      <c r="A391" s="12">
        <v>6172</v>
      </c>
      <c r="B391" s="12">
        <v>9112339</v>
      </c>
      <c r="C391" s="12" t="s">
        <v>103</v>
      </c>
      <c r="D391" s="12">
        <v>50069392</v>
      </c>
      <c r="E391" s="1" t="s">
        <v>2133</v>
      </c>
      <c r="F391" s="1" t="str">
        <f>VLOOKUP(A391,[1]Sheet1!$A$2:$E$1141,5,0)</f>
        <v>Spv of Line 5 RM Field</v>
      </c>
      <c r="G391" s="17" t="str">
        <f>VLOOKUP(A391,[1]Sheet1!$A$2:$F$1141,6,0)</f>
        <v>Supervisor</v>
      </c>
      <c r="H391" s="1" t="s">
        <v>2098</v>
      </c>
      <c r="I391" s="1" t="s">
        <v>1117</v>
      </c>
      <c r="J391" s="1" t="str">
        <f>VLOOKUP(A391,[1]Sheet1!$A$2:$H$1141,8,0)</f>
        <v>Dept. of Clinker &amp; Cement Production</v>
      </c>
      <c r="K391" s="1" t="str">
        <f>VLOOKUP(A391,[1]Sheet1!$A$2:$I$1141,9,0)</f>
        <v>Unit of Clinker Production</v>
      </c>
      <c r="L391" s="1" t="str">
        <f>VLOOKUP(A391,[1]Sheet1!$A$2:$J$1141,10,0)</f>
        <v>Section of Line 5 RKC Operation</v>
      </c>
      <c r="M391" s="2">
        <v>33340</v>
      </c>
      <c r="N391" s="1" t="s">
        <v>29</v>
      </c>
      <c r="O391" s="1" t="s">
        <v>30</v>
      </c>
      <c r="P391" s="1" t="s">
        <v>2134</v>
      </c>
      <c r="Q391" s="1" t="s">
        <v>2135</v>
      </c>
      <c r="R391" s="1" t="s">
        <v>2136</v>
      </c>
      <c r="S391" s="1" t="s">
        <v>2102</v>
      </c>
      <c r="T391" s="14">
        <v>53813</v>
      </c>
      <c r="U391" s="1" t="s">
        <v>2137</v>
      </c>
      <c r="V391" s="1" t="s">
        <v>36</v>
      </c>
      <c r="W391" s="3" t="str">
        <f t="shared" si="6"/>
        <v>35 tahun</v>
      </c>
      <c r="X391" s="1" t="s">
        <v>1086</v>
      </c>
      <c r="Y391" s="1" t="s">
        <v>56</v>
      </c>
      <c r="Z391" s="2">
        <v>41275</v>
      </c>
      <c r="AA391" s="2">
        <v>41395</v>
      </c>
      <c r="AB391" s="2" t="s">
        <v>2138</v>
      </c>
    </row>
    <row r="392" spans="1:28" x14ac:dyDescent="0.35">
      <c r="A392" s="12">
        <v>6194</v>
      </c>
      <c r="B392" s="12">
        <v>9112360</v>
      </c>
      <c r="C392" s="12" t="s">
        <v>103</v>
      </c>
      <c r="D392" s="12">
        <v>50069393</v>
      </c>
      <c r="E392" s="1" t="s">
        <v>2139</v>
      </c>
      <c r="F392" s="1" t="str">
        <f>VLOOKUP(A392,[1]Sheet1!$A$2:$E$1141,5,0)</f>
        <v>Spv of Line 5 RM Field</v>
      </c>
      <c r="G392" s="17" t="str">
        <f>VLOOKUP(A392,[1]Sheet1!$A$2:$F$1141,6,0)</f>
        <v>Supervisor</v>
      </c>
      <c r="H392" s="1" t="s">
        <v>2098</v>
      </c>
      <c r="I392" s="1" t="s">
        <v>1117</v>
      </c>
      <c r="J392" s="1" t="str">
        <f>VLOOKUP(A392,[1]Sheet1!$A$2:$H$1141,8,0)</f>
        <v>Dept. of Clinker &amp; Cement Production</v>
      </c>
      <c r="K392" s="1" t="str">
        <f>VLOOKUP(A392,[1]Sheet1!$A$2:$I$1141,9,0)</f>
        <v>Unit of Clinker Production</v>
      </c>
      <c r="L392" s="1" t="str">
        <f>VLOOKUP(A392,[1]Sheet1!$A$2:$J$1141,10,0)</f>
        <v>Section of Line 5 RKC Operation</v>
      </c>
      <c r="M392" s="2">
        <v>33437</v>
      </c>
      <c r="N392" s="1" t="s">
        <v>29</v>
      </c>
      <c r="O392" s="1" t="s">
        <v>30</v>
      </c>
      <c r="P392" s="1" t="s">
        <v>2140</v>
      </c>
      <c r="Q392" s="1" t="s">
        <v>2135</v>
      </c>
      <c r="R392" s="1" t="s">
        <v>2136</v>
      </c>
      <c r="S392" s="1" t="s">
        <v>2102</v>
      </c>
      <c r="T392" s="14">
        <v>53905</v>
      </c>
      <c r="U392" s="1" t="s">
        <v>2141</v>
      </c>
      <c r="V392" s="1" t="s">
        <v>36</v>
      </c>
      <c r="W392" s="3" t="str">
        <f t="shared" si="6"/>
        <v>35 tahun</v>
      </c>
      <c r="X392" s="1" t="s">
        <v>112</v>
      </c>
      <c r="Y392" s="1" t="s">
        <v>56</v>
      </c>
      <c r="Z392" s="2">
        <v>41275</v>
      </c>
      <c r="AA392" s="2">
        <v>41426</v>
      </c>
      <c r="AB392" s="2" t="s">
        <v>2142</v>
      </c>
    </row>
    <row r="393" spans="1:28" x14ac:dyDescent="0.35">
      <c r="A393" s="12">
        <v>5980</v>
      </c>
      <c r="B393" s="12">
        <v>8812148</v>
      </c>
      <c r="C393" s="12" t="s">
        <v>103</v>
      </c>
      <c r="D393" s="12">
        <v>50069394</v>
      </c>
      <c r="E393" s="1" t="s">
        <v>2143</v>
      </c>
      <c r="F393" s="1" t="str">
        <f>VLOOKUP(A393,[1]Sheet1!$A$2:$E$1141,5,0)</f>
        <v>Spv of Line 5 RM Field</v>
      </c>
      <c r="G393" s="17" t="str">
        <f>VLOOKUP(A393,[1]Sheet1!$A$2:$F$1141,6,0)</f>
        <v>Supervisor</v>
      </c>
      <c r="H393" s="1" t="s">
        <v>2098</v>
      </c>
      <c r="I393" s="1" t="s">
        <v>1117</v>
      </c>
      <c r="J393" s="1" t="str">
        <f>VLOOKUP(A393,[1]Sheet1!$A$2:$H$1141,8,0)</f>
        <v>Dept. of Clinker &amp; Cement Production</v>
      </c>
      <c r="K393" s="1" t="str">
        <f>VLOOKUP(A393,[1]Sheet1!$A$2:$I$1141,9,0)</f>
        <v>Unit of Clinker Production</v>
      </c>
      <c r="L393" s="1" t="str">
        <f>VLOOKUP(A393,[1]Sheet1!$A$2:$J$1141,10,0)</f>
        <v>Section of Line 5 RKC Operation</v>
      </c>
      <c r="M393" s="2">
        <v>32407</v>
      </c>
      <c r="N393" s="1" t="s">
        <v>29</v>
      </c>
      <c r="O393" s="1" t="s">
        <v>30</v>
      </c>
      <c r="P393" s="1" t="s">
        <v>2144</v>
      </c>
      <c r="Q393" s="1" t="s">
        <v>2135</v>
      </c>
      <c r="R393" s="1" t="s">
        <v>2136</v>
      </c>
      <c r="S393" s="1" t="s">
        <v>2102</v>
      </c>
      <c r="T393" s="14">
        <v>52871</v>
      </c>
      <c r="U393" s="1" t="s">
        <v>2145</v>
      </c>
      <c r="V393" s="1" t="s">
        <v>36</v>
      </c>
      <c r="W393" s="3" t="str">
        <f t="shared" si="6"/>
        <v>37 tahun</v>
      </c>
      <c r="X393" s="1" t="s">
        <v>112</v>
      </c>
      <c r="Y393" s="1" t="s">
        <v>56</v>
      </c>
      <c r="Z393" s="2">
        <v>41275</v>
      </c>
      <c r="AA393" s="2">
        <v>41426</v>
      </c>
      <c r="AB393" s="2" t="s">
        <v>2146</v>
      </c>
    </row>
    <row r="394" spans="1:28" x14ac:dyDescent="0.35">
      <c r="A394" s="12">
        <v>6063</v>
      </c>
      <c r="B394" s="12">
        <v>8912230</v>
      </c>
      <c r="C394" s="12" t="s">
        <v>103</v>
      </c>
      <c r="D394" s="12">
        <v>50069396</v>
      </c>
      <c r="E394" s="1" t="s">
        <v>2147</v>
      </c>
      <c r="F394" s="1" t="str">
        <f>VLOOKUP(A394,[1]Sheet1!$A$2:$E$1141,5,0)</f>
        <v>Spv of Line 5 RM Field</v>
      </c>
      <c r="G394" s="17" t="str">
        <f>VLOOKUP(A394,[1]Sheet1!$A$2:$F$1141,6,0)</f>
        <v>Supervisor</v>
      </c>
      <c r="H394" s="1" t="s">
        <v>2098</v>
      </c>
      <c r="I394" s="1" t="s">
        <v>1117</v>
      </c>
      <c r="J394" s="1" t="str">
        <f>VLOOKUP(A394,[1]Sheet1!$A$2:$H$1141,8,0)</f>
        <v>Dept. of Clinker &amp; Cement Production</v>
      </c>
      <c r="K394" s="1" t="str">
        <f>VLOOKUP(A394,[1]Sheet1!$A$2:$I$1141,9,0)</f>
        <v>Unit of Clinker Production</v>
      </c>
      <c r="L394" s="1" t="str">
        <f>VLOOKUP(A394,[1]Sheet1!$A$2:$J$1141,10,0)</f>
        <v>Section of Line 5 RKC Operation</v>
      </c>
      <c r="M394" s="2">
        <v>32857</v>
      </c>
      <c r="N394" s="1" t="s">
        <v>29</v>
      </c>
      <c r="O394" s="1" t="s">
        <v>30</v>
      </c>
      <c r="P394" s="1" t="s">
        <v>2148</v>
      </c>
      <c r="Q394" s="1" t="s">
        <v>2135</v>
      </c>
      <c r="R394" s="1" t="s">
        <v>2136</v>
      </c>
      <c r="S394" s="1" t="s">
        <v>2102</v>
      </c>
      <c r="T394" s="14">
        <v>53328</v>
      </c>
      <c r="U394" s="1" t="s">
        <v>2149</v>
      </c>
      <c r="V394" s="1" t="s">
        <v>36</v>
      </c>
      <c r="W394" s="3" t="str">
        <f t="shared" si="6"/>
        <v>36 tahun</v>
      </c>
      <c r="X394" s="1" t="s">
        <v>55</v>
      </c>
      <c r="Y394" s="1" t="s">
        <v>48</v>
      </c>
      <c r="Z394" s="2">
        <v>41275</v>
      </c>
      <c r="AA394" s="2">
        <v>41426</v>
      </c>
      <c r="AB394" s="2" t="s">
        <v>2150</v>
      </c>
    </row>
    <row r="395" spans="1:28" x14ac:dyDescent="0.35">
      <c r="A395" s="12">
        <v>5915</v>
      </c>
      <c r="B395" s="12">
        <v>8712082</v>
      </c>
      <c r="C395" s="12" t="s">
        <v>103</v>
      </c>
      <c r="D395" s="12">
        <v>50069398</v>
      </c>
      <c r="E395" s="1" t="s">
        <v>2151</v>
      </c>
      <c r="F395" s="1" t="str">
        <f>VLOOKUP(A395,[1]Sheet1!$A$2:$E$1141,5,0)</f>
        <v>Spv of Line 5 KIln Field</v>
      </c>
      <c r="G395" s="17" t="str">
        <f>VLOOKUP(A395,[1]Sheet1!$A$2:$F$1141,6,0)</f>
        <v>Supervisor</v>
      </c>
      <c r="H395" s="1" t="s">
        <v>2098</v>
      </c>
      <c r="I395" s="1" t="s">
        <v>1117</v>
      </c>
      <c r="J395" s="1" t="str">
        <f>VLOOKUP(A395,[1]Sheet1!$A$2:$H$1141,8,0)</f>
        <v>Dept. of Clinker &amp; Cement Production</v>
      </c>
      <c r="K395" s="1" t="str">
        <f>VLOOKUP(A395,[1]Sheet1!$A$2:$I$1141,9,0)</f>
        <v>Unit of Clinker Production</v>
      </c>
      <c r="L395" s="1" t="str">
        <f>VLOOKUP(A395,[1]Sheet1!$A$2:$J$1141,10,0)</f>
        <v>Section of Line 5 RKC Operation</v>
      </c>
      <c r="M395" s="2">
        <v>31914</v>
      </c>
      <c r="N395" s="1" t="s">
        <v>29</v>
      </c>
      <c r="O395" s="1" t="s">
        <v>30</v>
      </c>
      <c r="P395" s="1" t="s">
        <v>2152</v>
      </c>
      <c r="Q395" s="1" t="s">
        <v>2153</v>
      </c>
      <c r="R395" s="1" t="s">
        <v>2154</v>
      </c>
      <c r="S395" s="1" t="s">
        <v>2102</v>
      </c>
      <c r="T395" s="14">
        <v>52383</v>
      </c>
      <c r="U395" s="1" t="s">
        <v>2155</v>
      </c>
      <c r="V395" s="1" t="s">
        <v>36</v>
      </c>
      <c r="W395" s="3" t="str">
        <f t="shared" si="6"/>
        <v>39 tahun</v>
      </c>
      <c r="X395" s="1" t="s">
        <v>112</v>
      </c>
      <c r="Y395" s="1" t="s">
        <v>56</v>
      </c>
      <c r="Z395" s="2">
        <v>41275</v>
      </c>
      <c r="AA395" s="2">
        <v>41456</v>
      </c>
      <c r="AB395" s="2" t="s">
        <v>2156</v>
      </c>
    </row>
    <row r="396" spans="1:28" x14ac:dyDescent="0.35">
      <c r="A396" s="12">
        <v>6031</v>
      </c>
      <c r="B396" s="12">
        <v>8912198</v>
      </c>
      <c r="C396" s="12" t="s">
        <v>103</v>
      </c>
      <c r="D396" s="12">
        <v>50069399</v>
      </c>
      <c r="E396" s="1" t="s">
        <v>2157</v>
      </c>
      <c r="F396" s="1" t="str">
        <f>VLOOKUP(A396,[1]Sheet1!$A$2:$E$1141,5,0)</f>
        <v>Spv of Line 5 KIln Field</v>
      </c>
      <c r="G396" s="17" t="str">
        <f>VLOOKUP(A396,[1]Sheet1!$A$2:$F$1141,6,0)</f>
        <v>Supervisor</v>
      </c>
      <c r="H396" s="1" t="s">
        <v>2098</v>
      </c>
      <c r="I396" s="1" t="s">
        <v>1117</v>
      </c>
      <c r="J396" s="1" t="str">
        <f>VLOOKUP(A396,[1]Sheet1!$A$2:$H$1141,8,0)</f>
        <v>Dept. of Clinker &amp; Cement Production</v>
      </c>
      <c r="K396" s="1" t="str">
        <f>VLOOKUP(A396,[1]Sheet1!$A$2:$I$1141,9,0)</f>
        <v>Unit of Clinker Production</v>
      </c>
      <c r="L396" s="1" t="str">
        <f>VLOOKUP(A396,[1]Sheet1!$A$2:$J$1141,10,0)</f>
        <v>Section of Line 5 RKC Operation</v>
      </c>
      <c r="M396" s="2">
        <v>32692</v>
      </c>
      <c r="N396" s="1" t="s">
        <v>29</v>
      </c>
      <c r="O396" s="1" t="s">
        <v>30</v>
      </c>
      <c r="P396" s="1" t="s">
        <v>2158</v>
      </c>
      <c r="Q396" s="1" t="s">
        <v>2153</v>
      </c>
      <c r="R396" s="1" t="s">
        <v>2154</v>
      </c>
      <c r="S396" s="1" t="s">
        <v>2102</v>
      </c>
      <c r="T396" s="14">
        <v>53175</v>
      </c>
      <c r="U396" s="1" t="s">
        <v>2159</v>
      </c>
      <c r="V396" s="1" t="s">
        <v>36</v>
      </c>
      <c r="W396" s="3" t="str">
        <f t="shared" si="6"/>
        <v>37 tahun</v>
      </c>
      <c r="X396" s="1" t="s">
        <v>121</v>
      </c>
      <c r="Y396" s="1" t="s">
        <v>56</v>
      </c>
      <c r="Z396" s="2">
        <v>41275</v>
      </c>
      <c r="AA396" s="2">
        <v>41456</v>
      </c>
      <c r="AB396" s="2" t="s">
        <v>2160</v>
      </c>
    </row>
    <row r="397" spans="1:28" x14ac:dyDescent="0.35">
      <c r="A397" s="12">
        <v>6177</v>
      </c>
      <c r="B397" s="12">
        <v>9112344</v>
      </c>
      <c r="C397" s="12" t="s">
        <v>103</v>
      </c>
      <c r="D397" s="12">
        <v>50069400</v>
      </c>
      <c r="E397" s="1" t="s">
        <v>2161</v>
      </c>
      <c r="F397" s="1" t="str">
        <f>VLOOKUP(A397,[1]Sheet1!$A$2:$E$1141,5,0)</f>
        <v>Spv of Line 5 KIln Field</v>
      </c>
      <c r="G397" s="17" t="str">
        <f>VLOOKUP(A397,[1]Sheet1!$A$2:$F$1141,6,0)</f>
        <v>Supervisor</v>
      </c>
      <c r="H397" s="1" t="s">
        <v>2098</v>
      </c>
      <c r="I397" s="1" t="s">
        <v>1117</v>
      </c>
      <c r="J397" s="1" t="str">
        <f>VLOOKUP(A397,[1]Sheet1!$A$2:$H$1141,8,0)</f>
        <v>Dept. of Clinker &amp; Cement Production</v>
      </c>
      <c r="K397" s="1" t="str">
        <f>VLOOKUP(A397,[1]Sheet1!$A$2:$I$1141,9,0)</f>
        <v>Unit of Clinker Production</v>
      </c>
      <c r="L397" s="1" t="str">
        <f>VLOOKUP(A397,[1]Sheet1!$A$2:$J$1141,10,0)</f>
        <v>Section of Line 5 RKC Operation</v>
      </c>
      <c r="M397" s="2">
        <v>33361</v>
      </c>
      <c r="N397" s="1" t="s">
        <v>29</v>
      </c>
      <c r="O397" s="1" t="s">
        <v>30</v>
      </c>
      <c r="P397" s="1" t="s">
        <v>2162</v>
      </c>
      <c r="Q397" s="1" t="s">
        <v>2153</v>
      </c>
      <c r="R397" s="1" t="s">
        <v>2154</v>
      </c>
      <c r="S397" s="1" t="s">
        <v>2102</v>
      </c>
      <c r="T397" s="14">
        <v>53844</v>
      </c>
      <c r="U397" s="1" t="s">
        <v>2163</v>
      </c>
      <c r="V397" s="1" t="s">
        <v>36</v>
      </c>
      <c r="W397" s="3" t="str">
        <f t="shared" si="6"/>
        <v>35 tahun</v>
      </c>
      <c r="X397" s="1" t="s">
        <v>112</v>
      </c>
      <c r="Y397" s="1" t="s">
        <v>56</v>
      </c>
      <c r="Z397" s="2">
        <v>41275</v>
      </c>
      <c r="AA397" s="2">
        <v>41395</v>
      </c>
      <c r="AB397" s="2" t="s">
        <v>2164</v>
      </c>
    </row>
    <row r="398" spans="1:28" x14ac:dyDescent="0.35">
      <c r="A398" s="12">
        <v>6166</v>
      </c>
      <c r="B398" s="12">
        <v>9112333</v>
      </c>
      <c r="C398" s="12" t="s">
        <v>103</v>
      </c>
      <c r="D398" s="12">
        <v>50069401</v>
      </c>
      <c r="E398" s="1" t="s">
        <v>2165</v>
      </c>
      <c r="F398" s="1" t="str">
        <f>VLOOKUP(A398,[1]Sheet1!$A$2:$E$1141,5,0)</f>
        <v>Spv of Line 5 KIln Field</v>
      </c>
      <c r="G398" s="17" t="str">
        <f>VLOOKUP(A398,[1]Sheet1!$A$2:$F$1141,6,0)</f>
        <v>Supervisor</v>
      </c>
      <c r="H398" s="1" t="s">
        <v>2098</v>
      </c>
      <c r="I398" s="1" t="s">
        <v>1117</v>
      </c>
      <c r="J398" s="1" t="str">
        <f>VLOOKUP(A398,[1]Sheet1!$A$2:$H$1141,8,0)</f>
        <v>Dept. of Clinker &amp; Cement Production</v>
      </c>
      <c r="K398" s="1" t="str">
        <f>VLOOKUP(A398,[1]Sheet1!$A$2:$I$1141,9,0)</f>
        <v>Unit of Clinker Production</v>
      </c>
      <c r="L398" s="1" t="str">
        <f>VLOOKUP(A398,[1]Sheet1!$A$2:$J$1141,10,0)</f>
        <v>Section of Line 5 RKC Operation</v>
      </c>
      <c r="M398" s="2">
        <v>33318</v>
      </c>
      <c r="N398" s="1" t="s">
        <v>29</v>
      </c>
      <c r="O398" s="1" t="s">
        <v>30</v>
      </c>
      <c r="P398" s="1" t="s">
        <v>2166</v>
      </c>
      <c r="Q398" s="1" t="s">
        <v>2153</v>
      </c>
      <c r="R398" s="1" t="s">
        <v>2154</v>
      </c>
      <c r="S398" s="1" t="s">
        <v>2102</v>
      </c>
      <c r="T398" s="14">
        <v>53783</v>
      </c>
      <c r="U398" s="1" t="s">
        <v>2167</v>
      </c>
      <c r="V398" s="1" t="s">
        <v>36</v>
      </c>
      <c r="W398" s="3" t="str">
        <f t="shared" si="6"/>
        <v>35 tahun</v>
      </c>
      <c r="X398" s="1" t="s">
        <v>667</v>
      </c>
      <c r="Y398" s="1" t="s">
        <v>56</v>
      </c>
      <c r="Z398" s="2">
        <v>41275</v>
      </c>
      <c r="AA398" s="2">
        <v>41395</v>
      </c>
      <c r="AB398" s="2" t="s">
        <v>2168</v>
      </c>
    </row>
    <row r="399" spans="1:28" x14ac:dyDescent="0.35">
      <c r="A399" s="12">
        <v>6136</v>
      </c>
      <c r="B399" s="12">
        <v>9012305</v>
      </c>
      <c r="C399" s="12" t="s">
        <v>103</v>
      </c>
      <c r="D399" s="12">
        <v>50069403</v>
      </c>
      <c r="E399" s="1" t="s">
        <v>2169</v>
      </c>
      <c r="F399" s="1" t="str">
        <f>VLOOKUP(A399,[1]Sheet1!$A$2:$E$1141,5,0)</f>
        <v>Spv of Line 5 Coal Mill Field</v>
      </c>
      <c r="G399" s="17" t="str">
        <f>VLOOKUP(A399,[1]Sheet1!$A$2:$F$1141,6,0)</f>
        <v>Supervisor</v>
      </c>
      <c r="H399" s="1" t="s">
        <v>2098</v>
      </c>
      <c r="I399" s="1" t="s">
        <v>1117</v>
      </c>
      <c r="J399" s="1" t="str">
        <f>VLOOKUP(A399,[1]Sheet1!$A$2:$H$1141,8,0)</f>
        <v>Dept. of Clinker &amp; Cement Production</v>
      </c>
      <c r="K399" s="1" t="str">
        <f>VLOOKUP(A399,[1]Sheet1!$A$2:$I$1141,9,0)</f>
        <v>Unit of Clinker Production</v>
      </c>
      <c r="L399" s="1" t="str">
        <f>VLOOKUP(A399,[1]Sheet1!$A$2:$J$1141,10,0)</f>
        <v>Section of Line 5 RKC Operation</v>
      </c>
      <c r="M399" s="2">
        <v>33179</v>
      </c>
      <c r="N399" s="1" t="s">
        <v>29</v>
      </c>
      <c r="O399" s="1" t="s">
        <v>30</v>
      </c>
      <c r="P399" s="1" t="s">
        <v>2170</v>
      </c>
      <c r="Q399" s="1" t="s">
        <v>2171</v>
      </c>
      <c r="R399" s="1" t="s">
        <v>2172</v>
      </c>
      <c r="S399" s="1" t="s">
        <v>2102</v>
      </c>
      <c r="T399" s="14">
        <v>53662</v>
      </c>
      <c r="U399" s="1" t="s">
        <v>2173</v>
      </c>
      <c r="V399" s="1" t="s">
        <v>36</v>
      </c>
      <c r="W399" s="3" t="str">
        <f t="shared" si="6"/>
        <v>35 tahun</v>
      </c>
      <c r="X399" s="1" t="s">
        <v>204</v>
      </c>
      <c r="Y399" s="1" t="s">
        <v>56</v>
      </c>
      <c r="Z399" s="2">
        <v>41275</v>
      </c>
      <c r="AA399" s="2">
        <v>41426</v>
      </c>
      <c r="AB399" s="2" t="s">
        <v>199</v>
      </c>
    </row>
    <row r="400" spans="1:28" x14ac:dyDescent="0.35">
      <c r="A400" s="12">
        <v>6080</v>
      </c>
      <c r="B400" s="12">
        <v>9012248</v>
      </c>
      <c r="C400" s="12" t="s">
        <v>103</v>
      </c>
      <c r="D400" s="12">
        <v>50069404</v>
      </c>
      <c r="E400" s="1" t="s">
        <v>2174</v>
      </c>
      <c r="F400" s="1" t="str">
        <f>VLOOKUP(A400,[1]Sheet1!$A$2:$E$1141,5,0)</f>
        <v>Spv of Line 5 Coal Mill Field</v>
      </c>
      <c r="G400" s="17" t="str">
        <f>VLOOKUP(A400,[1]Sheet1!$A$2:$F$1141,6,0)</f>
        <v>Supervisor</v>
      </c>
      <c r="H400" s="1" t="s">
        <v>2098</v>
      </c>
      <c r="I400" s="1" t="s">
        <v>1117</v>
      </c>
      <c r="J400" s="1" t="str">
        <f>VLOOKUP(A400,[1]Sheet1!$A$2:$H$1141,8,0)</f>
        <v>Dept. of Clinker &amp; Cement Production</v>
      </c>
      <c r="K400" s="1" t="str">
        <f>VLOOKUP(A400,[1]Sheet1!$A$2:$I$1141,9,0)</f>
        <v>Unit of Clinker Production</v>
      </c>
      <c r="L400" s="1" t="str">
        <f>VLOOKUP(A400,[1]Sheet1!$A$2:$J$1141,10,0)</f>
        <v>Section of Line 5 RKC Operation</v>
      </c>
      <c r="M400" s="2">
        <v>32958</v>
      </c>
      <c r="N400" s="1" t="s">
        <v>29</v>
      </c>
      <c r="O400" s="1" t="s">
        <v>30</v>
      </c>
      <c r="P400" s="1" t="s">
        <v>2175</v>
      </c>
      <c r="Q400" s="1" t="s">
        <v>2171</v>
      </c>
      <c r="R400" s="1" t="s">
        <v>2172</v>
      </c>
      <c r="S400" s="1" t="s">
        <v>2102</v>
      </c>
      <c r="T400" s="14">
        <v>53418</v>
      </c>
      <c r="U400" s="1" t="s">
        <v>2176</v>
      </c>
      <c r="V400" s="1" t="s">
        <v>36</v>
      </c>
      <c r="W400" s="3" t="str">
        <f t="shared" si="6"/>
        <v>36 tahun</v>
      </c>
      <c r="X400" s="1" t="s">
        <v>112</v>
      </c>
      <c r="Y400" s="1" t="s">
        <v>56</v>
      </c>
      <c r="Z400" s="2">
        <v>41275</v>
      </c>
      <c r="AA400" s="2">
        <v>41426</v>
      </c>
      <c r="AB400" s="2" t="s">
        <v>2177</v>
      </c>
    </row>
    <row r="401" spans="1:28" x14ac:dyDescent="0.35">
      <c r="A401" s="12">
        <v>6189</v>
      </c>
      <c r="B401" s="12">
        <v>9112355</v>
      </c>
      <c r="C401" s="12" t="s">
        <v>103</v>
      </c>
      <c r="D401" s="12">
        <v>50069405</v>
      </c>
      <c r="E401" s="1" t="s">
        <v>2178</v>
      </c>
      <c r="F401" s="1" t="str">
        <f>VLOOKUP(A401,[1]Sheet1!$A$2:$E$1141,5,0)</f>
        <v>Spv of Line 5 Coal Mill Field</v>
      </c>
      <c r="G401" s="17" t="str">
        <f>VLOOKUP(A401,[1]Sheet1!$A$2:$F$1141,6,0)</f>
        <v>Supervisor</v>
      </c>
      <c r="H401" s="1" t="s">
        <v>2098</v>
      </c>
      <c r="I401" s="1" t="s">
        <v>1117</v>
      </c>
      <c r="J401" s="1" t="str">
        <f>VLOOKUP(A401,[1]Sheet1!$A$2:$H$1141,8,0)</f>
        <v>Dept. of Clinker &amp; Cement Production</v>
      </c>
      <c r="K401" s="1" t="str">
        <f>VLOOKUP(A401,[1]Sheet1!$A$2:$I$1141,9,0)</f>
        <v>Unit of Clinker Production</v>
      </c>
      <c r="L401" s="1" t="str">
        <f>VLOOKUP(A401,[1]Sheet1!$A$2:$J$1141,10,0)</f>
        <v>Section of Line 5 RKC Operation</v>
      </c>
      <c r="M401" s="2">
        <v>33422</v>
      </c>
      <c r="N401" s="1" t="s">
        <v>29</v>
      </c>
      <c r="O401" s="1" t="s">
        <v>30</v>
      </c>
      <c r="P401" s="1" t="s">
        <v>2179</v>
      </c>
      <c r="Q401" s="1" t="s">
        <v>2171</v>
      </c>
      <c r="R401" s="1" t="s">
        <v>2172</v>
      </c>
      <c r="S401" s="1" t="s">
        <v>2102</v>
      </c>
      <c r="T401" s="14">
        <v>53905</v>
      </c>
      <c r="U401" s="1" t="s">
        <v>2180</v>
      </c>
      <c r="V401" s="1" t="s">
        <v>36</v>
      </c>
      <c r="W401" s="3" t="str">
        <f t="shared" si="6"/>
        <v>35 tahun</v>
      </c>
      <c r="X401" s="1" t="s">
        <v>112</v>
      </c>
      <c r="Y401" s="1" t="s">
        <v>56</v>
      </c>
      <c r="Z401" s="2">
        <v>41275</v>
      </c>
      <c r="AA401" s="2">
        <v>41456</v>
      </c>
      <c r="AB401" s="2" t="s">
        <v>2181</v>
      </c>
    </row>
    <row r="402" spans="1:28" x14ac:dyDescent="0.35">
      <c r="A402" s="12">
        <v>6265</v>
      </c>
      <c r="B402" s="12">
        <v>9212434</v>
      </c>
      <c r="C402" s="12" t="s">
        <v>103</v>
      </c>
      <c r="D402" s="12">
        <v>50069406</v>
      </c>
      <c r="E402" s="1" t="s">
        <v>2182</v>
      </c>
      <c r="F402" s="1" t="str">
        <f>VLOOKUP(A402,[1]Sheet1!$A$2:$E$1141,5,0)</f>
        <v>Spv of Line 5 Coal Mill Field</v>
      </c>
      <c r="G402" s="17" t="str">
        <f>VLOOKUP(A402,[1]Sheet1!$A$2:$F$1141,6,0)</f>
        <v>Supervisor</v>
      </c>
      <c r="H402" s="1" t="s">
        <v>2098</v>
      </c>
      <c r="I402" s="1" t="s">
        <v>1117</v>
      </c>
      <c r="J402" s="1" t="str">
        <f>VLOOKUP(A402,[1]Sheet1!$A$2:$H$1141,8,0)</f>
        <v>Dept. of Clinker &amp; Cement Production</v>
      </c>
      <c r="K402" s="1" t="str">
        <f>VLOOKUP(A402,[1]Sheet1!$A$2:$I$1141,9,0)</f>
        <v>Unit of Clinker Production</v>
      </c>
      <c r="L402" s="1" t="str">
        <f>VLOOKUP(A402,[1]Sheet1!$A$2:$J$1141,10,0)</f>
        <v>Section of Line 5 RKC Operation</v>
      </c>
      <c r="M402" s="2">
        <v>33851</v>
      </c>
      <c r="N402" s="1" t="s">
        <v>29</v>
      </c>
      <c r="O402" s="1" t="s">
        <v>30</v>
      </c>
      <c r="P402" s="1" t="s">
        <v>2183</v>
      </c>
      <c r="Q402" s="1" t="s">
        <v>2171</v>
      </c>
      <c r="R402" s="1" t="s">
        <v>2172</v>
      </c>
      <c r="S402" s="1" t="s">
        <v>2102</v>
      </c>
      <c r="T402" s="14">
        <v>54332</v>
      </c>
      <c r="U402" s="1" t="s">
        <v>2184</v>
      </c>
      <c r="V402" s="1" t="s">
        <v>36</v>
      </c>
      <c r="W402" s="3" t="str">
        <f t="shared" si="6"/>
        <v>33 tahun</v>
      </c>
      <c r="X402" s="1" t="s">
        <v>121</v>
      </c>
      <c r="Y402" s="1" t="s">
        <v>56</v>
      </c>
      <c r="Z402" s="2">
        <v>41275</v>
      </c>
      <c r="AA402" s="2">
        <v>41395</v>
      </c>
      <c r="AB402" s="2" t="s">
        <v>2185</v>
      </c>
    </row>
    <row r="403" spans="1:28" x14ac:dyDescent="0.35">
      <c r="A403" s="12">
        <v>6049</v>
      </c>
      <c r="B403" s="12">
        <v>8912217</v>
      </c>
      <c r="C403" s="12" t="s">
        <v>103</v>
      </c>
      <c r="D403" s="12">
        <v>50069408</v>
      </c>
      <c r="E403" s="1" t="s">
        <v>2186</v>
      </c>
      <c r="F403" s="1" t="str">
        <f>VLOOKUP(A403,[1]Sheet1!$A$2:$E$1141,5,0)</f>
        <v>Spv of Line 5 RM Field Specialist</v>
      </c>
      <c r="G403" s="17" t="str">
        <f>VLOOKUP(A403,[1]Sheet1!$A$2:$F$1141,6,0)</f>
        <v>Supervisor</v>
      </c>
      <c r="H403" s="1" t="s">
        <v>2098</v>
      </c>
      <c r="I403" s="1" t="s">
        <v>1117</v>
      </c>
      <c r="J403" s="1" t="str">
        <f>VLOOKUP(A403,[1]Sheet1!$A$2:$H$1141,8,0)</f>
        <v>Dept. of Clinker &amp; Cement Production</v>
      </c>
      <c r="K403" s="1" t="str">
        <f>VLOOKUP(A403,[1]Sheet1!$A$2:$I$1141,9,0)</f>
        <v>Unit of Clinker Production</v>
      </c>
      <c r="L403" s="1" t="str">
        <f>VLOOKUP(A403,[1]Sheet1!$A$2:$J$1141,10,0)</f>
        <v>Section of Line 5 RKC Operation</v>
      </c>
      <c r="M403" s="2">
        <v>32772</v>
      </c>
      <c r="N403" s="1" t="s">
        <v>29</v>
      </c>
      <c r="O403" s="1" t="s">
        <v>30</v>
      </c>
      <c r="P403" s="1" t="s">
        <v>2187</v>
      </c>
      <c r="Q403" s="1" t="s">
        <v>2188</v>
      </c>
      <c r="R403" s="1" t="s">
        <v>2189</v>
      </c>
      <c r="S403" s="1" t="s">
        <v>2102</v>
      </c>
      <c r="T403" s="14">
        <v>53236</v>
      </c>
      <c r="U403" s="1" t="s">
        <v>2190</v>
      </c>
      <c r="V403" s="1" t="s">
        <v>36</v>
      </c>
      <c r="W403" s="3" t="str">
        <f t="shared" si="6"/>
        <v>36 tahun</v>
      </c>
      <c r="X403" s="1" t="s">
        <v>121</v>
      </c>
      <c r="Y403" s="1" t="s">
        <v>56</v>
      </c>
      <c r="Z403" s="2">
        <v>41275</v>
      </c>
      <c r="AA403" s="2">
        <v>41395</v>
      </c>
      <c r="AB403" s="2" t="e">
        <v>#N/A</v>
      </c>
    </row>
    <row r="404" spans="1:28" x14ac:dyDescent="0.35">
      <c r="A404" s="12">
        <v>5136</v>
      </c>
      <c r="B404" s="12">
        <v>7595237</v>
      </c>
      <c r="C404" s="12" t="s">
        <v>50</v>
      </c>
      <c r="D404" s="12">
        <v>50069409</v>
      </c>
      <c r="E404" s="1" t="s">
        <v>2191</v>
      </c>
      <c r="F404" s="1" t="str">
        <f>VLOOKUP(A404,[1]Sheet1!$A$2:$E$1141,5,0)</f>
        <v>Spv of Line 5 RM Field Specialist</v>
      </c>
      <c r="G404" s="17" t="str">
        <f>VLOOKUP(A404,[1]Sheet1!$A$2:$F$1141,6,0)</f>
        <v>Supervisor</v>
      </c>
      <c r="H404" s="1" t="s">
        <v>2098</v>
      </c>
      <c r="I404" s="1" t="s">
        <v>1117</v>
      </c>
      <c r="J404" s="1" t="str">
        <f>VLOOKUP(A404,[1]Sheet1!$A$2:$H$1141,8,0)</f>
        <v>Dept. of Clinker &amp; Cement Production</v>
      </c>
      <c r="K404" s="1" t="str">
        <f>VLOOKUP(A404,[1]Sheet1!$A$2:$I$1141,9,0)</f>
        <v>Unit of Clinker Production</v>
      </c>
      <c r="L404" s="1" t="str">
        <f>VLOOKUP(A404,[1]Sheet1!$A$2:$J$1141,10,0)</f>
        <v>Section of Line 5 RKC Operation</v>
      </c>
      <c r="M404" s="2">
        <v>27519</v>
      </c>
      <c r="N404" s="1" t="s">
        <v>29</v>
      </c>
      <c r="O404" s="1" t="s">
        <v>30</v>
      </c>
      <c r="P404" s="1" t="s">
        <v>2192</v>
      </c>
      <c r="Q404" s="1" t="s">
        <v>2188</v>
      </c>
      <c r="R404" s="1" t="s">
        <v>2189</v>
      </c>
      <c r="S404" s="1" t="s">
        <v>2102</v>
      </c>
      <c r="T404" s="14">
        <v>48000</v>
      </c>
      <c r="U404" s="1" t="s">
        <v>2193</v>
      </c>
      <c r="V404" s="1" t="s">
        <v>36</v>
      </c>
      <c r="W404" s="3" t="str">
        <f t="shared" si="6"/>
        <v>51 tahun</v>
      </c>
      <c r="X404" s="1" t="s">
        <v>37</v>
      </c>
      <c r="Y404" s="1" t="s">
        <v>48</v>
      </c>
      <c r="Z404" s="2">
        <v>35002</v>
      </c>
      <c r="AA404" s="2">
        <v>35370</v>
      </c>
      <c r="AB404" s="2" t="s">
        <v>2194</v>
      </c>
    </row>
    <row r="405" spans="1:28" x14ac:dyDescent="0.35">
      <c r="A405" s="12">
        <v>4996</v>
      </c>
      <c r="B405" s="12">
        <v>7402239</v>
      </c>
      <c r="C405" s="12" t="s">
        <v>164</v>
      </c>
      <c r="D405" s="12">
        <v>50069410</v>
      </c>
      <c r="E405" s="1" t="s">
        <v>662</v>
      </c>
      <c r="F405" s="1" t="str">
        <f>VLOOKUP(A405,[1]Sheet1!$A$2:$E$1141,5,0)</f>
        <v>Spv of Line 5 RM Field Specialist</v>
      </c>
      <c r="G405" s="17" t="str">
        <f>VLOOKUP(A405,[1]Sheet1!$A$2:$F$1141,6,0)</f>
        <v>Supervisor</v>
      </c>
      <c r="H405" s="1" t="s">
        <v>2098</v>
      </c>
      <c r="I405" s="1" t="s">
        <v>1117</v>
      </c>
      <c r="J405" s="1" t="str">
        <f>VLOOKUP(A405,[1]Sheet1!$A$2:$H$1141,8,0)</f>
        <v>Dept. of Clinker &amp; Cement Production</v>
      </c>
      <c r="K405" s="1" t="str">
        <f>VLOOKUP(A405,[1]Sheet1!$A$2:$I$1141,9,0)</f>
        <v>Unit of Clinker Production</v>
      </c>
      <c r="L405" s="1" t="str">
        <f>VLOOKUP(A405,[1]Sheet1!$A$2:$J$1141,10,0)</f>
        <v>Section of Line 5 RKC Operation</v>
      </c>
      <c r="M405" s="2">
        <v>27032</v>
      </c>
      <c r="N405" s="1" t="s">
        <v>29</v>
      </c>
      <c r="O405" s="1" t="s">
        <v>30</v>
      </c>
      <c r="P405" s="1" t="s">
        <v>2195</v>
      </c>
      <c r="Q405" s="1" t="s">
        <v>2188</v>
      </c>
      <c r="R405" s="1" t="s">
        <v>2189</v>
      </c>
      <c r="S405" s="1" t="s">
        <v>2102</v>
      </c>
      <c r="T405" s="14">
        <v>47515</v>
      </c>
      <c r="U405" s="1" t="s">
        <v>2196</v>
      </c>
      <c r="V405" s="1" t="s">
        <v>36</v>
      </c>
      <c r="W405" s="3" t="str">
        <f t="shared" si="6"/>
        <v>52 tahun</v>
      </c>
      <c r="X405" s="1" t="s">
        <v>37</v>
      </c>
      <c r="Y405" s="1" t="s">
        <v>56</v>
      </c>
      <c r="Z405" s="2">
        <v>37469</v>
      </c>
      <c r="AA405" s="2">
        <v>38718</v>
      </c>
      <c r="AB405" s="2" t="s">
        <v>2197</v>
      </c>
    </row>
    <row r="406" spans="1:28" x14ac:dyDescent="0.35">
      <c r="A406" s="12">
        <v>5214</v>
      </c>
      <c r="B406" s="12">
        <v>7695252</v>
      </c>
      <c r="C406" s="12" t="s">
        <v>50</v>
      </c>
      <c r="D406" s="12">
        <v>50069411</v>
      </c>
      <c r="E406" s="1" t="s">
        <v>2198</v>
      </c>
      <c r="F406" s="1" t="str">
        <f>VLOOKUP(A406,[1]Sheet1!$A$2:$E$1141,5,0)</f>
        <v>Spv of Line 5 RM Field Specialist</v>
      </c>
      <c r="G406" s="17" t="str">
        <f>VLOOKUP(A406,[1]Sheet1!$A$2:$F$1141,6,0)</f>
        <v>Supervisor</v>
      </c>
      <c r="H406" s="1" t="s">
        <v>2098</v>
      </c>
      <c r="I406" s="1" t="s">
        <v>1117</v>
      </c>
      <c r="J406" s="1" t="str">
        <f>VLOOKUP(A406,[1]Sheet1!$A$2:$H$1141,8,0)</f>
        <v>Dept. of Clinker &amp; Cement Production</v>
      </c>
      <c r="K406" s="1" t="str">
        <f>VLOOKUP(A406,[1]Sheet1!$A$2:$I$1141,9,0)</f>
        <v>Unit of Clinker Production</v>
      </c>
      <c r="L406" s="1" t="str">
        <f>VLOOKUP(A406,[1]Sheet1!$A$2:$J$1141,10,0)</f>
        <v>Section of Line 5 RKC Operation</v>
      </c>
      <c r="M406" s="2">
        <v>28018</v>
      </c>
      <c r="N406" s="1" t="s">
        <v>29</v>
      </c>
      <c r="O406" s="1" t="s">
        <v>30</v>
      </c>
      <c r="P406" s="1" t="s">
        <v>2199</v>
      </c>
      <c r="Q406" s="1" t="s">
        <v>2188</v>
      </c>
      <c r="R406" s="1" t="s">
        <v>2189</v>
      </c>
      <c r="S406" s="1" t="s">
        <v>2102</v>
      </c>
      <c r="T406" s="14">
        <v>48488</v>
      </c>
      <c r="U406" s="1" t="s">
        <v>2200</v>
      </c>
      <c r="V406" s="1" t="s">
        <v>36</v>
      </c>
      <c r="W406" s="3" t="str">
        <f t="shared" si="6"/>
        <v>49 tahun</v>
      </c>
      <c r="X406" s="1" t="s">
        <v>356</v>
      </c>
      <c r="Y406" s="1" t="s">
        <v>56</v>
      </c>
      <c r="Z406" s="2">
        <v>35002</v>
      </c>
      <c r="AA406" s="2">
        <v>35370</v>
      </c>
      <c r="AB406" s="2" t="s">
        <v>2201</v>
      </c>
    </row>
    <row r="407" spans="1:28" x14ac:dyDescent="0.35">
      <c r="A407" s="12">
        <v>5034</v>
      </c>
      <c r="B407" s="12">
        <v>7495110</v>
      </c>
      <c r="C407" s="12" t="s">
        <v>50</v>
      </c>
      <c r="D407" s="12">
        <v>50069414</v>
      </c>
      <c r="E407" s="1" t="s">
        <v>2202</v>
      </c>
      <c r="F407" s="1" t="str">
        <f>VLOOKUP(A407,[1]Sheet1!$A$2:$E$1141,5,0)</f>
        <v>Spv of Line 5 KCM Field Specialist</v>
      </c>
      <c r="G407" s="17" t="str">
        <f>VLOOKUP(A407,[1]Sheet1!$A$2:$F$1141,6,0)</f>
        <v>Supervisor</v>
      </c>
      <c r="H407" s="1" t="s">
        <v>2098</v>
      </c>
      <c r="I407" s="1" t="s">
        <v>1117</v>
      </c>
      <c r="J407" s="1" t="str">
        <f>VLOOKUP(A407,[1]Sheet1!$A$2:$H$1141,8,0)</f>
        <v>Dept. of Clinker &amp; Cement Production</v>
      </c>
      <c r="K407" s="1" t="str">
        <f>VLOOKUP(A407,[1]Sheet1!$A$2:$I$1141,9,0)</f>
        <v>Unit of Clinker Production</v>
      </c>
      <c r="L407" s="1" t="str">
        <f>VLOOKUP(A407,[1]Sheet1!$A$2:$J$1141,10,0)</f>
        <v>Section of Line 5 RKC Operation</v>
      </c>
      <c r="M407" s="2">
        <v>27166</v>
      </c>
      <c r="N407" s="1" t="s">
        <v>29</v>
      </c>
      <c r="O407" s="1" t="s">
        <v>30</v>
      </c>
      <c r="P407" s="1" t="s">
        <v>2203</v>
      </c>
      <c r="Q407" s="1" t="s">
        <v>2204</v>
      </c>
      <c r="R407" s="1" t="s">
        <v>2205</v>
      </c>
      <c r="S407" s="1" t="s">
        <v>2102</v>
      </c>
      <c r="T407" s="14">
        <v>47635</v>
      </c>
      <c r="U407" s="1" t="s">
        <v>2206</v>
      </c>
      <c r="V407" s="1" t="s">
        <v>36</v>
      </c>
      <c r="W407" s="3" t="str">
        <f t="shared" si="6"/>
        <v>52 tahun</v>
      </c>
      <c r="X407" s="1" t="s">
        <v>204</v>
      </c>
      <c r="Y407" s="1" t="s">
        <v>56</v>
      </c>
      <c r="Z407" s="2">
        <v>34932</v>
      </c>
      <c r="AA407" s="2">
        <v>35309</v>
      </c>
      <c r="AB407" s="2" t="s">
        <v>2207</v>
      </c>
    </row>
    <row r="408" spans="1:28" x14ac:dyDescent="0.35">
      <c r="A408" s="12">
        <v>4774</v>
      </c>
      <c r="B408" s="12">
        <v>7102170</v>
      </c>
      <c r="C408" s="12" t="s">
        <v>164</v>
      </c>
      <c r="D408" s="12">
        <v>50069415</v>
      </c>
      <c r="E408" s="1" t="s">
        <v>2208</v>
      </c>
      <c r="F408" s="1" t="str">
        <f>VLOOKUP(A408,[1]Sheet1!$A$2:$E$1141,5,0)</f>
        <v>Spv of Line 5 KCM Field Specialist</v>
      </c>
      <c r="G408" s="17" t="str">
        <f>VLOOKUP(A408,[1]Sheet1!$A$2:$F$1141,6,0)</f>
        <v>Supervisor</v>
      </c>
      <c r="H408" s="1" t="s">
        <v>2098</v>
      </c>
      <c r="I408" s="1" t="s">
        <v>1117</v>
      </c>
      <c r="J408" s="1" t="str">
        <f>VLOOKUP(A408,[1]Sheet1!$A$2:$H$1141,8,0)</f>
        <v>Dept. of Clinker &amp; Cement Production</v>
      </c>
      <c r="K408" s="1" t="str">
        <f>VLOOKUP(A408,[1]Sheet1!$A$2:$I$1141,9,0)</f>
        <v>Unit of Clinker Production</v>
      </c>
      <c r="L408" s="1" t="str">
        <f>VLOOKUP(A408,[1]Sheet1!$A$2:$J$1141,10,0)</f>
        <v>Section of Line 5 RKC Operation</v>
      </c>
      <c r="M408" s="2">
        <v>26154</v>
      </c>
      <c r="N408" s="1" t="s">
        <v>29</v>
      </c>
      <c r="O408" s="1" t="s">
        <v>30</v>
      </c>
      <c r="P408" s="1" t="s">
        <v>2209</v>
      </c>
      <c r="Q408" s="1" t="s">
        <v>2204</v>
      </c>
      <c r="R408" s="1" t="s">
        <v>2205</v>
      </c>
      <c r="S408" s="1" t="s">
        <v>2102</v>
      </c>
      <c r="T408" s="14">
        <v>46631</v>
      </c>
      <c r="U408" s="1" t="s">
        <v>2210</v>
      </c>
      <c r="V408" s="1" t="s">
        <v>36</v>
      </c>
      <c r="W408" s="3" t="str">
        <f t="shared" si="6"/>
        <v>55 tahun</v>
      </c>
      <c r="X408" s="1" t="s">
        <v>361</v>
      </c>
      <c r="Y408" s="1" t="s">
        <v>56</v>
      </c>
      <c r="Z408" s="2">
        <v>37469</v>
      </c>
      <c r="AA408" s="2">
        <v>38718</v>
      </c>
      <c r="AB408" s="2" t="s">
        <v>2211</v>
      </c>
    </row>
    <row r="409" spans="1:28" x14ac:dyDescent="0.35">
      <c r="A409" s="12">
        <v>5988</v>
      </c>
      <c r="B409" s="12">
        <v>8812155</v>
      </c>
      <c r="C409" s="12" t="s">
        <v>103</v>
      </c>
      <c r="D409" s="12">
        <v>50069415</v>
      </c>
      <c r="E409" s="1" t="s">
        <v>2212</v>
      </c>
      <c r="F409" s="1" t="str">
        <f>VLOOKUP(A409,[1]Sheet1!$A$2:$E$1141,5,0)</f>
        <v>Spv of Line 5 KCM Field Specialist</v>
      </c>
      <c r="G409" s="17" t="str">
        <f>VLOOKUP(A409,[1]Sheet1!$A$2:$F$1141,6,0)</f>
        <v>Supervisor</v>
      </c>
      <c r="H409" s="1" t="s">
        <v>2098</v>
      </c>
      <c r="I409" s="1" t="s">
        <v>1117</v>
      </c>
      <c r="J409" s="1" t="str">
        <f>VLOOKUP(A409,[1]Sheet1!$A$2:$H$1141,8,0)</f>
        <v>Dept. of Clinker &amp; Cement Production</v>
      </c>
      <c r="K409" s="1" t="str">
        <f>VLOOKUP(A409,[1]Sheet1!$A$2:$I$1141,9,0)</f>
        <v>Unit of Clinker Production</v>
      </c>
      <c r="L409" s="1" t="str">
        <f>VLOOKUP(A409,[1]Sheet1!$A$2:$J$1141,10,0)</f>
        <v>Section of Line 5 RKC Operation</v>
      </c>
      <c r="M409" s="2">
        <v>32461</v>
      </c>
      <c r="N409" s="1" t="s">
        <v>29</v>
      </c>
      <c r="O409" s="1" t="s">
        <v>30</v>
      </c>
      <c r="P409" s="1" t="s">
        <v>2209</v>
      </c>
      <c r="Q409" s="1" t="s">
        <v>2204</v>
      </c>
      <c r="R409" s="1" t="s">
        <v>2205</v>
      </c>
      <c r="S409" s="1" t="s">
        <v>2102</v>
      </c>
      <c r="T409" s="14">
        <v>52932</v>
      </c>
      <c r="U409" s="1" t="s">
        <v>2213</v>
      </c>
      <c r="V409" s="1" t="s">
        <v>36</v>
      </c>
      <c r="W409" s="3" t="str">
        <f t="shared" si="6"/>
        <v>37 tahun</v>
      </c>
      <c r="X409" s="1" t="s">
        <v>2214</v>
      </c>
      <c r="Y409" s="1" t="s">
        <v>48</v>
      </c>
      <c r="Z409" s="2">
        <v>41275</v>
      </c>
      <c r="AA409" s="2">
        <v>41395</v>
      </c>
      <c r="AB409" s="2" t="s">
        <v>2215</v>
      </c>
    </row>
    <row r="410" spans="1:28" x14ac:dyDescent="0.35">
      <c r="A410" s="12">
        <v>5226</v>
      </c>
      <c r="B410" s="12">
        <v>7702288</v>
      </c>
      <c r="C410" s="12" t="s">
        <v>164</v>
      </c>
      <c r="D410" s="12">
        <v>50069416</v>
      </c>
      <c r="E410" s="1" t="s">
        <v>2216</v>
      </c>
      <c r="F410" s="1" t="str">
        <f>VLOOKUP(A410,[1]Sheet1!$A$2:$E$1141,5,0)</f>
        <v>Spv of Line 5 KCM Field Specialist</v>
      </c>
      <c r="G410" s="17" t="str">
        <f>VLOOKUP(A410,[1]Sheet1!$A$2:$F$1141,6,0)</f>
        <v>Supervisor</v>
      </c>
      <c r="H410" s="1" t="s">
        <v>2098</v>
      </c>
      <c r="I410" s="1" t="s">
        <v>1117</v>
      </c>
      <c r="J410" s="1" t="str">
        <f>VLOOKUP(A410,[1]Sheet1!$A$2:$H$1141,8,0)</f>
        <v>Dept. of Clinker &amp; Cement Production</v>
      </c>
      <c r="K410" s="1" t="str">
        <f>VLOOKUP(A410,[1]Sheet1!$A$2:$I$1141,9,0)</f>
        <v>Unit of Clinker Production</v>
      </c>
      <c r="L410" s="1" t="str">
        <f>VLOOKUP(A410,[1]Sheet1!$A$2:$J$1141,10,0)</f>
        <v>Section of Line 5 RKC Operation</v>
      </c>
      <c r="M410" s="2">
        <v>28266</v>
      </c>
      <c r="N410" s="1" t="s">
        <v>29</v>
      </c>
      <c r="O410" s="1" t="s">
        <v>30</v>
      </c>
      <c r="P410" s="1" t="s">
        <v>2217</v>
      </c>
      <c r="Q410" s="1" t="s">
        <v>2204</v>
      </c>
      <c r="R410" s="1" t="s">
        <v>2205</v>
      </c>
      <c r="S410" s="1" t="s">
        <v>2102</v>
      </c>
      <c r="T410" s="14">
        <v>48731</v>
      </c>
      <c r="U410" s="1" t="s">
        <v>2218</v>
      </c>
      <c r="V410" s="1" t="s">
        <v>36</v>
      </c>
      <c r="W410" s="3" t="str">
        <f t="shared" si="6"/>
        <v>49 tahun</v>
      </c>
      <c r="X410" s="1" t="s">
        <v>2069</v>
      </c>
      <c r="Y410" s="1" t="s">
        <v>56</v>
      </c>
      <c r="Z410" s="2">
        <v>37469</v>
      </c>
      <c r="AA410" s="2">
        <v>38718</v>
      </c>
      <c r="AB410" s="2" t="s">
        <v>1993</v>
      </c>
    </row>
    <row r="411" spans="1:28" x14ac:dyDescent="0.35">
      <c r="A411" s="12">
        <v>5427</v>
      </c>
      <c r="B411" s="12">
        <v>8910097</v>
      </c>
      <c r="C411" s="12" t="s">
        <v>139</v>
      </c>
      <c r="D411" s="12">
        <v>50069352</v>
      </c>
      <c r="E411" s="16" t="s">
        <v>2219</v>
      </c>
      <c r="F411" s="1" t="str">
        <f>VLOOKUP(A411,[1]Sheet1!$A$2:$E$1141,5,0)</f>
        <v>Mgr of Kiln Production Coach</v>
      </c>
      <c r="G411" s="16" t="str">
        <f>VLOOKUP(A411,[1]Sheet1!$A$2:$F$1141,6,0)</f>
        <v>Manager</v>
      </c>
      <c r="H411" s="1" t="s">
        <v>2220</v>
      </c>
      <c r="I411" s="1" t="s">
        <v>1117</v>
      </c>
      <c r="J411" s="1" t="str">
        <f>VLOOKUP(A411,[1]Sheet1!$A$2:$H$1141,8,0)</f>
        <v>Dept. of Clinker &amp; Cement Production</v>
      </c>
      <c r="K411" s="1" t="str">
        <f>VLOOKUP(A411,[1]Sheet1!$A$2:$I$1141,9,0)</f>
        <v>Unit of Clinker Production</v>
      </c>
      <c r="L411" s="1" t="str">
        <f>VLOOKUP(A411,[1]Sheet1!$A$2:$J$1141,10,0)</f>
        <v>Section of Kiln Production Coach</v>
      </c>
      <c r="M411" s="2">
        <v>32756</v>
      </c>
      <c r="N411" s="1" t="s">
        <v>29</v>
      </c>
      <c r="O411" s="1" t="s">
        <v>30</v>
      </c>
      <c r="P411" s="1" t="s">
        <v>2221</v>
      </c>
      <c r="Q411" s="1" t="s">
        <v>2222</v>
      </c>
      <c r="R411" s="1" t="s">
        <v>2223</v>
      </c>
      <c r="S411" s="1" t="s">
        <v>2224</v>
      </c>
      <c r="T411" s="14">
        <v>53236</v>
      </c>
      <c r="U411" s="1" t="s">
        <v>2225</v>
      </c>
      <c r="V411" s="1" t="s">
        <v>186</v>
      </c>
      <c r="W411" s="3" t="str">
        <f t="shared" si="6"/>
        <v>36 tahun</v>
      </c>
      <c r="X411" s="1" t="s">
        <v>2226</v>
      </c>
      <c r="Y411" s="1" t="s">
        <v>68</v>
      </c>
      <c r="Z411" s="2">
        <v>40544</v>
      </c>
      <c r="AA411" s="2">
        <v>40664</v>
      </c>
      <c r="AB411" s="2" t="s">
        <v>2227</v>
      </c>
    </row>
    <row r="412" spans="1:28" x14ac:dyDescent="0.35">
      <c r="A412" s="12">
        <v>4729</v>
      </c>
      <c r="B412" s="12">
        <v>7002140</v>
      </c>
      <c r="C412" s="12" t="s">
        <v>164</v>
      </c>
      <c r="D412" s="12">
        <v>50069355</v>
      </c>
      <c r="E412" s="1" t="s">
        <v>2228</v>
      </c>
      <c r="F412" s="1" t="str">
        <f>VLOOKUP(A412,[1]Sheet1!$A$2:$E$1141,5,0)</f>
        <v>Autonomous Kiln &amp; CM 4/5</v>
      </c>
      <c r="G412" s="17" t="str">
        <f>VLOOKUP(A412,[1]Sheet1!$A$2:$F$1141,6,0)</f>
        <v>Supervisor</v>
      </c>
      <c r="H412" s="1" t="s">
        <v>2220</v>
      </c>
      <c r="I412" s="1" t="s">
        <v>1117</v>
      </c>
      <c r="J412" s="1" t="str">
        <f>VLOOKUP(A412,[1]Sheet1!$A$2:$H$1141,8,0)</f>
        <v>Dept. of Clinker &amp; Cement Production</v>
      </c>
      <c r="K412" s="1" t="str">
        <f>VLOOKUP(A412,[1]Sheet1!$A$2:$I$1141,9,0)</f>
        <v>Unit of Clinker Production</v>
      </c>
      <c r="L412" s="1" t="str">
        <f>VLOOKUP(A412,[1]Sheet1!$A$2:$J$1141,10,0)</f>
        <v>Section of Kiln Production Coach</v>
      </c>
      <c r="M412" s="2">
        <v>25816</v>
      </c>
      <c r="N412" s="1" t="s">
        <v>29</v>
      </c>
      <c r="O412" s="1" t="s">
        <v>30</v>
      </c>
      <c r="P412" s="1" t="s">
        <v>2229</v>
      </c>
      <c r="Q412" s="1" t="s">
        <v>2230</v>
      </c>
      <c r="R412" s="1" t="s">
        <v>2231</v>
      </c>
      <c r="S412" s="1" t="s">
        <v>2224</v>
      </c>
      <c r="T412" s="14">
        <v>46296</v>
      </c>
      <c r="U412" s="1" t="s">
        <v>2232</v>
      </c>
      <c r="V412" s="1" t="s">
        <v>36</v>
      </c>
      <c r="W412" s="3" t="str">
        <f t="shared" si="6"/>
        <v>55 tahun</v>
      </c>
      <c r="X412" s="1" t="s">
        <v>2233</v>
      </c>
      <c r="Y412" s="1" t="s">
        <v>56</v>
      </c>
      <c r="Z412" s="2">
        <v>37469</v>
      </c>
      <c r="AA412" s="2">
        <v>38718</v>
      </c>
      <c r="AB412" s="2" t="s">
        <v>2234</v>
      </c>
    </row>
    <row r="413" spans="1:28" x14ac:dyDescent="0.35">
      <c r="A413" s="12">
        <v>4840</v>
      </c>
      <c r="B413" s="12">
        <v>7806557</v>
      </c>
      <c r="C413" s="12" t="s">
        <v>219</v>
      </c>
      <c r="D413" s="12">
        <v>50069356</v>
      </c>
      <c r="E413" s="1" t="s">
        <v>1534</v>
      </c>
      <c r="F413" s="1" t="str">
        <f>VLOOKUP(A413,[1]Sheet1!$A$2:$E$1141,5,0)</f>
        <v>Autonomous Kiln &amp; CM 4/5</v>
      </c>
      <c r="G413" s="17" t="str">
        <f>VLOOKUP(A413,[1]Sheet1!$A$2:$F$1141,6,0)</f>
        <v>Supervisor</v>
      </c>
      <c r="H413" s="1" t="s">
        <v>2220</v>
      </c>
      <c r="I413" s="1" t="s">
        <v>1117</v>
      </c>
      <c r="J413" s="1" t="str">
        <f>VLOOKUP(A413,[1]Sheet1!$A$2:$H$1141,8,0)</f>
        <v>Dept. of Clinker &amp; Cement Production</v>
      </c>
      <c r="K413" s="1" t="str">
        <f>VLOOKUP(A413,[1]Sheet1!$A$2:$I$1141,9,0)</f>
        <v>Unit of Clinker Production</v>
      </c>
      <c r="L413" s="1" t="str">
        <f>VLOOKUP(A413,[1]Sheet1!$A$2:$J$1141,10,0)</f>
        <v>Section of Kiln Production Coach</v>
      </c>
      <c r="M413" s="2">
        <v>28651</v>
      </c>
      <c r="N413" s="1" t="s">
        <v>29</v>
      </c>
      <c r="O413" s="1" t="s">
        <v>30</v>
      </c>
      <c r="P413" s="1" t="s">
        <v>2235</v>
      </c>
      <c r="Q413" s="1" t="s">
        <v>2230</v>
      </c>
      <c r="R413" s="1" t="s">
        <v>2231</v>
      </c>
      <c r="S413" s="1" t="s">
        <v>2224</v>
      </c>
      <c r="T413" s="14">
        <v>49126</v>
      </c>
      <c r="U413" s="1" t="s">
        <v>2236</v>
      </c>
      <c r="V413" s="1" t="s">
        <v>36</v>
      </c>
      <c r="W413" s="3" t="str">
        <f t="shared" si="6"/>
        <v>48 tahun</v>
      </c>
      <c r="X413" s="1" t="s">
        <v>2237</v>
      </c>
      <c r="Y413" s="1" t="s">
        <v>56</v>
      </c>
      <c r="Z413" s="2">
        <v>38718</v>
      </c>
      <c r="AA413" s="2">
        <v>41030</v>
      </c>
      <c r="AB413" s="2" t="s">
        <v>2238</v>
      </c>
    </row>
    <row r="414" spans="1:28" x14ac:dyDescent="0.35">
      <c r="A414" s="12">
        <v>8280</v>
      </c>
      <c r="B414" s="12">
        <v>9923006</v>
      </c>
      <c r="C414" s="12" t="s">
        <v>158</v>
      </c>
      <c r="D414" s="12">
        <v>50069357</v>
      </c>
      <c r="E414" s="1" t="s">
        <v>2239</v>
      </c>
      <c r="F414" s="1" t="str">
        <f>VLOOKUP(A414,[1]Sheet1!$A$2:$E$1141,5,0)</f>
        <v>Autonomous Kiln &amp; CM 4/5</v>
      </c>
      <c r="G414" s="17" t="str">
        <f>VLOOKUP(A414,[1]Sheet1!$A$2:$F$1141,6,0)</f>
        <v>Supervisor</v>
      </c>
      <c r="H414" s="1" t="s">
        <v>2220</v>
      </c>
      <c r="I414" s="1" t="s">
        <v>1117</v>
      </c>
      <c r="J414" s="1" t="str">
        <f>VLOOKUP(A414,[1]Sheet1!$A$2:$H$1141,8,0)</f>
        <v>Dept. of Clinker &amp; Cement Production</v>
      </c>
      <c r="K414" s="1" t="str">
        <f>VLOOKUP(A414,[1]Sheet1!$A$2:$I$1141,9,0)</f>
        <v>Unit of Clinker Production</v>
      </c>
      <c r="L414" s="1" t="str">
        <f>VLOOKUP(A414,[1]Sheet1!$A$2:$J$1141,10,0)</f>
        <v>Section of Kiln Production Coach</v>
      </c>
      <c r="M414" s="2">
        <v>34959</v>
      </c>
      <c r="N414" s="1" t="s">
        <v>29</v>
      </c>
      <c r="O414" s="1" t="s">
        <v>30</v>
      </c>
      <c r="P414" s="1" t="s">
        <v>2240</v>
      </c>
      <c r="Q414" s="1" t="s">
        <v>2230</v>
      </c>
      <c r="R414" s="1" t="s">
        <v>2231</v>
      </c>
      <c r="S414" s="1" t="s">
        <v>2224</v>
      </c>
      <c r="T414" s="14">
        <v>55427</v>
      </c>
      <c r="U414" s="1" t="s">
        <v>2241</v>
      </c>
      <c r="V414" s="1" t="s">
        <v>36</v>
      </c>
      <c r="W414" s="3" t="str">
        <f t="shared" si="6"/>
        <v>30 tahun</v>
      </c>
      <c r="X414" s="1" t="s">
        <v>112</v>
      </c>
      <c r="Y414" s="1" t="s">
        <v>48</v>
      </c>
      <c r="Z414" s="2">
        <v>45200</v>
      </c>
      <c r="AA414" s="2">
        <v>45566</v>
      </c>
      <c r="AB414" s="2" t="s">
        <v>2242</v>
      </c>
    </row>
    <row r="415" spans="1:28" x14ac:dyDescent="0.35">
      <c r="A415" s="12">
        <v>6246</v>
      </c>
      <c r="B415" s="12">
        <v>9212414</v>
      </c>
      <c r="C415" s="12" t="s">
        <v>103</v>
      </c>
      <c r="D415" s="12">
        <v>50069358</v>
      </c>
      <c r="E415" s="1" t="s">
        <v>2243</v>
      </c>
      <c r="F415" s="1" t="str">
        <f>VLOOKUP(A415,[1]Sheet1!$A$2:$E$1141,5,0)</f>
        <v>Autonomous Kiln &amp; CM 4/5</v>
      </c>
      <c r="G415" s="17" t="str">
        <f>VLOOKUP(A415,[1]Sheet1!$A$2:$F$1141,6,0)</f>
        <v>Supervisor</v>
      </c>
      <c r="H415" s="1" t="s">
        <v>2220</v>
      </c>
      <c r="I415" s="1" t="s">
        <v>1117</v>
      </c>
      <c r="J415" s="1" t="str">
        <f>VLOOKUP(A415,[1]Sheet1!$A$2:$H$1141,8,0)</f>
        <v>Dept. of Clinker &amp; Cement Production</v>
      </c>
      <c r="K415" s="1" t="str">
        <f>VLOOKUP(A415,[1]Sheet1!$A$2:$I$1141,9,0)</f>
        <v>Unit of Clinker Production</v>
      </c>
      <c r="L415" s="1" t="str">
        <f>VLOOKUP(A415,[1]Sheet1!$A$2:$J$1141,10,0)</f>
        <v>Section of Kiln Production Coach</v>
      </c>
      <c r="M415" s="2">
        <v>33716</v>
      </c>
      <c r="N415" s="1" t="s">
        <v>29</v>
      </c>
      <c r="O415" s="1" t="s">
        <v>30</v>
      </c>
      <c r="P415" s="1" t="s">
        <v>2244</v>
      </c>
      <c r="Q415" s="1" t="s">
        <v>2230</v>
      </c>
      <c r="R415" s="1" t="s">
        <v>2231</v>
      </c>
      <c r="S415" s="1" t="s">
        <v>2224</v>
      </c>
      <c r="T415" s="14">
        <v>54179</v>
      </c>
      <c r="U415" s="1" t="s">
        <v>2245</v>
      </c>
      <c r="V415" s="1" t="s">
        <v>36</v>
      </c>
      <c r="W415" s="3" t="str">
        <f t="shared" si="6"/>
        <v>34 tahun</v>
      </c>
      <c r="X415" s="1" t="s">
        <v>121</v>
      </c>
      <c r="Y415" s="1" t="s">
        <v>48</v>
      </c>
      <c r="Z415" s="2">
        <v>41275</v>
      </c>
      <c r="AA415" s="2">
        <v>41395</v>
      </c>
      <c r="AB415" s="2" t="s">
        <v>2246</v>
      </c>
    </row>
    <row r="416" spans="1:28" x14ac:dyDescent="0.35">
      <c r="A416" s="12">
        <v>5882</v>
      </c>
      <c r="B416" s="12">
        <v>8612049</v>
      </c>
      <c r="C416" s="12" t="s">
        <v>103</v>
      </c>
      <c r="D416" s="12">
        <v>50069359</v>
      </c>
      <c r="E416" s="1" t="s">
        <v>2247</v>
      </c>
      <c r="F416" s="1" t="str">
        <f>VLOOKUP(A416,[1]Sheet1!$A$2:$E$1141,5,0)</f>
        <v>Autonomous Kiln &amp; CM 4/5</v>
      </c>
      <c r="G416" s="17" t="str">
        <f>VLOOKUP(A416,[1]Sheet1!$A$2:$F$1141,6,0)</f>
        <v>Supervisor</v>
      </c>
      <c r="H416" s="1" t="s">
        <v>2220</v>
      </c>
      <c r="I416" s="1" t="s">
        <v>1117</v>
      </c>
      <c r="J416" s="1" t="str">
        <f>VLOOKUP(A416,[1]Sheet1!$A$2:$H$1141,8,0)</f>
        <v>Dept. of Clinker &amp; Cement Production</v>
      </c>
      <c r="K416" s="1" t="str">
        <f>VLOOKUP(A416,[1]Sheet1!$A$2:$I$1141,9,0)</f>
        <v>Unit of Clinker Production</v>
      </c>
      <c r="L416" s="1" t="str">
        <f>VLOOKUP(A416,[1]Sheet1!$A$2:$J$1141,10,0)</f>
        <v>Section of Kiln Production Coach</v>
      </c>
      <c r="M416" s="2">
        <v>31612</v>
      </c>
      <c r="N416" s="1" t="s">
        <v>29</v>
      </c>
      <c r="O416" s="1" t="s">
        <v>30</v>
      </c>
      <c r="P416" s="1" t="s">
        <v>2248</v>
      </c>
      <c r="Q416" s="1" t="s">
        <v>2230</v>
      </c>
      <c r="R416" s="1" t="s">
        <v>2231</v>
      </c>
      <c r="S416" s="1" t="s">
        <v>2224</v>
      </c>
      <c r="T416" s="14">
        <v>52079</v>
      </c>
      <c r="U416" s="1" t="s">
        <v>2249</v>
      </c>
      <c r="V416" s="1" t="s">
        <v>36</v>
      </c>
      <c r="W416" s="3" t="str">
        <f t="shared" si="6"/>
        <v>40 tahun</v>
      </c>
      <c r="X416" s="1" t="s">
        <v>121</v>
      </c>
      <c r="Y416" s="1" t="s">
        <v>56</v>
      </c>
      <c r="Z416" s="2">
        <v>41275</v>
      </c>
      <c r="AA416" s="2">
        <v>41426</v>
      </c>
      <c r="AB416" s="2" t="s">
        <v>2250</v>
      </c>
    </row>
    <row r="417" spans="1:28" x14ac:dyDescent="0.35">
      <c r="A417" s="12">
        <v>6252</v>
      </c>
      <c r="B417" s="12">
        <v>9212420</v>
      </c>
      <c r="C417" s="12" t="s">
        <v>103</v>
      </c>
      <c r="D417" s="12">
        <v>50069360</v>
      </c>
      <c r="E417" s="1" t="s">
        <v>2251</v>
      </c>
      <c r="F417" s="1" t="str">
        <f>VLOOKUP(A417,[1]Sheet1!$A$2:$E$1141,5,0)</f>
        <v>Autonomous Kiln &amp; CM 4/5</v>
      </c>
      <c r="G417" s="17" t="str">
        <f>VLOOKUP(A417,[1]Sheet1!$A$2:$F$1141,6,0)</f>
        <v>Supervisor</v>
      </c>
      <c r="H417" s="1" t="s">
        <v>2220</v>
      </c>
      <c r="I417" s="1" t="s">
        <v>1117</v>
      </c>
      <c r="J417" s="1" t="str">
        <f>VLOOKUP(A417,[1]Sheet1!$A$2:$H$1141,8,0)</f>
        <v>Dept. of Clinker &amp; Cement Production</v>
      </c>
      <c r="K417" s="1" t="str">
        <f>VLOOKUP(A417,[1]Sheet1!$A$2:$I$1141,9,0)</f>
        <v>Unit of Clinker Production</v>
      </c>
      <c r="L417" s="1" t="str">
        <f>VLOOKUP(A417,[1]Sheet1!$A$2:$J$1141,10,0)</f>
        <v>Section of Kiln Production Coach</v>
      </c>
      <c r="M417" s="2">
        <v>33729</v>
      </c>
      <c r="N417" s="1" t="s">
        <v>29</v>
      </c>
      <c r="O417" s="1" t="s">
        <v>30</v>
      </c>
      <c r="P417" s="1" t="s">
        <v>2252</v>
      </c>
      <c r="Q417" s="1" t="s">
        <v>2230</v>
      </c>
      <c r="R417" s="1" t="s">
        <v>2231</v>
      </c>
      <c r="S417" s="1" t="s">
        <v>2224</v>
      </c>
      <c r="T417" s="14">
        <v>54210</v>
      </c>
      <c r="U417" s="1" t="s">
        <v>2253</v>
      </c>
      <c r="V417" s="1" t="s">
        <v>36</v>
      </c>
      <c r="W417" s="3" t="str">
        <f t="shared" si="6"/>
        <v>34 tahun</v>
      </c>
      <c r="X417" s="1" t="s">
        <v>112</v>
      </c>
      <c r="Y417" s="1" t="s">
        <v>56</v>
      </c>
      <c r="Z417" s="2">
        <v>41275</v>
      </c>
      <c r="AA417" s="2">
        <v>41395</v>
      </c>
      <c r="AB417" s="2" t="s">
        <v>2254</v>
      </c>
    </row>
    <row r="418" spans="1:28" x14ac:dyDescent="0.35">
      <c r="A418" s="12">
        <v>4725</v>
      </c>
      <c r="B418" s="12">
        <v>7090044</v>
      </c>
      <c r="C418" s="12" t="s">
        <v>2255</v>
      </c>
      <c r="D418" s="12">
        <v>50070996</v>
      </c>
      <c r="E418" s="1" t="s">
        <v>2256</v>
      </c>
      <c r="F418" s="1" t="str">
        <f>VLOOKUP(A418,[1]Sheet1!$A$2:$E$1141,5,0)</f>
        <v>D Autonomous Kiln &amp; CM 4/5 Jr Officer</v>
      </c>
      <c r="G418" s="17" t="str">
        <f>VLOOKUP(A418,[1]Sheet1!$A$2:$F$1141,6,0)</f>
        <v>Supervisor</v>
      </c>
      <c r="H418" s="1" t="s">
        <v>2220</v>
      </c>
      <c r="I418" s="1" t="s">
        <v>1117</v>
      </c>
      <c r="J418" s="1" t="str">
        <f>VLOOKUP(A418,[1]Sheet1!$A$2:$H$1141,8,0)</f>
        <v>Dept. of Clinker &amp; Cement Production</v>
      </c>
      <c r="K418" s="1" t="str">
        <f>VLOOKUP(A418,[1]Sheet1!$A$2:$I$1141,9,0)</f>
        <v>Unit of Clinker Production</v>
      </c>
      <c r="L418" s="1" t="str">
        <f>VLOOKUP(A418,[1]Sheet1!$A$2:$J$1141,10,0)</f>
        <v>Section of Kiln Production Coach</v>
      </c>
      <c r="M418" s="2">
        <v>25797</v>
      </c>
      <c r="N418" s="1" t="s">
        <v>29</v>
      </c>
      <c r="O418" s="1" t="s">
        <v>30</v>
      </c>
      <c r="P418" s="1" t="s">
        <v>2257</v>
      </c>
      <c r="Q418" s="1" t="s">
        <v>2230</v>
      </c>
      <c r="R418" s="1" t="s">
        <v>2231</v>
      </c>
      <c r="S418" s="1" t="s">
        <v>2224</v>
      </c>
      <c r="T418" s="14">
        <v>46266</v>
      </c>
      <c r="U418" s="1" t="s">
        <v>2258</v>
      </c>
      <c r="V418" s="1" t="s">
        <v>36</v>
      </c>
      <c r="W418" s="3" t="str">
        <f t="shared" si="6"/>
        <v>56 tahun</v>
      </c>
      <c r="X418" s="1" t="s">
        <v>595</v>
      </c>
      <c r="Y418" s="1" t="s">
        <v>56</v>
      </c>
      <c r="Z418" s="2">
        <v>33178</v>
      </c>
      <c r="AA418" s="2">
        <v>33178</v>
      </c>
      <c r="AB418" s="2" t="s">
        <v>2259</v>
      </c>
    </row>
    <row r="419" spans="1:28" x14ac:dyDescent="0.35">
      <c r="A419" s="12">
        <v>4935</v>
      </c>
      <c r="B419" s="12">
        <v>7395155</v>
      </c>
      <c r="C419" s="12" t="s">
        <v>50</v>
      </c>
      <c r="D419" s="12">
        <v>50070997</v>
      </c>
      <c r="E419" s="1" t="s">
        <v>2260</v>
      </c>
      <c r="F419" s="1" t="str">
        <f>VLOOKUP(A419,[1]Sheet1!$A$2:$E$1141,5,0)</f>
        <v>D Autonomous Kiln &amp; CM 4/5 Jr Officer</v>
      </c>
      <c r="G419" s="17" t="str">
        <f>VLOOKUP(A419,[1]Sheet1!$A$2:$F$1141,6,0)</f>
        <v>Supervisor</v>
      </c>
      <c r="H419" s="1" t="s">
        <v>2220</v>
      </c>
      <c r="I419" s="1" t="s">
        <v>1117</v>
      </c>
      <c r="J419" s="1" t="str">
        <f>VLOOKUP(A419,[1]Sheet1!$A$2:$H$1141,8,0)</f>
        <v>Dept. of Clinker &amp; Cement Production</v>
      </c>
      <c r="K419" s="1" t="str">
        <f>VLOOKUP(A419,[1]Sheet1!$A$2:$I$1141,9,0)</f>
        <v>Unit of Clinker Production</v>
      </c>
      <c r="L419" s="1" t="str">
        <f>VLOOKUP(A419,[1]Sheet1!$A$2:$J$1141,10,0)</f>
        <v>Section of Kiln Production Coach</v>
      </c>
      <c r="M419" s="2">
        <v>26821</v>
      </c>
      <c r="N419" s="1" t="s">
        <v>29</v>
      </c>
      <c r="O419" s="1" t="s">
        <v>30</v>
      </c>
      <c r="P419" s="1" t="s">
        <v>2261</v>
      </c>
      <c r="Q419" s="1" t="s">
        <v>2230</v>
      </c>
      <c r="R419" s="1" t="s">
        <v>2231</v>
      </c>
      <c r="S419" s="1" t="s">
        <v>2224</v>
      </c>
      <c r="T419" s="14">
        <v>47300</v>
      </c>
      <c r="U419" s="1" t="s">
        <v>2262</v>
      </c>
      <c r="V419" s="1" t="s">
        <v>36</v>
      </c>
      <c r="W419" s="3" t="str">
        <f t="shared" si="6"/>
        <v>53 tahun</v>
      </c>
      <c r="X419" s="1" t="s">
        <v>1246</v>
      </c>
      <c r="Y419" s="1" t="s">
        <v>56</v>
      </c>
      <c r="Z419" s="2">
        <v>34943</v>
      </c>
      <c r="AA419" s="2">
        <v>35309</v>
      </c>
      <c r="AB419" s="2" t="s">
        <v>84</v>
      </c>
    </row>
    <row r="420" spans="1:28" x14ac:dyDescent="0.35">
      <c r="A420" s="12">
        <v>4765</v>
      </c>
      <c r="B420" s="12">
        <v>7206351</v>
      </c>
      <c r="C420" s="12" t="s">
        <v>219</v>
      </c>
      <c r="D420" s="12">
        <v>50070998</v>
      </c>
      <c r="E420" s="1" t="s">
        <v>2263</v>
      </c>
      <c r="F420" s="1" t="str">
        <f>VLOOKUP(A420,[1]Sheet1!$A$2:$E$1141,5,0)</f>
        <v>E Staff of Autonomous Kiln &amp; CM 4/5</v>
      </c>
      <c r="G420" s="17" t="str">
        <f>VLOOKUP(A420,[1]Sheet1!$A$2:$F$1141,6,0)</f>
        <v>Associate</v>
      </c>
      <c r="H420" s="1" t="s">
        <v>2220</v>
      </c>
      <c r="I420" s="1" t="s">
        <v>1117</v>
      </c>
      <c r="J420" s="1" t="str">
        <f>VLOOKUP(A420,[1]Sheet1!$A$2:$H$1141,8,0)</f>
        <v>Dept. of Clinker &amp; Cement Production</v>
      </c>
      <c r="K420" s="1" t="str">
        <f>VLOOKUP(A420,[1]Sheet1!$A$2:$I$1141,9,0)</f>
        <v>Unit of Clinker Production</v>
      </c>
      <c r="L420" s="1" t="str">
        <f>VLOOKUP(A420,[1]Sheet1!$A$2:$J$1141,10,0)</f>
        <v>Section of Kiln Production Coach</v>
      </c>
      <c r="M420" s="2">
        <v>26435</v>
      </c>
      <c r="N420" s="1" t="s">
        <v>29</v>
      </c>
      <c r="O420" s="1" t="s">
        <v>30</v>
      </c>
      <c r="P420" s="1" t="s">
        <v>2264</v>
      </c>
      <c r="Q420" s="1" t="s">
        <v>2230</v>
      </c>
      <c r="R420" s="1" t="s">
        <v>2231</v>
      </c>
      <c r="S420" s="1" t="s">
        <v>2224</v>
      </c>
      <c r="T420" s="14">
        <v>46905</v>
      </c>
      <c r="U420" s="1" t="s">
        <v>2265</v>
      </c>
      <c r="V420" s="1" t="s">
        <v>36</v>
      </c>
      <c r="W420" s="3" t="str">
        <f t="shared" si="6"/>
        <v>54 tahun</v>
      </c>
      <c r="X420" s="1" t="s">
        <v>204</v>
      </c>
      <c r="Y420" s="1" t="s">
        <v>56</v>
      </c>
      <c r="Z420" s="2">
        <v>38718</v>
      </c>
      <c r="AA420" s="2">
        <v>41030</v>
      </c>
      <c r="AB420" s="2" t="s">
        <v>84</v>
      </c>
    </row>
    <row r="421" spans="1:28" x14ac:dyDescent="0.35">
      <c r="A421" s="12">
        <v>6236</v>
      </c>
      <c r="B421" s="12">
        <v>9212404</v>
      </c>
      <c r="C421" s="12" t="s">
        <v>103</v>
      </c>
      <c r="D421" s="12">
        <v>50070999</v>
      </c>
      <c r="E421" s="1" t="s">
        <v>2266</v>
      </c>
      <c r="F421" s="1" t="str">
        <f>VLOOKUP(A421,[1]Sheet1!$A$2:$E$1141,5,0)</f>
        <v>E Staff of Autonomous Kiln &amp; CM 4/5</v>
      </c>
      <c r="G421" s="17" t="str">
        <f>VLOOKUP(A421,[1]Sheet1!$A$2:$F$1141,6,0)</f>
        <v>Associate</v>
      </c>
      <c r="H421" s="1" t="s">
        <v>2220</v>
      </c>
      <c r="I421" s="1" t="s">
        <v>1117</v>
      </c>
      <c r="J421" s="1" t="str">
        <f>VLOOKUP(A421,[1]Sheet1!$A$2:$H$1141,8,0)</f>
        <v>Dept. of Clinker &amp; Cement Production</v>
      </c>
      <c r="K421" s="1" t="str">
        <f>VLOOKUP(A421,[1]Sheet1!$A$2:$I$1141,9,0)</f>
        <v>Unit of Clinker Production</v>
      </c>
      <c r="L421" s="1" t="str">
        <f>VLOOKUP(A421,[1]Sheet1!$A$2:$J$1141,10,0)</f>
        <v>Section of Kiln Production Coach</v>
      </c>
      <c r="M421" s="2">
        <v>33647</v>
      </c>
      <c r="N421" s="1" t="s">
        <v>29</v>
      </c>
      <c r="O421" s="1" t="s">
        <v>30</v>
      </c>
      <c r="P421" s="1" t="s">
        <v>2267</v>
      </c>
      <c r="Q421" s="1" t="s">
        <v>2230</v>
      </c>
      <c r="R421" s="1" t="s">
        <v>2231</v>
      </c>
      <c r="S421" s="1" t="s">
        <v>2224</v>
      </c>
      <c r="T421" s="14">
        <v>54118</v>
      </c>
      <c r="U421" s="1" t="s">
        <v>2268</v>
      </c>
      <c r="V421" s="1" t="s">
        <v>36</v>
      </c>
      <c r="W421" s="3" t="str">
        <f t="shared" si="6"/>
        <v>34 tahun</v>
      </c>
      <c r="X421" s="1" t="s">
        <v>121</v>
      </c>
      <c r="Y421" s="1" t="s">
        <v>56</v>
      </c>
      <c r="Z421" s="2">
        <v>41275</v>
      </c>
      <c r="AA421" s="2">
        <v>41395</v>
      </c>
      <c r="AB421" s="2" t="s">
        <v>2269</v>
      </c>
    </row>
    <row r="422" spans="1:28" x14ac:dyDescent="0.35">
      <c r="A422" s="12">
        <v>5303</v>
      </c>
      <c r="B422" s="12">
        <v>8410021</v>
      </c>
      <c r="C422" s="12" t="s">
        <v>139</v>
      </c>
      <c r="D422" s="12">
        <v>50054049</v>
      </c>
      <c r="E422" s="15" t="s">
        <v>2270</v>
      </c>
      <c r="F422" s="1" t="str">
        <f>VLOOKUP(A422,[1]Sheet1!$A$2:$E$1141,5,0)</f>
        <v>SM of Cement Production</v>
      </c>
      <c r="G422" s="15" t="str">
        <f>VLOOKUP(A422,[1]Sheet1!$A$2:$F$1141,6,0)</f>
        <v>Senior Manager</v>
      </c>
      <c r="H422" s="1" t="s">
        <v>2089</v>
      </c>
      <c r="I422" s="1" t="s">
        <v>1117</v>
      </c>
      <c r="J422" s="1" t="str">
        <f>VLOOKUP(A422,[1]Sheet1!$A$2:$H$1141,8,0)</f>
        <v>Dept. of Clinker &amp; Cement Production</v>
      </c>
      <c r="K422" s="1" t="str">
        <f>VLOOKUP(A422,[1]Sheet1!$A$2:$I$1141,9,0)</f>
        <v>Unit of Cement Production</v>
      </c>
      <c r="L422" s="1" t="e">
        <f>VLOOKUP(A422,[1]Sheet1!$A$2:$J$1141,10,0)</f>
        <v>#REF!</v>
      </c>
      <c r="M422" s="2">
        <v>30732</v>
      </c>
      <c r="N422" s="1" t="s">
        <v>29</v>
      </c>
      <c r="O422" s="1" t="s">
        <v>30</v>
      </c>
      <c r="P422" s="1" t="s">
        <v>2271</v>
      </c>
      <c r="Q422" s="1" t="s">
        <v>2272</v>
      </c>
      <c r="R422" s="1" t="s">
        <v>2273</v>
      </c>
      <c r="S422" s="1" t="s">
        <v>2093</v>
      </c>
      <c r="T422" s="14">
        <v>51196</v>
      </c>
      <c r="U422" s="1" t="s">
        <v>2274</v>
      </c>
      <c r="V422" s="1" t="s">
        <v>36</v>
      </c>
      <c r="W422" s="3" t="str">
        <f t="shared" si="6"/>
        <v>42 tahun</v>
      </c>
      <c r="X422" s="1" t="s">
        <v>994</v>
      </c>
      <c r="Y422" s="1" t="s">
        <v>48</v>
      </c>
      <c r="Z422" s="2">
        <v>40544</v>
      </c>
      <c r="AA422" s="2">
        <v>40664</v>
      </c>
      <c r="AB422" s="2" t="s">
        <v>2275</v>
      </c>
    </row>
    <row r="423" spans="1:28" x14ac:dyDescent="0.35">
      <c r="A423" s="12">
        <v>5328</v>
      </c>
      <c r="B423" s="12">
        <v>8508073</v>
      </c>
      <c r="C423" s="12" t="s">
        <v>25</v>
      </c>
      <c r="D423" s="12">
        <v>50053927</v>
      </c>
      <c r="E423" s="16" t="s">
        <v>2276</v>
      </c>
      <c r="F423" s="1" t="str">
        <f>VLOOKUP(A423,[1]Sheet1!$A$2:$E$1141,5,0)</f>
        <v>Mgr of Line 2/3 FM Operation</v>
      </c>
      <c r="G423" s="16" t="str">
        <f>VLOOKUP(A423,[1]Sheet1!$A$2:$F$1141,6,0)</f>
        <v>Manager</v>
      </c>
      <c r="H423" s="1" t="s">
        <v>2089</v>
      </c>
      <c r="I423" s="1" t="s">
        <v>1117</v>
      </c>
      <c r="J423" s="1" t="str">
        <f>VLOOKUP(A423,[1]Sheet1!$A$2:$H$1141,8,0)</f>
        <v>Dept. of Clinker &amp; Cement Production</v>
      </c>
      <c r="K423" s="1" t="str">
        <f>VLOOKUP(A423,[1]Sheet1!$A$2:$I$1141,9,0)</f>
        <v>Unit of Cement Production</v>
      </c>
      <c r="L423" s="1" t="str">
        <f>VLOOKUP(A423,[1]Sheet1!$A$2:$J$1141,10,0)</f>
        <v>Section of Line 2/3 FM Operation</v>
      </c>
      <c r="M423" s="2">
        <v>31065</v>
      </c>
      <c r="N423" s="1" t="s">
        <v>29</v>
      </c>
      <c r="O423" s="1" t="s">
        <v>30</v>
      </c>
      <c r="P423" s="1" t="s">
        <v>2277</v>
      </c>
      <c r="Q423" s="1" t="s">
        <v>2278</v>
      </c>
      <c r="R423" s="1" t="s">
        <v>2279</v>
      </c>
      <c r="S423" s="1" t="s">
        <v>2093</v>
      </c>
      <c r="T423" s="14">
        <v>51533</v>
      </c>
      <c r="U423" s="1" t="s">
        <v>2280</v>
      </c>
      <c r="V423" s="1" t="s">
        <v>410</v>
      </c>
      <c r="W423" s="3" t="str">
        <f t="shared" si="6"/>
        <v>41 tahun</v>
      </c>
      <c r="X423" s="1" t="s">
        <v>47</v>
      </c>
      <c r="Y423" s="1" t="s">
        <v>68</v>
      </c>
      <c r="Z423" s="2">
        <v>39814</v>
      </c>
      <c r="AA423" s="2">
        <v>39995</v>
      </c>
      <c r="AB423" s="2" t="s">
        <v>2281</v>
      </c>
    </row>
    <row r="424" spans="1:28" x14ac:dyDescent="0.35">
      <c r="A424" s="12">
        <v>5921</v>
      </c>
      <c r="B424" s="12">
        <v>8712088</v>
      </c>
      <c r="C424" s="12" t="s">
        <v>103</v>
      </c>
      <c r="D424" s="12">
        <v>50055830</v>
      </c>
      <c r="E424" s="1" t="s">
        <v>2282</v>
      </c>
      <c r="F424" s="1" t="str">
        <f>VLOOKUP(A424,[1]Sheet1!$A$2:$E$1141,5,0)</f>
        <v>Line 2/3 CCR FM Jr Officer</v>
      </c>
      <c r="G424" s="17" t="str">
        <f>VLOOKUP(A424,[1]Sheet1!$A$2:$F$1141,6,0)</f>
        <v>Supervisor</v>
      </c>
      <c r="H424" s="1" t="s">
        <v>2089</v>
      </c>
      <c r="I424" s="1" t="s">
        <v>1117</v>
      </c>
      <c r="J424" s="1" t="str">
        <f>VLOOKUP(A424,[1]Sheet1!$A$2:$H$1141,8,0)</f>
        <v>Dept. of Clinker &amp; Cement Production</v>
      </c>
      <c r="K424" s="1" t="str">
        <f>VLOOKUP(A424,[1]Sheet1!$A$2:$I$1141,9,0)</f>
        <v>Unit of Cement Production</v>
      </c>
      <c r="L424" s="1" t="str">
        <f>VLOOKUP(A424,[1]Sheet1!$A$2:$J$1141,10,0)</f>
        <v>Section of Line 2/3 FM Operation</v>
      </c>
      <c r="M424" s="2">
        <v>31935</v>
      </c>
      <c r="N424" s="1" t="s">
        <v>29</v>
      </c>
      <c r="O424" s="1" t="s">
        <v>30</v>
      </c>
      <c r="P424" s="1" t="s">
        <v>2283</v>
      </c>
      <c r="Q424" s="1" t="s">
        <v>2284</v>
      </c>
      <c r="R424" s="1" t="s">
        <v>2285</v>
      </c>
      <c r="S424" s="1" t="s">
        <v>2093</v>
      </c>
      <c r="T424" s="14">
        <v>52413</v>
      </c>
      <c r="U424" s="1" t="s">
        <v>2286</v>
      </c>
      <c r="V424" s="1" t="s">
        <v>36</v>
      </c>
      <c r="W424" s="3" t="str">
        <f t="shared" si="6"/>
        <v>39 tahun</v>
      </c>
      <c r="X424" s="1" t="s">
        <v>91</v>
      </c>
      <c r="Y424" s="1" t="s">
        <v>56</v>
      </c>
      <c r="Z424" s="2">
        <v>41275</v>
      </c>
      <c r="AA424" s="2">
        <v>41395</v>
      </c>
      <c r="AB424" s="2" t="s">
        <v>2287</v>
      </c>
    </row>
    <row r="425" spans="1:28" x14ac:dyDescent="0.35">
      <c r="A425" s="12">
        <v>6188</v>
      </c>
      <c r="B425" s="12">
        <v>9112354</v>
      </c>
      <c r="C425" s="12" t="s">
        <v>103</v>
      </c>
      <c r="D425" s="12">
        <v>50055831</v>
      </c>
      <c r="E425" s="1" t="s">
        <v>2288</v>
      </c>
      <c r="F425" s="1" t="str">
        <f>VLOOKUP(A425,[1]Sheet1!$A$2:$E$1141,5,0)</f>
        <v>Line 2/3 CCR FM Jr Officer</v>
      </c>
      <c r="G425" s="17" t="str">
        <f>VLOOKUP(A425,[1]Sheet1!$A$2:$F$1141,6,0)</f>
        <v>Supervisor</v>
      </c>
      <c r="H425" s="1" t="s">
        <v>2089</v>
      </c>
      <c r="I425" s="1" t="s">
        <v>1117</v>
      </c>
      <c r="J425" s="1" t="str">
        <f>VLOOKUP(A425,[1]Sheet1!$A$2:$H$1141,8,0)</f>
        <v>Dept. of Clinker &amp; Cement Production</v>
      </c>
      <c r="K425" s="1" t="str">
        <f>VLOOKUP(A425,[1]Sheet1!$A$2:$I$1141,9,0)</f>
        <v>Unit of Cement Production</v>
      </c>
      <c r="L425" s="1" t="str">
        <f>VLOOKUP(A425,[1]Sheet1!$A$2:$J$1141,10,0)</f>
        <v>Section of Line 2/3 FM Operation</v>
      </c>
      <c r="M425" s="2">
        <v>33420</v>
      </c>
      <c r="N425" s="1" t="s">
        <v>29</v>
      </c>
      <c r="O425" s="1" t="s">
        <v>30</v>
      </c>
      <c r="P425" s="1" t="s">
        <v>2289</v>
      </c>
      <c r="Q425" s="1" t="s">
        <v>2284</v>
      </c>
      <c r="R425" s="1" t="s">
        <v>2285</v>
      </c>
      <c r="S425" s="1" t="s">
        <v>2093</v>
      </c>
      <c r="T425" s="14">
        <v>53905</v>
      </c>
      <c r="U425" s="1" t="s">
        <v>2290</v>
      </c>
      <c r="V425" s="1" t="s">
        <v>36</v>
      </c>
      <c r="W425" s="3" t="str">
        <f t="shared" si="6"/>
        <v>35 tahun</v>
      </c>
      <c r="X425" s="1" t="s">
        <v>121</v>
      </c>
      <c r="Y425" s="1" t="s">
        <v>48</v>
      </c>
      <c r="Z425" s="2">
        <v>41275</v>
      </c>
      <c r="AA425" s="2">
        <v>41395</v>
      </c>
      <c r="AB425" s="2" t="s">
        <v>2291</v>
      </c>
    </row>
    <row r="426" spans="1:28" x14ac:dyDescent="0.35">
      <c r="A426" s="12">
        <v>6039</v>
      </c>
      <c r="B426" s="12">
        <v>8912206</v>
      </c>
      <c r="C426" s="12" t="s">
        <v>103</v>
      </c>
      <c r="D426" s="12">
        <v>50053932</v>
      </c>
      <c r="E426" s="1" t="s">
        <v>300</v>
      </c>
      <c r="F426" s="1" t="str">
        <f>VLOOKUP(A426,[1]Sheet1!$A$2:$E$1141,5,0)</f>
        <v>Line 2/3 CCR FM Jr Officer</v>
      </c>
      <c r="G426" s="17" t="str">
        <f>VLOOKUP(A426,[1]Sheet1!$A$2:$F$1141,6,0)</f>
        <v>Supervisor</v>
      </c>
      <c r="H426" s="1" t="s">
        <v>2089</v>
      </c>
      <c r="I426" s="1" t="s">
        <v>1117</v>
      </c>
      <c r="J426" s="1" t="str">
        <f>VLOOKUP(A426,[1]Sheet1!$A$2:$H$1141,8,0)</f>
        <v>Dept. of Clinker &amp; Cement Production</v>
      </c>
      <c r="K426" s="1" t="str">
        <f>VLOOKUP(A426,[1]Sheet1!$A$2:$I$1141,9,0)</f>
        <v>Unit of Cement Production</v>
      </c>
      <c r="L426" s="1" t="str">
        <f>VLOOKUP(A426,[1]Sheet1!$A$2:$J$1141,10,0)</f>
        <v>Section of Line 2/3 FM Operation</v>
      </c>
      <c r="M426" s="2">
        <v>32728</v>
      </c>
      <c r="N426" s="1" t="s">
        <v>29</v>
      </c>
      <c r="O426" s="1" t="s">
        <v>30</v>
      </c>
      <c r="P426" s="1" t="s">
        <v>2292</v>
      </c>
      <c r="Q426" s="1" t="s">
        <v>2284</v>
      </c>
      <c r="R426" s="1" t="s">
        <v>2285</v>
      </c>
      <c r="S426" s="1" t="s">
        <v>2093</v>
      </c>
      <c r="T426" s="14">
        <v>53206</v>
      </c>
      <c r="U426" s="1" t="s">
        <v>2293</v>
      </c>
      <c r="V426" s="1" t="s">
        <v>36</v>
      </c>
      <c r="W426" s="3" t="str">
        <f t="shared" si="6"/>
        <v>37 tahun</v>
      </c>
      <c r="X426" s="1" t="s">
        <v>121</v>
      </c>
      <c r="Y426" s="1" t="s">
        <v>56</v>
      </c>
      <c r="Z426" s="2">
        <v>41275</v>
      </c>
      <c r="AA426" s="2">
        <v>41426</v>
      </c>
      <c r="AB426" s="2" t="s">
        <v>2294</v>
      </c>
    </row>
    <row r="427" spans="1:28" x14ac:dyDescent="0.35">
      <c r="A427" s="12">
        <v>5938</v>
      </c>
      <c r="B427" s="12">
        <v>8712104</v>
      </c>
      <c r="C427" s="12" t="s">
        <v>103</v>
      </c>
      <c r="D427" s="12">
        <v>50055789</v>
      </c>
      <c r="E427" s="1" t="s">
        <v>2295</v>
      </c>
      <c r="F427" s="1" t="str">
        <f>VLOOKUP(A427,[1]Sheet1!$A$2:$E$1141,5,0)</f>
        <v>Line 2/3 CCR FM Jr Officer</v>
      </c>
      <c r="G427" s="17" t="str">
        <f>VLOOKUP(A427,[1]Sheet1!$A$2:$F$1141,6,0)</f>
        <v>Supervisor</v>
      </c>
      <c r="H427" s="1" t="s">
        <v>2089</v>
      </c>
      <c r="I427" s="1" t="s">
        <v>1117</v>
      </c>
      <c r="J427" s="1" t="str">
        <f>VLOOKUP(A427,[1]Sheet1!$A$2:$H$1141,8,0)</f>
        <v>Dept. of Clinker &amp; Cement Production</v>
      </c>
      <c r="K427" s="1" t="str">
        <f>VLOOKUP(A427,[1]Sheet1!$A$2:$I$1141,9,0)</f>
        <v>Unit of Cement Production</v>
      </c>
      <c r="L427" s="1" t="str">
        <f>VLOOKUP(A427,[1]Sheet1!$A$2:$J$1141,10,0)</f>
        <v>Section of Line 2/3 FM Operation</v>
      </c>
      <c r="M427" s="2">
        <v>32059</v>
      </c>
      <c r="N427" s="1" t="s">
        <v>29</v>
      </c>
      <c r="O427" s="1" t="s">
        <v>30</v>
      </c>
      <c r="P427" s="1" t="s">
        <v>2296</v>
      </c>
      <c r="Q427" s="1" t="s">
        <v>2284</v>
      </c>
      <c r="R427" s="1" t="s">
        <v>2285</v>
      </c>
      <c r="S427" s="1" t="s">
        <v>2093</v>
      </c>
      <c r="T427" s="14">
        <v>52536</v>
      </c>
      <c r="U427" s="1" t="s">
        <v>2297</v>
      </c>
      <c r="V427" s="1" t="s">
        <v>36</v>
      </c>
      <c r="W427" s="3" t="str">
        <f t="shared" si="6"/>
        <v>38 tahun</v>
      </c>
      <c r="X427" s="1" t="s">
        <v>595</v>
      </c>
      <c r="Y427" s="1" t="s">
        <v>56</v>
      </c>
      <c r="Z427" s="2">
        <v>41275</v>
      </c>
      <c r="AA427" s="2">
        <v>41426</v>
      </c>
      <c r="AB427" s="2" t="s">
        <v>2298</v>
      </c>
    </row>
    <row r="428" spans="1:28" x14ac:dyDescent="0.35">
      <c r="A428" s="12">
        <v>4989</v>
      </c>
      <c r="B428" s="12">
        <v>7395020</v>
      </c>
      <c r="C428" s="12" t="s">
        <v>50</v>
      </c>
      <c r="D428" s="12">
        <v>50053941</v>
      </c>
      <c r="E428" s="1" t="s">
        <v>2299</v>
      </c>
      <c r="F428" s="1" t="str">
        <f>VLOOKUP(A428,[1]Sheet1!$A$2:$E$1141,5,0)</f>
        <v>Spv of Line 2/3 FM Field</v>
      </c>
      <c r="G428" s="17" t="str">
        <f>VLOOKUP(A428,[1]Sheet1!$A$2:$F$1141,6,0)</f>
        <v>Supervisor</v>
      </c>
      <c r="H428" s="1" t="s">
        <v>2089</v>
      </c>
      <c r="I428" s="1" t="s">
        <v>1117</v>
      </c>
      <c r="J428" s="1" t="str">
        <f>VLOOKUP(A428,[1]Sheet1!$A$2:$H$1141,8,0)</f>
        <v>Dept. of Clinker &amp; Cement Production</v>
      </c>
      <c r="K428" s="1" t="str">
        <f>VLOOKUP(A428,[1]Sheet1!$A$2:$I$1141,9,0)</f>
        <v>Unit of Cement Production</v>
      </c>
      <c r="L428" s="1" t="str">
        <f>VLOOKUP(A428,[1]Sheet1!$A$2:$J$1141,10,0)</f>
        <v>Section of Line 2/3 FM Operation</v>
      </c>
      <c r="M428" s="2">
        <v>27151</v>
      </c>
      <c r="N428" s="1" t="s">
        <v>29</v>
      </c>
      <c r="O428" s="1" t="s">
        <v>30</v>
      </c>
      <c r="P428" s="1" t="s">
        <v>2300</v>
      </c>
      <c r="Q428" s="1" t="s">
        <v>2300</v>
      </c>
      <c r="R428" s="1" t="s">
        <v>2301</v>
      </c>
      <c r="S428" s="1" t="s">
        <v>2093</v>
      </c>
      <c r="T428" s="14">
        <v>47635</v>
      </c>
      <c r="U428" s="1" t="s">
        <v>2302</v>
      </c>
      <c r="V428" s="1" t="s">
        <v>36</v>
      </c>
      <c r="W428" s="3" t="str">
        <f t="shared" si="6"/>
        <v>52 tahun</v>
      </c>
      <c r="X428" s="1" t="s">
        <v>96</v>
      </c>
      <c r="Y428" s="1" t="s">
        <v>48</v>
      </c>
      <c r="Z428" s="2">
        <v>34897</v>
      </c>
      <c r="AA428" s="2">
        <v>35278</v>
      </c>
      <c r="AB428" s="2" t="s">
        <v>2303</v>
      </c>
    </row>
    <row r="429" spans="1:28" x14ac:dyDescent="0.35">
      <c r="A429" s="12">
        <v>4818</v>
      </c>
      <c r="B429" s="12">
        <v>7202183</v>
      </c>
      <c r="C429" s="12" t="s">
        <v>164</v>
      </c>
      <c r="D429" s="12">
        <v>50053980</v>
      </c>
      <c r="E429" s="1" t="s">
        <v>662</v>
      </c>
      <c r="F429" s="1" t="str">
        <f>VLOOKUP(A429,[1]Sheet1!$A$2:$E$1141,5,0)</f>
        <v>Spv of Line 2/3 FM Field</v>
      </c>
      <c r="G429" s="17" t="str">
        <f>VLOOKUP(A429,[1]Sheet1!$A$2:$F$1141,6,0)</f>
        <v>Supervisor</v>
      </c>
      <c r="H429" s="1" t="s">
        <v>2089</v>
      </c>
      <c r="I429" s="1" t="s">
        <v>1117</v>
      </c>
      <c r="J429" s="1" t="str">
        <f>VLOOKUP(A429,[1]Sheet1!$A$2:$H$1141,8,0)</f>
        <v>Dept. of Clinker &amp; Cement Production</v>
      </c>
      <c r="K429" s="1" t="str">
        <f>VLOOKUP(A429,[1]Sheet1!$A$2:$I$1141,9,0)</f>
        <v>Unit of Cement Production</v>
      </c>
      <c r="L429" s="1" t="str">
        <f>VLOOKUP(A429,[1]Sheet1!$A$2:$J$1141,10,0)</f>
        <v>Section of Line 2/3 FM Operation</v>
      </c>
      <c r="M429" s="2">
        <v>26394</v>
      </c>
      <c r="N429" s="1" t="s">
        <v>29</v>
      </c>
      <c r="O429" s="1" t="s">
        <v>30</v>
      </c>
      <c r="P429" s="1" t="s">
        <v>2304</v>
      </c>
      <c r="Q429" s="1" t="s">
        <v>2305</v>
      </c>
      <c r="R429" s="1" t="s">
        <v>2301</v>
      </c>
      <c r="S429" s="1" t="s">
        <v>2093</v>
      </c>
      <c r="T429" s="14">
        <v>46874</v>
      </c>
      <c r="U429" s="1" t="s">
        <v>2306</v>
      </c>
      <c r="V429" s="1" t="s">
        <v>36</v>
      </c>
      <c r="W429" s="3" t="str">
        <f t="shared" si="6"/>
        <v>54 tahun</v>
      </c>
      <c r="X429" s="1" t="s">
        <v>1654</v>
      </c>
      <c r="Y429" s="1" t="s">
        <v>56</v>
      </c>
      <c r="Z429" s="2">
        <v>37469</v>
      </c>
      <c r="AA429" s="2">
        <v>38718</v>
      </c>
      <c r="AB429" s="2" t="s">
        <v>84</v>
      </c>
    </row>
    <row r="430" spans="1:28" x14ac:dyDescent="0.35">
      <c r="A430" s="12">
        <v>5188</v>
      </c>
      <c r="B430" s="12">
        <v>7602277</v>
      </c>
      <c r="C430" s="12" t="s">
        <v>164</v>
      </c>
      <c r="D430" s="12">
        <v>50053987</v>
      </c>
      <c r="E430" s="1" t="s">
        <v>2307</v>
      </c>
      <c r="F430" s="1" t="str">
        <f>VLOOKUP(A430,[1]Sheet1!$A$2:$E$1141,5,0)</f>
        <v>D Spv of Line 2/3 FM Field</v>
      </c>
      <c r="G430" s="17" t="str">
        <f>VLOOKUP(A430,[1]Sheet1!$A$2:$F$1141,6,0)</f>
        <v>Supervisor</v>
      </c>
      <c r="H430" s="1" t="s">
        <v>2089</v>
      </c>
      <c r="I430" s="1" t="s">
        <v>1117</v>
      </c>
      <c r="J430" s="1" t="str">
        <f>VLOOKUP(A430,[1]Sheet1!$A$2:$H$1141,8,0)</f>
        <v>Dept. of Clinker &amp; Cement Production</v>
      </c>
      <c r="K430" s="1" t="str">
        <f>VLOOKUP(A430,[1]Sheet1!$A$2:$I$1141,9,0)</f>
        <v>Unit of Cement Production</v>
      </c>
      <c r="L430" s="1" t="str">
        <f>VLOOKUP(A430,[1]Sheet1!$A$2:$J$1141,10,0)</f>
        <v>Section of Line 2/3 FM Operation</v>
      </c>
      <c r="M430" s="2">
        <v>27851</v>
      </c>
      <c r="N430" s="1" t="s">
        <v>29</v>
      </c>
      <c r="O430" s="1" t="s">
        <v>30</v>
      </c>
      <c r="P430" s="1" t="s">
        <v>2308</v>
      </c>
      <c r="Q430" s="1" t="s">
        <v>2309</v>
      </c>
      <c r="R430" s="1" t="s">
        <v>2301</v>
      </c>
      <c r="S430" s="1" t="s">
        <v>2093</v>
      </c>
      <c r="T430" s="14">
        <v>48335</v>
      </c>
      <c r="U430" s="1" t="s">
        <v>2310</v>
      </c>
      <c r="V430" s="1" t="s">
        <v>36</v>
      </c>
      <c r="W430" s="3" t="str">
        <f t="shared" si="6"/>
        <v>50 tahun</v>
      </c>
      <c r="X430" s="1" t="s">
        <v>595</v>
      </c>
      <c r="Y430" s="1" t="s">
        <v>56</v>
      </c>
      <c r="Z430" s="2">
        <v>37469</v>
      </c>
      <c r="AA430" s="2">
        <v>38718</v>
      </c>
      <c r="AB430" s="2" t="s">
        <v>2311</v>
      </c>
    </row>
    <row r="431" spans="1:28" x14ac:dyDescent="0.35">
      <c r="A431" s="12">
        <v>6229</v>
      </c>
      <c r="B431" s="12">
        <v>9212395</v>
      </c>
      <c r="C431" s="12" t="s">
        <v>103</v>
      </c>
      <c r="D431" s="12">
        <v>50069421</v>
      </c>
      <c r="E431" s="1" t="s">
        <v>2312</v>
      </c>
      <c r="F431" s="1" t="str">
        <f>VLOOKUP(A431,[1]Sheet1!$A$2:$E$1141,5,0)</f>
        <v>Spv of Line 2/3 FM Field</v>
      </c>
      <c r="G431" s="17" t="str">
        <f>VLOOKUP(A431,[1]Sheet1!$A$2:$F$1141,6,0)</f>
        <v>Supervisor</v>
      </c>
      <c r="H431" s="1" t="s">
        <v>2089</v>
      </c>
      <c r="I431" s="1" t="s">
        <v>1117</v>
      </c>
      <c r="J431" s="1" t="str">
        <f>VLOOKUP(A431,[1]Sheet1!$A$2:$H$1141,8,0)</f>
        <v>Dept. of Clinker &amp; Cement Production</v>
      </c>
      <c r="K431" s="1" t="str">
        <f>VLOOKUP(A431,[1]Sheet1!$A$2:$I$1141,9,0)</f>
        <v>Unit of Cement Production</v>
      </c>
      <c r="L431" s="1" t="str">
        <f>VLOOKUP(A431,[1]Sheet1!$A$2:$J$1141,10,0)</f>
        <v>Section of Line 2/3 FM Operation</v>
      </c>
      <c r="M431" s="2">
        <v>33620</v>
      </c>
      <c r="N431" s="1" t="s">
        <v>29</v>
      </c>
      <c r="O431" s="1" t="s">
        <v>30</v>
      </c>
      <c r="P431" s="1" t="s">
        <v>2313</v>
      </c>
      <c r="Q431" s="1" t="s">
        <v>2314</v>
      </c>
      <c r="R431" s="1" t="s">
        <v>2315</v>
      </c>
      <c r="S431" s="1" t="s">
        <v>2093</v>
      </c>
      <c r="T431" s="14">
        <v>54089</v>
      </c>
      <c r="U431" s="1" t="s">
        <v>2316</v>
      </c>
      <c r="V431" s="1" t="s">
        <v>36</v>
      </c>
      <c r="W431" s="3" t="str">
        <f t="shared" si="6"/>
        <v>34 tahun</v>
      </c>
      <c r="X431" s="1" t="s">
        <v>121</v>
      </c>
      <c r="Y431" s="1" t="s">
        <v>56</v>
      </c>
      <c r="Z431" s="2">
        <v>41275</v>
      </c>
      <c r="AA431" s="2">
        <v>41426</v>
      </c>
      <c r="AB431" s="2" t="s">
        <v>2317</v>
      </c>
    </row>
    <row r="432" spans="1:28" x14ac:dyDescent="0.35">
      <c r="A432" s="12">
        <v>5396</v>
      </c>
      <c r="B432" s="12">
        <v>8710079</v>
      </c>
      <c r="C432" s="12" t="s">
        <v>139</v>
      </c>
      <c r="D432" s="12">
        <v>50053928</v>
      </c>
      <c r="E432" s="16" t="s">
        <v>2318</v>
      </c>
      <c r="F432" s="1" t="str">
        <f>VLOOKUP(A432,[1]Sheet1!$A$2:$E$1141,5,0)</f>
        <v>Mgr of Line 4 Finish Mill Operation</v>
      </c>
      <c r="G432" s="16" t="str">
        <f>VLOOKUP(A432,[1]Sheet1!$A$2:$F$1141,6,0)</f>
        <v>Manager</v>
      </c>
      <c r="H432" s="1" t="s">
        <v>2089</v>
      </c>
      <c r="I432" s="1" t="s">
        <v>1117</v>
      </c>
      <c r="J432" s="1" t="str">
        <f>VLOOKUP(A432,[1]Sheet1!$A$2:$H$1141,8,0)</f>
        <v>Dept. of Clinker &amp; Cement Production</v>
      </c>
      <c r="K432" s="1" t="str">
        <f>VLOOKUP(A432,[1]Sheet1!$A$2:$I$1141,9,0)</f>
        <v>Unit of Cement Production</v>
      </c>
      <c r="L432" s="1" t="str">
        <f>VLOOKUP(A432,[1]Sheet1!$A$2:$J$1141,10,0)</f>
        <v>Section of Line 4 Finish Mill Operation</v>
      </c>
      <c r="M432" s="2">
        <v>31948</v>
      </c>
      <c r="N432" s="1" t="s">
        <v>29</v>
      </c>
      <c r="O432" s="1" t="s">
        <v>30</v>
      </c>
      <c r="P432" s="1" t="s">
        <v>2319</v>
      </c>
      <c r="Q432" s="1" t="s">
        <v>2320</v>
      </c>
      <c r="R432" s="1" t="s">
        <v>2321</v>
      </c>
      <c r="S432" s="1" t="s">
        <v>2093</v>
      </c>
      <c r="T432" s="14">
        <v>52413</v>
      </c>
      <c r="U432" s="1" t="s">
        <v>2322</v>
      </c>
      <c r="V432" s="1" t="s">
        <v>36</v>
      </c>
      <c r="W432" s="3" t="str">
        <f t="shared" si="6"/>
        <v>39 tahun</v>
      </c>
      <c r="X432" s="1" t="s">
        <v>55</v>
      </c>
      <c r="Y432" s="1" t="s">
        <v>48</v>
      </c>
      <c r="Z432" s="2">
        <v>40544</v>
      </c>
      <c r="AA432" s="2">
        <v>40664</v>
      </c>
      <c r="AB432" s="2" t="s">
        <v>1993</v>
      </c>
    </row>
    <row r="433" spans="1:28" x14ac:dyDescent="0.35">
      <c r="A433" s="12">
        <v>5839</v>
      </c>
      <c r="B433" s="12">
        <v>8512006</v>
      </c>
      <c r="C433" s="12" t="s">
        <v>103</v>
      </c>
      <c r="D433" s="12">
        <v>50053931</v>
      </c>
      <c r="E433" s="1" t="s">
        <v>2323</v>
      </c>
      <c r="F433" s="1" t="str">
        <f>VLOOKUP(A433,[1]Sheet1!$A$2:$E$1141,5,0)</f>
        <v>Line 4 CCR FM Jr Officer</v>
      </c>
      <c r="G433" s="17" t="str">
        <f>VLOOKUP(A433,[1]Sheet1!$A$2:$F$1141,6,0)</f>
        <v>Supervisor</v>
      </c>
      <c r="H433" s="1" t="s">
        <v>2089</v>
      </c>
      <c r="I433" s="1" t="s">
        <v>1117</v>
      </c>
      <c r="J433" s="1" t="str">
        <f>VLOOKUP(A433,[1]Sheet1!$A$2:$H$1141,8,0)</f>
        <v>Dept. of Clinker &amp; Cement Production</v>
      </c>
      <c r="K433" s="1" t="str">
        <f>VLOOKUP(A433,[1]Sheet1!$A$2:$I$1141,9,0)</f>
        <v>Unit of Cement Production</v>
      </c>
      <c r="L433" s="1" t="str">
        <f>VLOOKUP(A433,[1]Sheet1!$A$2:$J$1141,10,0)</f>
        <v>Section of Line 4 Finish Mill Operation</v>
      </c>
      <c r="M433" s="2">
        <v>31151</v>
      </c>
      <c r="N433" s="1" t="s">
        <v>29</v>
      </c>
      <c r="O433" s="1" t="s">
        <v>30</v>
      </c>
      <c r="P433" s="1" t="s">
        <v>2324</v>
      </c>
      <c r="Q433" s="1" t="s">
        <v>2325</v>
      </c>
      <c r="R433" s="1" t="s">
        <v>2326</v>
      </c>
      <c r="S433" s="1" t="s">
        <v>2093</v>
      </c>
      <c r="T433" s="14">
        <v>51622</v>
      </c>
      <c r="U433" s="1" t="s">
        <v>2327</v>
      </c>
      <c r="V433" s="1" t="s">
        <v>36</v>
      </c>
      <c r="W433" s="3" t="str">
        <f t="shared" si="6"/>
        <v>41 tahun</v>
      </c>
      <c r="X433" s="1" t="s">
        <v>121</v>
      </c>
      <c r="Y433" s="1" t="s">
        <v>56</v>
      </c>
      <c r="Z433" s="2">
        <v>41275</v>
      </c>
      <c r="AA433" s="2">
        <v>41426</v>
      </c>
      <c r="AB433" s="2" t="e">
        <v>#N/A</v>
      </c>
    </row>
    <row r="434" spans="1:28" x14ac:dyDescent="0.35">
      <c r="A434" s="12">
        <v>5877</v>
      </c>
      <c r="B434" s="12">
        <v>8612044</v>
      </c>
      <c r="C434" s="12" t="s">
        <v>103</v>
      </c>
      <c r="D434" s="12">
        <v>50053935</v>
      </c>
      <c r="E434" s="1" t="s">
        <v>2328</v>
      </c>
      <c r="F434" s="1" t="str">
        <f>VLOOKUP(A434,[1]Sheet1!$A$2:$E$1141,5,0)</f>
        <v>Line 4 CCR FM Jr Officer</v>
      </c>
      <c r="G434" s="17" t="str">
        <f>VLOOKUP(A434,[1]Sheet1!$A$2:$F$1141,6,0)</f>
        <v>Supervisor</v>
      </c>
      <c r="H434" s="1" t="s">
        <v>2089</v>
      </c>
      <c r="I434" s="1" t="s">
        <v>1117</v>
      </c>
      <c r="J434" s="1" t="str">
        <f>VLOOKUP(A434,[1]Sheet1!$A$2:$H$1141,8,0)</f>
        <v>Dept. of Clinker &amp; Cement Production</v>
      </c>
      <c r="K434" s="1" t="str">
        <f>VLOOKUP(A434,[1]Sheet1!$A$2:$I$1141,9,0)</f>
        <v>Unit of Cement Production</v>
      </c>
      <c r="L434" s="1" t="str">
        <f>VLOOKUP(A434,[1]Sheet1!$A$2:$J$1141,10,0)</f>
        <v>Section of Line 4 Finish Mill Operation</v>
      </c>
      <c r="M434" s="2">
        <v>31565</v>
      </c>
      <c r="N434" s="1" t="s">
        <v>29</v>
      </c>
      <c r="O434" s="1" t="s">
        <v>30</v>
      </c>
      <c r="P434" s="1" t="s">
        <v>2329</v>
      </c>
      <c r="Q434" s="1" t="s">
        <v>2325</v>
      </c>
      <c r="R434" s="1" t="s">
        <v>2326</v>
      </c>
      <c r="S434" s="1" t="s">
        <v>2093</v>
      </c>
      <c r="T434" s="14">
        <v>52048</v>
      </c>
      <c r="U434" s="1" t="s">
        <v>2330</v>
      </c>
      <c r="V434" s="1" t="s">
        <v>36</v>
      </c>
      <c r="W434" s="3" t="str">
        <f t="shared" si="6"/>
        <v>40 tahun</v>
      </c>
      <c r="X434" s="1" t="s">
        <v>112</v>
      </c>
      <c r="Y434" s="1" t="s">
        <v>56</v>
      </c>
      <c r="Z434" s="2">
        <v>41275</v>
      </c>
      <c r="AA434" s="2">
        <v>41426</v>
      </c>
      <c r="AB434" s="2" t="s">
        <v>2331</v>
      </c>
    </row>
    <row r="435" spans="1:28" x14ac:dyDescent="0.35">
      <c r="A435" s="12">
        <v>5959</v>
      </c>
      <c r="B435" s="12">
        <v>8812125</v>
      </c>
      <c r="C435" s="12" t="s">
        <v>103</v>
      </c>
      <c r="D435" s="12">
        <v>50055829</v>
      </c>
      <c r="E435" s="1" t="s">
        <v>2332</v>
      </c>
      <c r="F435" s="1" t="str">
        <f>VLOOKUP(A435,[1]Sheet1!$A$2:$E$1141,5,0)</f>
        <v>Line 4 CCR FM Jr Officer</v>
      </c>
      <c r="G435" s="17" t="str">
        <f>VLOOKUP(A435,[1]Sheet1!$A$2:$F$1141,6,0)</f>
        <v>Supervisor</v>
      </c>
      <c r="H435" s="1" t="s">
        <v>2089</v>
      </c>
      <c r="I435" s="1" t="s">
        <v>1117</v>
      </c>
      <c r="J435" s="1" t="str">
        <f>VLOOKUP(A435,[1]Sheet1!$A$2:$H$1141,8,0)</f>
        <v>Dept. of Clinker &amp; Cement Production</v>
      </c>
      <c r="K435" s="1" t="str">
        <f>VLOOKUP(A435,[1]Sheet1!$A$2:$I$1141,9,0)</f>
        <v>Unit of Cement Production</v>
      </c>
      <c r="L435" s="1" t="str">
        <f>VLOOKUP(A435,[1]Sheet1!$A$2:$J$1141,10,0)</f>
        <v>Section of Line 4 Finish Mill Operation</v>
      </c>
      <c r="M435" s="2">
        <v>32274</v>
      </c>
      <c r="N435" s="1" t="s">
        <v>29</v>
      </c>
      <c r="O435" s="1" t="s">
        <v>30</v>
      </c>
      <c r="P435" s="1" t="s">
        <v>2333</v>
      </c>
      <c r="Q435" s="1" t="s">
        <v>2325</v>
      </c>
      <c r="R435" s="1" t="s">
        <v>2326</v>
      </c>
      <c r="S435" s="1" t="s">
        <v>2093</v>
      </c>
      <c r="T435" s="14">
        <v>52749</v>
      </c>
      <c r="U435" s="1" t="s">
        <v>2334</v>
      </c>
      <c r="V435" s="1" t="s">
        <v>36</v>
      </c>
      <c r="W435" s="3" t="str">
        <f t="shared" si="6"/>
        <v>38 tahun</v>
      </c>
      <c r="X435" s="1" t="s">
        <v>55</v>
      </c>
      <c r="Y435" s="1" t="s">
        <v>48</v>
      </c>
      <c r="Z435" s="2">
        <v>41275</v>
      </c>
      <c r="AA435" s="2">
        <v>41395</v>
      </c>
      <c r="AB435" s="2" t="s">
        <v>2335</v>
      </c>
    </row>
    <row r="436" spans="1:28" x14ac:dyDescent="0.35">
      <c r="A436" s="12">
        <v>6217</v>
      </c>
      <c r="B436" s="12">
        <v>9112383</v>
      </c>
      <c r="C436" s="12" t="s">
        <v>103</v>
      </c>
      <c r="D436" s="12">
        <v>50061176</v>
      </c>
      <c r="E436" s="1" t="s">
        <v>2336</v>
      </c>
      <c r="F436" s="1" t="str">
        <f>VLOOKUP(A436,[1]Sheet1!$A$2:$E$1141,5,0)</f>
        <v>Line 4 CCR FM Jr Officer</v>
      </c>
      <c r="G436" s="17" t="str">
        <f>VLOOKUP(A436,[1]Sheet1!$A$2:$F$1141,6,0)</f>
        <v>Supervisor</v>
      </c>
      <c r="H436" s="1" t="s">
        <v>2089</v>
      </c>
      <c r="I436" s="1" t="s">
        <v>1117</v>
      </c>
      <c r="J436" s="1" t="str">
        <f>VLOOKUP(A436,[1]Sheet1!$A$2:$H$1141,8,0)</f>
        <v>Dept. of Clinker &amp; Cement Production</v>
      </c>
      <c r="K436" s="1" t="str">
        <f>VLOOKUP(A436,[1]Sheet1!$A$2:$I$1141,9,0)</f>
        <v>Unit of Cement Production</v>
      </c>
      <c r="L436" s="1" t="str">
        <f>VLOOKUP(A436,[1]Sheet1!$A$2:$J$1141,10,0)</f>
        <v>Section of Line 4 Finish Mill Operation</v>
      </c>
      <c r="M436" s="2">
        <v>33539</v>
      </c>
      <c r="N436" s="1" t="s">
        <v>29</v>
      </c>
      <c r="O436" s="1" t="s">
        <v>30</v>
      </c>
      <c r="P436" s="1" t="s">
        <v>2337</v>
      </c>
      <c r="Q436" s="1" t="s">
        <v>2325</v>
      </c>
      <c r="R436" s="1" t="s">
        <v>2326</v>
      </c>
      <c r="S436" s="1" t="s">
        <v>2093</v>
      </c>
      <c r="T436" s="14">
        <v>53997</v>
      </c>
      <c r="U436" s="1" t="s">
        <v>2338</v>
      </c>
      <c r="V436" s="1" t="s">
        <v>36</v>
      </c>
      <c r="W436" s="3" t="str">
        <f t="shared" si="6"/>
        <v>34 tahun</v>
      </c>
      <c r="X436" s="1" t="s">
        <v>2339</v>
      </c>
      <c r="Y436" s="1" t="s">
        <v>56</v>
      </c>
      <c r="Z436" s="2">
        <v>41275</v>
      </c>
      <c r="AA436" s="2">
        <v>41395</v>
      </c>
      <c r="AB436" s="2" t="s">
        <v>2340</v>
      </c>
    </row>
    <row r="437" spans="1:28" x14ac:dyDescent="0.35">
      <c r="A437" s="12">
        <v>4939</v>
      </c>
      <c r="B437" s="12">
        <v>7406456</v>
      </c>
      <c r="C437" s="12" t="s">
        <v>219</v>
      </c>
      <c r="D437" s="12">
        <v>50053937</v>
      </c>
      <c r="E437" s="1" t="s">
        <v>2341</v>
      </c>
      <c r="F437" s="1" t="str">
        <f>VLOOKUP(A437,[1]Sheet1!$A$2:$E$1141,5,0)</f>
        <v>Spv of Line 4 FM Field</v>
      </c>
      <c r="G437" s="17" t="str">
        <f>VLOOKUP(A437,[1]Sheet1!$A$2:$F$1141,6,0)</f>
        <v>Supervisor</v>
      </c>
      <c r="H437" s="1" t="s">
        <v>2089</v>
      </c>
      <c r="I437" s="1" t="s">
        <v>1117</v>
      </c>
      <c r="J437" s="1" t="str">
        <f>VLOOKUP(A437,[1]Sheet1!$A$2:$H$1141,8,0)</f>
        <v>Dept. of Clinker &amp; Cement Production</v>
      </c>
      <c r="K437" s="1" t="str">
        <f>VLOOKUP(A437,[1]Sheet1!$A$2:$I$1141,9,0)</f>
        <v>Unit of Cement Production</v>
      </c>
      <c r="L437" s="1" t="str">
        <f>VLOOKUP(A437,[1]Sheet1!$A$2:$J$1141,10,0)</f>
        <v>Section of Line 4 Finish Mill Operation</v>
      </c>
      <c r="M437" s="2">
        <v>27205</v>
      </c>
      <c r="N437" s="1" t="s">
        <v>29</v>
      </c>
      <c r="O437" s="1" t="s">
        <v>30</v>
      </c>
      <c r="P437" s="1" t="s">
        <v>2342</v>
      </c>
      <c r="Q437" s="1" t="s">
        <v>2343</v>
      </c>
      <c r="R437" s="1" t="s">
        <v>2344</v>
      </c>
      <c r="S437" s="1" t="s">
        <v>2093</v>
      </c>
      <c r="T437" s="14">
        <v>47665</v>
      </c>
      <c r="U437" s="1" t="s">
        <v>2345</v>
      </c>
      <c r="V437" s="1" t="s">
        <v>186</v>
      </c>
      <c r="W437" s="3" t="str">
        <f t="shared" si="6"/>
        <v>52 tahun</v>
      </c>
      <c r="X437" s="1" t="s">
        <v>2346</v>
      </c>
      <c r="Y437" s="1" t="s">
        <v>56</v>
      </c>
      <c r="Z437" s="2">
        <v>38718</v>
      </c>
      <c r="AA437" s="2">
        <v>41030</v>
      </c>
      <c r="AB437" s="2" t="s">
        <v>2347</v>
      </c>
    </row>
    <row r="438" spans="1:28" x14ac:dyDescent="0.35">
      <c r="A438" s="12">
        <v>4971</v>
      </c>
      <c r="B438" s="12">
        <v>7302226</v>
      </c>
      <c r="C438" s="12" t="s">
        <v>164</v>
      </c>
      <c r="D438" s="12">
        <v>50053945</v>
      </c>
      <c r="E438" s="1" t="s">
        <v>2348</v>
      </c>
      <c r="F438" s="1" t="str">
        <f>VLOOKUP(A438,[1]Sheet1!$A$2:$E$1141,5,0)</f>
        <v>Spv of Line 4 FM Field</v>
      </c>
      <c r="G438" s="17" t="str">
        <f>VLOOKUP(A438,[1]Sheet1!$A$2:$F$1141,6,0)</f>
        <v>Supervisor</v>
      </c>
      <c r="H438" s="1" t="s">
        <v>2089</v>
      </c>
      <c r="I438" s="1" t="s">
        <v>1117</v>
      </c>
      <c r="J438" s="1" t="str">
        <f>VLOOKUP(A438,[1]Sheet1!$A$2:$H$1141,8,0)</f>
        <v>Dept. of Clinker &amp; Cement Production</v>
      </c>
      <c r="K438" s="1" t="str">
        <f>VLOOKUP(A438,[1]Sheet1!$A$2:$I$1141,9,0)</f>
        <v>Unit of Cement Production</v>
      </c>
      <c r="L438" s="1" t="str">
        <f>VLOOKUP(A438,[1]Sheet1!$A$2:$J$1141,10,0)</f>
        <v>Section of Line 4 Finish Mill Operation</v>
      </c>
      <c r="M438" s="2">
        <v>26940</v>
      </c>
      <c r="N438" s="1" t="s">
        <v>29</v>
      </c>
      <c r="O438" s="1" t="s">
        <v>30</v>
      </c>
      <c r="P438" s="1" t="s">
        <v>2349</v>
      </c>
      <c r="Q438" s="1" t="s">
        <v>2350</v>
      </c>
      <c r="R438" s="1" t="s">
        <v>2344</v>
      </c>
      <c r="S438" s="1" t="s">
        <v>2093</v>
      </c>
      <c r="T438" s="14">
        <v>47423</v>
      </c>
      <c r="U438" s="1" t="s">
        <v>2351</v>
      </c>
      <c r="V438" s="1" t="s">
        <v>36</v>
      </c>
      <c r="W438" s="3" t="str">
        <f t="shared" si="6"/>
        <v>52 tahun</v>
      </c>
      <c r="X438" s="1" t="s">
        <v>1086</v>
      </c>
      <c r="Y438" s="1" t="s">
        <v>56</v>
      </c>
      <c r="Z438" s="2">
        <v>37469</v>
      </c>
      <c r="AA438" s="2">
        <v>38718</v>
      </c>
      <c r="AB438" s="2" t="s">
        <v>2352</v>
      </c>
    </row>
    <row r="439" spans="1:28" x14ac:dyDescent="0.35">
      <c r="A439" s="12">
        <v>5130</v>
      </c>
      <c r="B439" s="12">
        <v>7502270</v>
      </c>
      <c r="C439" s="12" t="s">
        <v>164</v>
      </c>
      <c r="D439" s="12">
        <v>50053951</v>
      </c>
      <c r="E439" s="1" t="s">
        <v>2353</v>
      </c>
      <c r="F439" s="1" t="str">
        <f>VLOOKUP(A439,[1]Sheet1!$A$2:$E$1141,5,0)</f>
        <v>Spv of Line 4 FM Field</v>
      </c>
      <c r="G439" s="17" t="str">
        <f>VLOOKUP(A439,[1]Sheet1!$A$2:$F$1141,6,0)</f>
        <v>Supervisor</v>
      </c>
      <c r="H439" s="1" t="s">
        <v>2089</v>
      </c>
      <c r="I439" s="1" t="s">
        <v>1117</v>
      </c>
      <c r="J439" s="1" t="str">
        <f>VLOOKUP(A439,[1]Sheet1!$A$2:$H$1141,8,0)</f>
        <v>Dept. of Clinker &amp; Cement Production</v>
      </c>
      <c r="K439" s="1" t="str">
        <f>VLOOKUP(A439,[1]Sheet1!$A$2:$I$1141,9,0)</f>
        <v>Unit of Cement Production</v>
      </c>
      <c r="L439" s="1" t="str">
        <f>VLOOKUP(A439,[1]Sheet1!$A$2:$J$1141,10,0)</f>
        <v>Section of Line 4 Finish Mill Operation</v>
      </c>
      <c r="M439" s="2">
        <v>27539</v>
      </c>
      <c r="N439" s="1" t="s">
        <v>29</v>
      </c>
      <c r="O439" s="1" t="s">
        <v>30</v>
      </c>
      <c r="P439" s="1" t="s">
        <v>2354</v>
      </c>
      <c r="Q439" s="1" t="s">
        <v>2355</v>
      </c>
      <c r="R439" s="1" t="s">
        <v>2344</v>
      </c>
      <c r="S439" s="1" t="s">
        <v>2093</v>
      </c>
      <c r="T439" s="14">
        <v>48000</v>
      </c>
      <c r="U439" s="1" t="s">
        <v>2356</v>
      </c>
      <c r="V439" s="1" t="s">
        <v>36</v>
      </c>
      <c r="W439" s="3" t="str">
        <f t="shared" si="6"/>
        <v>51 tahun</v>
      </c>
      <c r="X439" s="1" t="s">
        <v>585</v>
      </c>
      <c r="Y439" s="1" t="s">
        <v>56</v>
      </c>
      <c r="Z439" s="2">
        <v>37469</v>
      </c>
      <c r="AA439" s="2">
        <v>38718</v>
      </c>
      <c r="AB439" s="2" t="s">
        <v>84</v>
      </c>
    </row>
    <row r="440" spans="1:28" x14ac:dyDescent="0.35">
      <c r="A440" s="12">
        <v>4851</v>
      </c>
      <c r="B440" s="12">
        <v>7202191</v>
      </c>
      <c r="C440" s="12" t="s">
        <v>164</v>
      </c>
      <c r="D440" s="12">
        <v>50069426</v>
      </c>
      <c r="E440" s="1" t="s">
        <v>2357</v>
      </c>
      <c r="F440" s="1" t="str">
        <f>VLOOKUP(A440,[1]Sheet1!$A$2:$E$1141,5,0)</f>
        <v>Spv of Line 4 FM Field</v>
      </c>
      <c r="G440" s="17" t="str">
        <f>VLOOKUP(A440,[1]Sheet1!$A$2:$F$1141,6,0)</f>
        <v>Supervisor</v>
      </c>
      <c r="H440" s="1" t="s">
        <v>2089</v>
      </c>
      <c r="I440" s="1" t="s">
        <v>1117</v>
      </c>
      <c r="J440" s="1" t="str">
        <f>VLOOKUP(A440,[1]Sheet1!$A$2:$H$1141,8,0)</f>
        <v>Dept. of Clinker &amp; Cement Production</v>
      </c>
      <c r="K440" s="1" t="str">
        <f>VLOOKUP(A440,[1]Sheet1!$A$2:$I$1141,9,0)</f>
        <v>Unit of Cement Production</v>
      </c>
      <c r="L440" s="1" t="str">
        <f>VLOOKUP(A440,[1]Sheet1!$A$2:$J$1141,10,0)</f>
        <v>Section of Line 4 Finish Mill Operation</v>
      </c>
      <c r="M440" s="2">
        <v>26492</v>
      </c>
      <c r="N440" s="1" t="s">
        <v>29</v>
      </c>
      <c r="O440" s="1" t="s">
        <v>30</v>
      </c>
      <c r="P440" s="1" t="s">
        <v>2358</v>
      </c>
      <c r="Q440" s="1" t="s">
        <v>2359</v>
      </c>
      <c r="R440" s="1" t="s">
        <v>2344</v>
      </c>
      <c r="S440" s="1" t="s">
        <v>2093</v>
      </c>
      <c r="T440" s="14">
        <v>46966</v>
      </c>
      <c r="U440" s="1" t="s">
        <v>2360</v>
      </c>
      <c r="V440" s="1" t="s">
        <v>36</v>
      </c>
      <c r="W440" s="3" t="str">
        <f t="shared" si="6"/>
        <v>54 tahun</v>
      </c>
      <c r="X440" s="1" t="s">
        <v>356</v>
      </c>
      <c r="Y440" s="1" t="s">
        <v>56</v>
      </c>
      <c r="Z440" s="2">
        <v>37469</v>
      </c>
      <c r="AA440" s="2">
        <v>38718</v>
      </c>
      <c r="AB440" s="2" t="s">
        <v>84</v>
      </c>
    </row>
    <row r="441" spans="1:28" x14ac:dyDescent="0.35">
      <c r="A441" s="12">
        <v>5842</v>
      </c>
      <c r="B441" s="12">
        <v>8512009</v>
      </c>
      <c r="C441" s="12" t="s">
        <v>103</v>
      </c>
      <c r="D441" s="12">
        <v>50069431</v>
      </c>
      <c r="E441" s="1" t="s">
        <v>2361</v>
      </c>
      <c r="F441" s="1" t="str">
        <f>VLOOKUP(A441,[1]Sheet1!$A$2:$E$1141,5,0)</f>
        <v>Spv of Drier Trass Mill 4</v>
      </c>
      <c r="G441" s="17" t="str">
        <f>VLOOKUP(A441,[1]Sheet1!$A$2:$F$1141,6,0)</f>
        <v>Supervisor</v>
      </c>
      <c r="H441" s="1" t="s">
        <v>2089</v>
      </c>
      <c r="I441" s="1" t="s">
        <v>1117</v>
      </c>
      <c r="J441" s="1" t="str">
        <f>VLOOKUP(A441,[1]Sheet1!$A$2:$H$1141,8,0)</f>
        <v>Dept. of Clinker &amp; Cement Production</v>
      </c>
      <c r="K441" s="1" t="str">
        <f>VLOOKUP(A441,[1]Sheet1!$A$2:$I$1141,9,0)</f>
        <v>Unit of Cement Production</v>
      </c>
      <c r="L441" s="1" t="str">
        <f>VLOOKUP(A441,[1]Sheet1!$A$2:$J$1141,10,0)</f>
        <v>Section of Line 4 Finish Mill Operation</v>
      </c>
      <c r="M441" s="2">
        <v>31167</v>
      </c>
      <c r="N441" s="1" t="s">
        <v>29</v>
      </c>
      <c r="O441" s="1" t="s">
        <v>30</v>
      </c>
      <c r="P441" s="1" t="s">
        <v>2362</v>
      </c>
      <c r="Q441" s="1" t="s">
        <v>2363</v>
      </c>
      <c r="R441" s="1" t="s">
        <v>2364</v>
      </c>
      <c r="S441" s="1" t="s">
        <v>2093</v>
      </c>
      <c r="T441" s="14">
        <v>51622</v>
      </c>
      <c r="U441" s="1" t="s">
        <v>2365</v>
      </c>
      <c r="V441" s="1" t="s">
        <v>36</v>
      </c>
      <c r="W441" s="3" t="str">
        <f t="shared" si="6"/>
        <v>41 tahun</v>
      </c>
      <c r="X441" s="1" t="s">
        <v>55</v>
      </c>
      <c r="Y441" s="1" t="s">
        <v>56</v>
      </c>
      <c r="Z441" s="2">
        <v>41275</v>
      </c>
      <c r="AA441" s="2">
        <v>41456</v>
      </c>
      <c r="AB441" s="2" t="s">
        <v>2366</v>
      </c>
    </row>
    <row r="442" spans="1:28" x14ac:dyDescent="0.35">
      <c r="A442" s="12">
        <v>4755</v>
      </c>
      <c r="B442" s="12">
        <v>7102156</v>
      </c>
      <c r="C442" s="12" t="s">
        <v>164</v>
      </c>
      <c r="D442" s="12">
        <v>50069432</v>
      </c>
      <c r="E442" s="1" t="s">
        <v>2367</v>
      </c>
      <c r="F442" s="1" t="str">
        <f>VLOOKUP(A442,[1]Sheet1!$A$2:$E$1141,5,0)</f>
        <v>Spv of Drier Trass Mill 4</v>
      </c>
      <c r="G442" s="17" t="str">
        <f>VLOOKUP(A442,[1]Sheet1!$A$2:$F$1141,6,0)</f>
        <v>Supervisor</v>
      </c>
      <c r="H442" s="1" t="s">
        <v>2089</v>
      </c>
      <c r="I442" s="1" t="s">
        <v>1117</v>
      </c>
      <c r="J442" s="1" t="str">
        <f>VLOOKUP(A442,[1]Sheet1!$A$2:$H$1141,8,0)</f>
        <v>Dept. of Clinker &amp; Cement Production</v>
      </c>
      <c r="K442" s="1" t="str">
        <f>VLOOKUP(A442,[1]Sheet1!$A$2:$I$1141,9,0)</f>
        <v>Unit of Cement Production</v>
      </c>
      <c r="L442" s="1" t="str">
        <f>VLOOKUP(A442,[1]Sheet1!$A$2:$J$1141,10,0)</f>
        <v>Section of Line 4 Finish Mill Operation</v>
      </c>
      <c r="M442" s="2">
        <v>26011</v>
      </c>
      <c r="N442" s="1" t="s">
        <v>29</v>
      </c>
      <c r="O442" s="1" t="s">
        <v>30</v>
      </c>
      <c r="P442" s="1" t="s">
        <v>2368</v>
      </c>
      <c r="Q442" s="1" t="s">
        <v>2363</v>
      </c>
      <c r="R442" s="1" t="s">
        <v>2364</v>
      </c>
      <c r="S442" s="1" t="s">
        <v>2093</v>
      </c>
      <c r="T442" s="14">
        <v>46478</v>
      </c>
      <c r="U442" s="1" t="s">
        <v>2369</v>
      </c>
      <c r="V442" s="1" t="s">
        <v>36</v>
      </c>
      <c r="W442" s="3" t="str">
        <f t="shared" si="6"/>
        <v>55 tahun</v>
      </c>
      <c r="X442" s="1" t="s">
        <v>37</v>
      </c>
      <c r="Y442" s="1" t="s">
        <v>56</v>
      </c>
      <c r="Z442" s="2">
        <v>37469</v>
      </c>
      <c r="AA442" s="2">
        <v>38718</v>
      </c>
      <c r="AB442" s="2" t="s">
        <v>84</v>
      </c>
    </row>
    <row r="443" spans="1:28" x14ac:dyDescent="0.35">
      <c r="A443" s="12">
        <v>5837</v>
      </c>
      <c r="B443" s="12">
        <v>8512004</v>
      </c>
      <c r="C443" s="12" t="s">
        <v>103</v>
      </c>
      <c r="D443" s="12">
        <v>50069433</v>
      </c>
      <c r="E443" s="1" t="s">
        <v>2370</v>
      </c>
      <c r="F443" s="1" t="str">
        <f>VLOOKUP(A443,[1]Sheet1!$A$2:$E$1141,5,0)</f>
        <v>Spv of Drier Trass Mill 4</v>
      </c>
      <c r="G443" s="17" t="str">
        <f>VLOOKUP(A443,[1]Sheet1!$A$2:$F$1141,6,0)</f>
        <v>Supervisor</v>
      </c>
      <c r="H443" s="1" t="s">
        <v>2089</v>
      </c>
      <c r="I443" s="1" t="s">
        <v>1117</v>
      </c>
      <c r="J443" s="1" t="str">
        <f>VLOOKUP(A443,[1]Sheet1!$A$2:$H$1141,8,0)</f>
        <v>Dept. of Clinker &amp; Cement Production</v>
      </c>
      <c r="K443" s="1" t="str">
        <f>VLOOKUP(A443,[1]Sheet1!$A$2:$I$1141,9,0)</f>
        <v>Unit of Cement Production</v>
      </c>
      <c r="L443" s="1" t="str">
        <f>VLOOKUP(A443,[1]Sheet1!$A$2:$J$1141,10,0)</f>
        <v>Section of Line 4 Finish Mill Operation</v>
      </c>
      <c r="M443" s="2">
        <v>31139</v>
      </c>
      <c r="N443" s="1" t="s">
        <v>29</v>
      </c>
      <c r="O443" s="1" t="s">
        <v>30</v>
      </c>
      <c r="P443" s="1" t="s">
        <v>2371</v>
      </c>
      <c r="Q443" s="1" t="s">
        <v>2363</v>
      </c>
      <c r="R443" s="1" t="s">
        <v>2364</v>
      </c>
      <c r="S443" s="1" t="s">
        <v>2093</v>
      </c>
      <c r="T443" s="14">
        <v>51622</v>
      </c>
      <c r="U443" s="1" t="s">
        <v>2372</v>
      </c>
      <c r="V443" s="1" t="s">
        <v>36</v>
      </c>
      <c r="W443" s="3" t="str">
        <f t="shared" si="6"/>
        <v>41 tahun</v>
      </c>
      <c r="X443" s="1" t="s">
        <v>121</v>
      </c>
      <c r="Y443" s="1" t="s">
        <v>56</v>
      </c>
      <c r="Z443" s="2">
        <v>41275</v>
      </c>
      <c r="AA443" s="2">
        <v>41365</v>
      </c>
      <c r="AB443" s="2" t="e">
        <v>#N/A</v>
      </c>
    </row>
    <row r="444" spans="1:28" x14ac:dyDescent="0.35">
      <c r="A444" s="12">
        <v>6113</v>
      </c>
      <c r="B444" s="12">
        <v>9012282</v>
      </c>
      <c r="C444" s="12" t="s">
        <v>103</v>
      </c>
      <c r="D444" s="12">
        <v>50069434</v>
      </c>
      <c r="E444" s="1" t="s">
        <v>2373</v>
      </c>
      <c r="F444" s="1" t="str">
        <f>VLOOKUP(A444,[1]Sheet1!$A$2:$E$1141,5,0)</f>
        <v>Spv of Drier Trass Mill 4</v>
      </c>
      <c r="G444" s="17" t="str">
        <f>VLOOKUP(A444,[1]Sheet1!$A$2:$F$1141,6,0)</f>
        <v>Supervisor</v>
      </c>
      <c r="H444" s="1" t="s">
        <v>2089</v>
      </c>
      <c r="I444" s="1" t="s">
        <v>1117</v>
      </c>
      <c r="J444" s="1" t="str">
        <f>VLOOKUP(A444,[1]Sheet1!$A$2:$H$1141,8,0)</f>
        <v>Dept. of Clinker &amp; Cement Production</v>
      </c>
      <c r="K444" s="1" t="str">
        <f>VLOOKUP(A444,[1]Sheet1!$A$2:$I$1141,9,0)</f>
        <v>Unit of Cement Production</v>
      </c>
      <c r="L444" s="1" t="str">
        <f>VLOOKUP(A444,[1]Sheet1!$A$2:$J$1141,10,0)</f>
        <v>Section of Line 4 Finish Mill Operation</v>
      </c>
      <c r="M444" s="2">
        <v>33094</v>
      </c>
      <c r="N444" s="1" t="s">
        <v>29</v>
      </c>
      <c r="O444" s="1" t="s">
        <v>30</v>
      </c>
      <c r="P444" s="1" t="s">
        <v>2374</v>
      </c>
      <c r="Q444" s="1" t="s">
        <v>2363</v>
      </c>
      <c r="R444" s="1" t="s">
        <v>2364</v>
      </c>
      <c r="S444" s="1" t="s">
        <v>2093</v>
      </c>
      <c r="T444" s="14">
        <v>53571</v>
      </c>
      <c r="U444" s="1" t="s">
        <v>2375</v>
      </c>
      <c r="V444" s="1" t="s">
        <v>36</v>
      </c>
      <c r="W444" s="3" t="str">
        <f t="shared" si="6"/>
        <v>36 tahun</v>
      </c>
      <c r="X444" s="1" t="s">
        <v>2023</v>
      </c>
      <c r="Y444" s="1" t="s">
        <v>56</v>
      </c>
      <c r="Z444" s="2">
        <v>41275</v>
      </c>
      <c r="AA444" s="2">
        <v>41395</v>
      </c>
      <c r="AB444" s="2" t="s">
        <v>2376</v>
      </c>
    </row>
    <row r="445" spans="1:28" x14ac:dyDescent="0.35">
      <c r="A445" s="12">
        <v>5373</v>
      </c>
      <c r="B445" s="12">
        <v>8610070</v>
      </c>
      <c r="C445" s="12" t="s">
        <v>139</v>
      </c>
      <c r="D445" s="12">
        <v>50053929</v>
      </c>
      <c r="E445" s="16" t="s">
        <v>2377</v>
      </c>
      <c r="F445" s="1" t="str">
        <f>VLOOKUP(A445,[1]Sheet1!$A$2:$E$1141,5,0)</f>
        <v>Mgr of Line 5 FM Operation</v>
      </c>
      <c r="G445" s="16" t="str">
        <f>VLOOKUP(A445,[1]Sheet1!$A$2:$F$1141,6,0)</f>
        <v>Manager</v>
      </c>
      <c r="H445" s="1" t="s">
        <v>2089</v>
      </c>
      <c r="I445" s="1" t="s">
        <v>1117</v>
      </c>
      <c r="J445" s="1" t="str">
        <f>VLOOKUP(A445,[1]Sheet1!$A$2:$H$1141,8,0)</f>
        <v>Dept. of Clinker &amp; Cement Production</v>
      </c>
      <c r="K445" s="1" t="str">
        <f>VLOOKUP(A445,[1]Sheet1!$A$2:$I$1141,9,0)</f>
        <v>Unit of Cement Production</v>
      </c>
      <c r="L445" s="1" t="str">
        <f>VLOOKUP(A445,[1]Sheet1!$A$2:$J$1141,10,0)</f>
        <v>Section of Line 5 Finish Mill Operation</v>
      </c>
      <c r="M445" s="2">
        <v>31615</v>
      </c>
      <c r="N445" s="1" t="s">
        <v>29</v>
      </c>
      <c r="O445" s="1" t="s">
        <v>30</v>
      </c>
      <c r="P445" s="1" t="s">
        <v>2378</v>
      </c>
      <c r="Q445" s="1" t="s">
        <v>2379</v>
      </c>
      <c r="R445" s="1" t="s">
        <v>2380</v>
      </c>
      <c r="S445" s="1" t="s">
        <v>2093</v>
      </c>
      <c r="T445" s="14">
        <v>52079</v>
      </c>
      <c r="U445" s="1" t="s">
        <v>2381</v>
      </c>
      <c r="V445" s="1" t="s">
        <v>36</v>
      </c>
      <c r="W445" s="3" t="str">
        <f t="shared" si="6"/>
        <v>40 tahun</v>
      </c>
      <c r="X445" s="1" t="s">
        <v>55</v>
      </c>
      <c r="Y445" s="1" t="s">
        <v>48</v>
      </c>
      <c r="Z445" s="2">
        <v>40544</v>
      </c>
      <c r="AA445" s="2">
        <v>40725</v>
      </c>
      <c r="AB445" s="2" t="s">
        <v>2382</v>
      </c>
    </row>
    <row r="446" spans="1:28" x14ac:dyDescent="0.35">
      <c r="A446" s="12">
        <v>6115</v>
      </c>
      <c r="B446" s="12">
        <v>9012284</v>
      </c>
      <c r="C446" s="12" t="s">
        <v>103</v>
      </c>
      <c r="D446" s="12">
        <v>50055790</v>
      </c>
      <c r="E446" s="1" t="s">
        <v>2383</v>
      </c>
      <c r="F446" s="1" t="str">
        <f>VLOOKUP(A446,[1]Sheet1!$A$2:$E$1141,5,0)</f>
        <v>Line 5 CCR FM Jr Officer</v>
      </c>
      <c r="G446" s="17" t="str">
        <f>VLOOKUP(A446,[1]Sheet1!$A$2:$F$1141,6,0)</f>
        <v>Supervisor</v>
      </c>
      <c r="H446" s="1" t="s">
        <v>2089</v>
      </c>
      <c r="I446" s="1" t="s">
        <v>1117</v>
      </c>
      <c r="J446" s="1" t="str">
        <f>VLOOKUP(A446,[1]Sheet1!$A$2:$H$1141,8,0)</f>
        <v>Dept. of Clinker &amp; Cement Production</v>
      </c>
      <c r="K446" s="1" t="str">
        <f>VLOOKUP(A446,[1]Sheet1!$A$2:$I$1141,9,0)</f>
        <v>Unit of Cement Production</v>
      </c>
      <c r="L446" s="1" t="str">
        <f>VLOOKUP(A446,[1]Sheet1!$A$2:$J$1141,10,0)</f>
        <v>Section of Line 5 Finish Mill Operation</v>
      </c>
      <c r="M446" s="2">
        <v>33112</v>
      </c>
      <c r="N446" s="1" t="s">
        <v>29</v>
      </c>
      <c r="O446" s="1" t="s">
        <v>30</v>
      </c>
      <c r="P446" s="1" t="s">
        <v>2384</v>
      </c>
      <c r="Q446" s="1" t="s">
        <v>2385</v>
      </c>
      <c r="R446" s="1" t="s">
        <v>2386</v>
      </c>
      <c r="S446" s="1" t="s">
        <v>2093</v>
      </c>
      <c r="T446" s="14">
        <v>53571</v>
      </c>
      <c r="U446" s="1" t="s">
        <v>2387</v>
      </c>
      <c r="V446" s="1" t="s">
        <v>36</v>
      </c>
      <c r="W446" s="3" t="str">
        <f t="shared" si="6"/>
        <v>36 tahun</v>
      </c>
      <c r="X446" s="1" t="s">
        <v>2388</v>
      </c>
      <c r="Y446" s="1" t="s">
        <v>56</v>
      </c>
      <c r="Z446" s="2">
        <v>41275</v>
      </c>
      <c r="AA446" s="2">
        <v>41395</v>
      </c>
      <c r="AB446" s="2" t="s">
        <v>2389</v>
      </c>
    </row>
    <row r="447" spans="1:28" x14ac:dyDescent="0.35">
      <c r="A447" s="12">
        <v>6069</v>
      </c>
      <c r="B447" s="12">
        <v>9012236</v>
      </c>
      <c r="C447" s="12" t="s">
        <v>103</v>
      </c>
      <c r="D447" s="12">
        <v>50055832</v>
      </c>
      <c r="E447" s="1" t="s">
        <v>2390</v>
      </c>
      <c r="F447" s="1" t="str">
        <f>VLOOKUP(A447,[1]Sheet1!$A$2:$E$1141,5,0)</f>
        <v>Line 5 CCR FM Jr Officer</v>
      </c>
      <c r="G447" s="17" t="str">
        <f>VLOOKUP(A447,[1]Sheet1!$A$2:$F$1141,6,0)</f>
        <v>Supervisor</v>
      </c>
      <c r="H447" s="1" t="s">
        <v>2089</v>
      </c>
      <c r="I447" s="1" t="s">
        <v>1117</v>
      </c>
      <c r="J447" s="1" t="str">
        <f>VLOOKUP(A447,[1]Sheet1!$A$2:$H$1141,8,0)</f>
        <v>Dept. of Clinker &amp; Cement Production</v>
      </c>
      <c r="K447" s="1" t="str">
        <f>VLOOKUP(A447,[1]Sheet1!$A$2:$I$1141,9,0)</f>
        <v>Unit of Cement Production</v>
      </c>
      <c r="L447" s="1" t="str">
        <f>VLOOKUP(A447,[1]Sheet1!$A$2:$J$1141,10,0)</f>
        <v>Section of Line 5 Finish Mill Operation</v>
      </c>
      <c r="M447" s="2">
        <v>32893</v>
      </c>
      <c r="N447" s="1" t="s">
        <v>29</v>
      </c>
      <c r="O447" s="1" t="s">
        <v>30</v>
      </c>
      <c r="P447" s="1" t="s">
        <v>2391</v>
      </c>
      <c r="Q447" s="1" t="s">
        <v>2385</v>
      </c>
      <c r="R447" s="1" t="s">
        <v>2386</v>
      </c>
      <c r="S447" s="1" t="s">
        <v>2093</v>
      </c>
      <c r="T447" s="14">
        <v>53359</v>
      </c>
      <c r="U447" s="1" t="s">
        <v>2392</v>
      </c>
      <c r="V447" s="1" t="s">
        <v>36</v>
      </c>
      <c r="W447" s="3" t="str">
        <f t="shared" si="6"/>
        <v>36 tahun</v>
      </c>
      <c r="X447" s="1" t="s">
        <v>204</v>
      </c>
      <c r="Y447" s="1" t="s">
        <v>48</v>
      </c>
      <c r="Z447" s="2">
        <v>41275</v>
      </c>
      <c r="AA447" s="2">
        <v>41395</v>
      </c>
      <c r="AB447" s="2" t="s">
        <v>2393</v>
      </c>
    </row>
    <row r="448" spans="1:28" x14ac:dyDescent="0.35">
      <c r="A448" s="12">
        <v>6058</v>
      </c>
      <c r="B448" s="12">
        <v>8912226</v>
      </c>
      <c r="C448" s="12" t="s">
        <v>103</v>
      </c>
      <c r="D448" s="12">
        <v>50055833</v>
      </c>
      <c r="E448" s="1" t="s">
        <v>2394</v>
      </c>
      <c r="F448" s="1" t="str">
        <f>VLOOKUP(A448,[1]Sheet1!$A$2:$E$1141,5,0)</f>
        <v>Line 5 CCR FM Jr Officer</v>
      </c>
      <c r="G448" s="17" t="str">
        <f>VLOOKUP(A448,[1]Sheet1!$A$2:$F$1141,6,0)</f>
        <v>Supervisor</v>
      </c>
      <c r="H448" s="1" t="s">
        <v>2089</v>
      </c>
      <c r="I448" s="1" t="s">
        <v>1117</v>
      </c>
      <c r="J448" s="1" t="str">
        <f>VLOOKUP(A448,[1]Sheet1!$A$2:$H$1141,8,0)</f>
        <v>Dept. of Clinker &amp; Cement Production</v>
      </c>
      <c r="K448" s="1" t="str">
        <f>VLOOKUP(A448,[1]Sheet1!$A$2:$I$1141,9,0)</f>
        <v>Unit of Cement Production</v>
      </c>
      <c r="L448" s="1" t="str">
        <f>VLOOKUP(A448,[1]Sheet1!$A$2:$J$1141,10,0)</f>
        <v>Section of Line 5 Finish Mill Operation</v>
      </c>
      <c r="M448" s="2">
        <v>32806</v>
      </c>
      <c r="N448" s="1" t="s">
        <v>29</v>
      </c>
      <c r="O448" s="1" t="s">
        <v>30</v>
      </c>
      <c r="P448" s="1" t="s">
        <v>2395</v>
      </c>
      <c r="Q448" s="1" t="s">
        <v>2385</v>
      </c>
      <c r="R448" s="1" t="s">
        <v>2386</v>
      </c>
      <c r="S448" s="1" t="s">
        <v>2093</v>
      </c>
      <c r="T448" s="14">
        <v>53267</v>
      </c>
      <c r="U448" s="1" t="s">
        <v>2396</v>
      </c>
      <c r="V448" s="1" t="s">
        <v>36</v>
      </c>
      <c r="W448" s="3" t="str">
        <f t="shared" si="6"/>
        <v>36 tahun</v>
      </c>
      <c r="X448" s="1" t="s">
        <v>121</v>
      </c>
      <c r="Y448" s="1" t="s">
        <v>56</v>
      </c>
      <c r="Z448" s="2">
        <v>41275</v>
      </c>
      <c r="AA448" s="2">
        <v>41395</v>
      </c>
      <c r="AB448" s="2" t="s">
        <v>2397</v>
      </c>
    </row>
    <row r="449" spans="1:28" x14ac:dyDescent="0.35">
      <c r="A449" s="12">
        <v>6224</v>
      </c>
      <c r="B449" s="12">
        <v>9112390</v>
      </c>
      <c r="C449" s="12" t="s">
        <v>103</v>
      </c>
      <c r="D449" s="12">
        <v>50066499</v>
      </c>
      <c r="E449" s="1" t="s">
        <v>2398</v>
      </c>
      <c r="F449" s="1" t="str">
        <f>VLOOKUP(A449,[1]Sheet1!$A$2:$E$1141,5,0)</f>
        <v>Line 5 CCR FM Jr Officer</v>
      </c>
      <c r="G449" s="17" t="str">
        <f>VLOOKUP(A449,[1]Sheet1!$A$2:$F$1141,6,0)</f>
        <v>Supervisor</v>
      </c>
      <c r="H449" s="1" t="s">
        <v>2089</v>
      </c>
      <c r="I449" s="1" t="s">
        <v>1117</v>
      </c>
      <c r="J449" s="1" t="str">
        <f>VLOOKUP(A449,[1]Sheet1!$A$2:$H$1141,8,0)</f>
        <v>Dept. of Clinker &amp; Cement Production</v>
      </c>
      <c r="K449" s="1" t="str">
        <f>VLOOKUP(A449,[1]Sheet1!$A$2:$I$1141,9,0)</f>
        <v>Unit of Cement Production</v>
      </c>
      <c r="L449" s="1" t="str">
        <f>VLOOKUP(A449,[1]Sheet1!$A$2:$J$1141,10,0)</f>
        <v>Section of Line 5 Finish Mill Operation</v>
      </c>
      <c r="M449" s="2">
        <v>33588</v>
      </c>
      <c r="N449" s="1" t="s">
        <v>29</v>
      </c>
      <c r="O449" s="1" t="s">
        <v>30</v>
      </c>
      <c r="P449" s="1" t="s">
        <v>2399</v>
      </c>
      <c r="Q449" s="1" t="s">
        <v>2385</v>
      </c>
      <c r="R449" s="1" t="s">
        <v>2386</v>
      </c>
      <c r="S449" s="1" t="s">
        <v>2093</v>
      </c>
      <c r="T449" s="14">
        <v>54058</v>
      </c>
      <c r="U449" s="1" t="s">
        <v>2400</v>
      </c>
      <c r="V449" s="1" t="s">
        <v>36</v>
      </c>
      <c r="W449" s="3" t="str">
        <f t="shared" si="6"/>
        <v>34 tahun</v>
      </c>
      <c r="X449" s="1" t="s">
        <v>121</v>
      </c>
      <c r="Y449" s="1" t="s">
        <v>56</v>
      </c>
      <c r="Z449" s="2">
        <v>41275</v>
      </c>
      <c r="AA449" s="2">
        <v>41426</v>
      </c>
      <c r="AB449" s="2" t="s">
        <v>2401</v>
      </c>
    </row>
    <row r="450" spans="1:28" x14ac:dyDescent="0.35">
      <c r="A450" s="12">
        <v>5889</v>
      </c>
      <c r="B450" s="12">
        <v>8612056</v>
      </c>
      <c r="C450" s="12" t="s">
        <v>103</v>
      </c>
      <c r="D450" s="12">
        <v>50054004</v>
      </c>
      <c r="E450" s="1" t="s">
        <v>792</v>
      </c>
      <c r="F450" s="1" t="str">
        <f>VLOOKUP(A450,[1]Sheet1!$A$2:$E$1141,5,0)</f>
        <v>Spv of Line 5 FM Field</v>
      </c>
      <c r="G450" s="17" t="str">
        <f>VLOOKUP(A450,[1]Sheet1!$A$2:$F$1141,6,0)</f>
        <v>Supervisor</v>
      </c>
      <c r="H450" s="1" t="s">
        <v>2089</v>
      </c>
      <c r="I450" s="1" t="s">
        <v>1117</v>
      </c>
      <c r="J450" s="1" t="str">
        <f>VLOOKUP(A450,[1]Sheet1!$A$2:$H$1141,8,0)</f>
        <v>Dept. of Clinker &amp; Cement Production</v>
      </c>
      <c r="K450" s="1" t="str">
        <f>VLOOKUP(A450,[1]Sheet1!$A$2:$I$1141,9,0)</f>
        <v>Unit of Cement Production</v>
      </c>
      <c r="L450" s="1" t="str">
        <f>VLOOKUP(A450,[1]Sheet1!$A$2:$J$1141,10,0)</f>
        <v>Section of Line 5 Finish Mill Operation</v>
      </c>
      <c r="M450" s="2">
        <v>31694</v>
      </c>
      <c r="N450" s="1" t="s">
        <v>29</v>
      </c>
      <c r="O450" s="1" t="s">
        <v>30</v>
      </c>
      <c r="P450" s="1" t="s">
        <v>2402</v>
      </c>
      <c r="Q450" s="1" t="s">
        <v>2403</v>
      </c>
      <c r="R450" s="1" t="s">
        <v>2404</v>
      </c>
      <c r="S450" s="1" t="s">
        <v>2093</v>
      </c>
      <c r="T450" s="14">
        <v>52171</v>
      </c>
      <c r="U450" s="1" t="s">
        <v>2405</v>
      </c>
      <c r="V450" s="1" t="s">
        <v>36</v>
      </c>
      <c r="W450" s="3" t="str">
        <f t="shared" si="6"/>
        <v>39 tahun</v>
      </c>
      <c r="X450" s="1" t="s">
        <v>112</v>
      </c>
      <c r="Y450" s="1" t="s">
        <v>56</v>
      </c>
      <c r="Z450" s="2">
        <v>41275</v>
      </c>
      <c r="AA450" s="2">
        <v>41426</v>
      </c>
      <c r="AB450" s="2" t="s">
        <v>2406</v>
      </c>
    </row>
    <row r="451" spans="1:28" x14ac:dyDescent="0.35">
      <c r="A451" s="12">
        <v>4764</v>
      </c>
      <c r="B451" s="12">
        <v>7206349</v>
      </c>
      <c r="C451" s="12" t="s">
        <v>219</v>
      </c>
      <c r="D451" s="12">
        <v>50054009</v>
      </c>
      <c r="E451" s="1" t="s">
        <v>2407</v>
      </c>
      <c r="F451" s="1" t="str">
        <f>VLOOKUP(A451,[1]Sheet1!$A$2:$E$1141,5,0)</f>
        <v>Spv of Line 5 FM Field</v>
      </c>
      <c r="G451" s="17" t="str">
        <f>VLOOKUP(A451,[1]Sheet1!$A$2:$F$1141,6,0)</f>
        <v>Supervisor</v>
      </c>
      <c r="H451" s="1" t="s">
        <v>2089</v>
      </c>
      <c r="I451" s="1" t="s">
        <v>1117</v>
      </c>
      <c r="J451" s="1" t="str">
        <f>VLOOKUP(A451,[1]Sheet1!$A$2:$H$1141,8,0)</f>
        <v>Dept. of Clinker &amp; Cement Production</v>
      </c>
      <c r="K451" s="1" t="str">
        <f>VLOOKUP(A451,[1]Sheet1!$A$2:$I$1141,9,0)</f>
        <v>Unit of Cement Production</v>
      </c>
      <c r="L451" s="1" t="str">
        <f>VLOOKUP(A451,[1]Sheet1!$A$2:$J$1141,10,0)</f>
        <v>Section of Line 5 Finish Mill Operation</v>
      </c>
      <c r="M451" s="2">
        <v>26421</v>
      </c>
      <c r="N451" s="1" t="s">
        <v>29</v>
      </c>
      <c r="O451" s="1" t="s">
        <v>30</v>
      </c>
      <c r="P451" s="1" t="s">
        <v>2408</v>
      </c>
      <c r="Q451" s="1" t="s">
        <v>2409</v>
      </c>
      <c r="R451" s="1" t="s">
        <v>2404</v>
      </c>
      <c r="S451" s="1" t="s">
        <v>2093</v>
      </c>
      <c r="T451" s="14">
        <v>46905</v>
      </c>
      <c r="U451" s="1" t="s">
        <v>2410</v>
      </c>
      <c r="V451" s="1" t="s">
        <v>36</v>
      </c>
      <c r="W451" s="3" t="str">
        <f t="shared" ref="W451:W514" si="7">DATEDIF(M451,$W$1,"Y")&amp;" "&amp;"tahun"</f>
        <v>54 tahun</v>
      </c>
      <c r="X451" s="1" t="s">
        <v>356</v>
      </c>
      <c r="Y451" s="1" t="s">
        <v>56</v>
      </c>
      <c r="Z451" s="2">
        <v>38718</v>
      </c>
      <c r="AA451" s="2">
        <v>41030</v>
      </c>
      <c r="AB451" s="2" t="s">
        <v>2411</v>
      </c>
    </row>
    <row r="452" spans="1:28" x14ac:dyDescent="0.35">
      <c r="A452" s="12">
        <v>4753</v>
      </c>
      <c r="B452" s="12">
        <v>7102154</v>
      </c>
      <c r="C452" s="12" t="s">
        <v>164</v>
      </c>
      <c r="D452" s="12">
        <v>50054014</v>
      </c>
      <c r="E452" s="1" t="s">
        <v>2412</v>
      </c>
      <c r="F452" s="1" t="str">
        <f>VLOOKUP(A452,[1]Sheet1!$A$2:$E$1141,5,0)</f>
        <v>Spv of Line 5 FM Field</v>
      </c>
      <c r="G452" s="17" t="str">
        <f>VLOOKUP(A452,[1]Sheet1!$A$2:$F$1141,6,0)</f>
        <v>Supervisor</v>
      </c>
      <c r="H452" s="1" t="s">
        <v>2089</v>
      </c>
      <c r="I452" s="1" t="s">
        <v>1117</v>
      </c>
      <c r="J452" s="1" t="str">
        <f>VLOOKUP(A452,[1]Sheet1!$A$2:$H$1141,8,0)</f>
        <v>Dept. of Clinker &amp; Cement Production</v>
      </c>
      <c r="K452" s="1" t="str">
        <f>VLOOKUP(A452,[1]Sheet1!$A$2:$I$1141,9,0)</f>
        <v>Unit of Cement Production</v>
      </c>
      <c r="L452" s="1" t="str">
        <f>VLOOKUP(A452,[1]Sheet1!$A$2:$J$1141,10,0)</f>
        <v>Section of Line 5 Finish Mill Operation</v>
      </c>
      <c r="M452" s="2">
        <v>26000</v>
      </c>
      <c r="N452" s="1" t="s">
        <v>29</v>
      </c>
      <c r="O452" s="1" t="s">
        <v>30</v>
      </c>
      <c r="P452" s="1" t="s">
        <v>2413</v>
      </c>
      <c r="Q452" s="1" t="s">
        <v>2414</v>
      </c>
      <c r="R452" s="1" t="s">
        <v>2404</v>
      </c>
      <c r="S452" s="1" t="s">
        <v>2093</v>
      </c>
      <c r="T452" s="14">
        <v>46478</v>
      </c>
      <c r="U452" s="1" t="s">
        <v>2415</v>
      </c>
      <c r="V452" s="1" t="s">
        <v>36</v>
      </c>
      <c r="W452" s="3" t="str">
        <f t="shared" si="7"/>
        <v>55 tahun</v>
      </c>
      <c r="X452" s="1" t="s">
        <v>248</v>
      </c>
      <c r="Y452" s="1" t="s">
        <v>56</v>
      </c>
      <c r="Z452" s="2">
        <v>37469</v>
      </c>
      <c r="AA452" s="2">
        <v>38718</v>
      </c>
      <c r="AB452" s="2" t="s">
        <v>2416</v>
      </c>
    </row>
    <row r="453" spans="1:28" x14ac:dyDescent="0.35">
      <c r="A453" s="12">
        <v>5897</v>
      </c>
      <c r="B453" s="12">
        <v>8612064</v>
      </c>
      <c r="C453" s="12" t="s">
        <v>103</v>
      </c>
      <c r="D453" s="12">
        <v>50054019</v>
      </c>
      <c r="E453" s="1" t="s">
        <v>2417</v>
      </c>
      <c r="F453" s="1" t="str">
        <f>VLOOKUP(A453,[1]Sheet1!$A$2:$E$1141,5,0)</f>
        <v>Spv of Line 5 FM Field</v>
      </c>
      <c r="G453" s="17" t="str">
        <f>VLOOKUP(A453,[1]Sheet1!$A$2:$F$1141,6,0)</f>
        <v>Supervisor</v>
      </c>
      <c r="H453" s="1" t="s">
        <v>2089</v>
      </c>
      <c r="I453" s="1" t="s">
        <v>1117</v>
      </c>
      <c r="J453" s="1" t="str">
        <f>VLOOKUP(A453,[1]Sheet1!$A$2:$H$1141,8,0)</f>
        <v>Dept. of Clinker &amp; Cement Production</v>
      </c>
      <c r="K453" s="1" t="str">
        <f>VLOOKUP(A453,[1]Sheet1!$A$2:$I$1141,9,0)</f>
        <v>Unit of Cement Production</v>
      </c>
      <c r="L453" s="1" t="str">
        <f>VLOOKUP(A453,[1]Sheet1!$A$2:$J$1141,10,0)</f>
        <v>Section of Line 5 Finish Mill Operation</v>
      </c>
      <c r="M453" s="2">
        <v>31754</v>
      </c>
      <c r="N453" s="1" t="s">
        <v>29</v>
      </c>
      <c r="O453" s="1" t="s">
        <v>30</v>
      </c>
      <c r="P453" s="1" t="s">
        <v>2418</v>
      </c>
      <c r="Q453" s="1" t="s">
        <v>2419</v>
      </c>
      <c r="R453" s="1" t="s">
        <v>2404</v>
      </c>
      <c r="S453" s="1" t="s">
        <v>2093</v>
      </c>
      <c r="T453" s="14">
        <v>52232</v>
      </c>
      <c r="U453" s="1" t="s">
        <v>2420</v>
      </c>
      <c r="V453" s="1" t="s">
        <v>186</v>
      </c>
      <c r="W453" s="3" t="str">
        <f t="shared" si="7"/>
        <v>39 tahun</v>
      </c>
      <c r="X453" s="1" t="s">
        <v>2060</v>
      </c>
      <c r="Y453" s="1" t="s">
        <v>56</v>
      </c>
      <c r="Z453" s="2">
        <v>41275</v>
      </c>
      <c r="AA453" s="2">
        <v>41395</v>
      </c>
      <c r="AB453" s="2" t="s">
        <v>2421</v>
      </c>
    </row>
    <row r="454" spans="1:28" x14ac:dyDescent="0.35">
      <c r="A454" s="12">
        <v>6218</v>
      </c>
      <c r="B454" s="12">
        <v>9112384</v>
      </c>
      <c r="C454" s="12" t="s">
        <v>103</v>
      </c>
      <c r="D454" s="12">
        <v>50069438</v>
      </c>
      <c r="E454" s="1" t="s">
        <v>2422</v>
      </c>
      <c r="F454" s="1" t="str">
        <f>VLOOKUP(A454,[1]Sheet1!$A$2:$E$1141,5,0)</f>
        <v>Autonomous Finish Mill Jr officer</v>
      </c>
      <c r="G454" s="17" t="str">
        <f>VLOOKUP(A454,[1]Sheet1!$A$2:$F$1141,6,0)</f>
        <v>Supervisor</v>
      </c>
      <c r="H454" s="1" t="s">
        <v>2089</v>
      </c>
      <c r="I454" s="1" t="s">
        <v>1117</v>
      </c>
      <c r="J454" s="1" t="str">
        <f>VLOOKUP(A454,[1]Sheet1!$A$2:$H$1141,8,0)</f>
        <v>Dept. of Clinker &amp; Cement Production</v>
      </c>
      <c r="K454" s="1" t="str">
        <f>VLOOKUP(A454,[1]Sheet1!$A$2:$I$1141,9,0)</f>
        <v>Unit of Cement Production</v>
      </c>
      <c r="L454" s="1" t="str">
        <f>VLOOKUP(A454,[1]Sheet1!$A$2:$J$1141,10,0)</f>
        <v>Section of Cement Production Coach</v>
      </c>
      <c r="M454" s="2">
        <v>33540</v>
      </c>
      <c r="N454" s="1" t="s">
        <v>29</v>
      </c>
      <c r="O454" s="1" t="s">
        <v>30</v>
      </c>
      <c r="P454" s="1" t="s">
        <v>2423</v>
      </c>
      <c r="Q454" s="1" t="s">
        <v>2424</v>
      </c>
      <c r="R454" s="1" t="s">
        <v>2425</v>
      </c>
      <c r="S454" s="1" t="s">
        <v>2093</v>
      </c>
      <c r="T454" s="14">
        <v>53997</v>
      </c>
      <c r="U454" s="1" t="s">
        <v>2426</v>
      </c>
      <c r="V454" s="1" t="s">
        <v>36</v>
      </c>
      <c r="W454" s="3" t="str">
        <f t="shared" si="7"/>
        <v>34 tahun</v>
      </c>
      <c r="X454" s="1" t="s">
        <v>121</v>
      </c>
      <c r="Y454" s="1" t="s">
        <v>56</v>
      </c>
      <c r="Z454" s="2">
        <v>41275</v>
      </c>
      <c r="AA454" s="2">
        <v>41426</v>
      </c>
      <c r="AB454" s="2" t="s">
        <v>2427</v>
      </c>
    </row>
    <row r="455" spans="1:28" x14ac:dyDescent="0.35">
      <c r="A455" s="12">
        <v>5132</v>
      </c>
      <c r="B455" s="12">
        <v>7595056</v>
      </c>
      <c r="C455" s="12" t="s">
        <v>50</v>
      </c>
      <c r="D455" s="12">
        <v>50069439</v>
      </c>
      <c r="E455" s="1" t="s">
        <v>2428</v>
      </c>
      <c r="F455" s="1" t="str">
        <f>VLOOKUP(A455,[1]Sheet1!$A$2:$E$1141,5,0)</f>
        <v>Autonomous Finish Mill Jr officer</v>
      </c>
      <c r="G455" s="17" t="str">
        <f>VLOOKUP(A455,[1]Sheet1!$A$2:$F$1141,6,0)</f>
        <v>Supervisor</v>
      </c>
      <c r="H455" s="1" t="s">
        <v>2089</v>
      </c>
      <c r="I455" s="1" t="s">
        <v>1117</v>
      </c>
      <c r="J455" s="1" t="str">
        <f>VLOOKUP(A455,[1]Sheet1!$A$2:$H$1141,8,0)</f>
        <v>Dept. of Clinker &amp; Cement Production</v>
      </c>
      <c r="K455" s="1" t="str">
        <f>VLOOKUP(A455,[1]Sheet1!$A$2:$I$1141,9,0)</f>
        <v>Unit of Cement Production</v>
      </c>
      <c r="L455" s="1" t="str">
        <f>VLOOKUP(A455,[1]Sheet1!$A$2:$J$1141,10,0)</f>
        <v>Section of Cement Production Coach</v>
      </c>
      <c r="M455" s="2">
        <v>27529</v>
      </c>
      <c r="N455" s="1" t="s">
        <v>29</v>
      </c>
      <c r="O455" s="1" t="s">
        <v>30</v>
      </c>
      <c r="P455" s="1" t="s">
        <v>2429</v>
      </c>
      <c r="Q455" s="1" t="s">
        <v>2424</v>
      </c>
      <c r="R455" s="1" t="s">
        <v>2425</v>
      </c>
      <c r="S455" s="1" t="s">
        <v>2093</v>
      </c>
      <c r="T455" s="14">
        <v>48000</v>
      </c>
      <c r="U455" s="1" t="s">
        <v>2430</v>
      </c>
      <c r="V455" s="1" t="s">
        <v>36</v>
      </c>
      <c r="W455" s="3" t="str">
        <f t="shared" si="7"/>
        <v>51 tahun</v>
      </c>
      <c r="X455" s="1" t="s">
        <v>1151</v>
      </c>
      <c r="Y455" s="1" t="s">
        <v>56</v>
      </c>
      <c r="Z455" s="2">
        <v>34897</v>
      </c>
      <c r="AA455" s="2">
        <v>35278</v>
      </c>
      <c r="AB455" s="2" t="s">
        <v>84</v>
      </c>
    </row>
    <row r="456" spans="1:28" x14ac:dyDescent="0.35">
      <c r="A456" s="12">
        <v>6149</v>
      </c>
      <c r="B456" s="12">
        <v>9012318</v>
      </c>
      <c r="C456" s="12" t="s">
        <v>103</v>
      </c>
      <c r="D456" s="12">
        <v>50069440</v>
      </c>
      <c r="E456" s="1" t="s">
        <v>2431</v>
      </c>
      <c r="F456" s="1" t="str">
        <f>VLOOKUP(A456,[1]Sheet1!$A$2:$E$1141,5,0)</f>
        <v>Autonomous Finish Mill Jr officer</v>
      </c>
      <c r="G456" s="17" t="str">
        <f>VLOOKUP(A456,[1]Sheet1!$A$2:$F$1141,6,0)</f>
        <v>Supervisor</v>
      </c>
      <c r="H456" s="1" t="s">
        <v>2089</v>
      </c>
      <c r="I456" s="1" t="s">
        <v>1117</v>
      </c>
      <c r="J456" s="1" t="str">
        <f>VLOOKUP(A456,[1]Sheet1!$A$2:$H$1141,8,0)</f>
        <v>Dept. of Clinker &amp; Cement Production</v>
      </c>
      <c r="K456" s="1" t="str">
        <f>VLOOKUP(A456,[1]Sheet1!$A$2:$I$1141,9,0)</f>
        <v>Unit of Cement Production</v>
      </c>
      <c r="L456" s="1" t="str">
        <f>VLOOKUP(A456,[1]Sheet1!$A$2:$J$1141,10,0)</f>
        <v>Section of Cement Production Coach</v>
      </c>
      <c r="M456" s="2">
        <v>33236</v>
      </c>
      <c r="N456" s="1" t="s">
        <v>29</v>
      </c>
      <c r="O456" s="1" t="s">
        <v>30</v>
      </c>
      <c r="P456" s="1" t="s">
        <v>2432</v>
      </c>
      <c r="Q456" s="1" t="s">
        <v>2424</v>
      </c>
      <c r="R456" s="1" t="s">
        <v>2425</v>
      </c>
      <c r="S456" s="1" t="s">
        <v>2093</v>
      </c>
      <c r="T456" s="14">
        <v>53693</v>
      </c>
      <c r="U456" s="1" t="s">
        <v>2433</v>
      </c>
      <c r="V456" s="1" t="s">
        <v>36</v>
      </c>
      <c r="W456" s="3" t="str">
        <f t="shared" si="7"/>
        <v>35 tahun</v>
      </c>
      <c r="X456" s="1" t="s">
        <v>807</v>
      </c>
      <c r="Y456" s="1" t="s">
        <v>56</v>
      </c>
      <c r="Z456" s="2">
        <v>41365</v>
      </c>
      <c r="AA456" s="2">
        <v>41730</v>
      </c>
      <c r="AB456" s="2" t="s">
        <v>2434</v>
      </c>
    </row>
    <row r="457" spans="1:28" x14ac:dyDescent="0.35">
      <c r="A457" s="12">
        <v>5965</v>
      </c>
      <c r="B457" s="12">
        <v>8812133</v>
      </c>
      <c r="C457" s="12" t="s">
        <v>103</v>
      </c>
      <c r="D457" s="12">
        <v>50069441</v>
      </c>
      <c r="E457" s="1" t="s">
        <v>2435</v>
      </c>
      <c r="F457" s="1" t="str">
        <f>VLOOKUP(A457,[1]Sheet1!$A$2:$E$1141,5,0)</f>
        <v>Autonomous Finish Mill Jr officer</v>
      </c>
      <c r="G457" s="17" t="str">
        <f>VLOOKUP(A457,[1]Sheet1!$A$2:$F$1141,6,0)</f>
        <v>Supervisor</v>
      </c>
      <c r="H457" s="1" t="s">
        <v>2089</v>
      </c>
      <c r="I457" s="1" t="s">
        <v>1117</v>
      </c>
      <c r="J457" s="1" t="str">
        <f>VLOOKUP(A457,[1]Sheet1!$A$2:$H$1141,8,0)</f>
        <v>Dept. of Clinker &amp; Cement Production</v>
      </c>
      <c r="K457" s="1" t="str">
        <f>VLOOKUP(A457,[1]Sheet1!$A$2:$I$1141,9,0)</f>
        <v>Unit of Cement Production</v>
      </c>
      <c r="L457" s="1" t="str">
        <f>VLOOKUP(A457,[1]Sheet1!$A$2:$J$1141,10,0)</f>
        <v>Section of Cement Production Coach</v>
      </c>
      <c r="M457" s="2">
        <v>32336</v>
      </c>
      <c r="N457" s="1" t="s">
        <v>29</v>
      </c>
      <c r="O457" s="1" t="s">
        <v>30</v>
      </c>
      <c r="P457" s="1" t="s">
        <v>2436</v>
      </c>
      <c r="Q457" s="1" t="s">
        <v>2424</v>
      </c>
      <c r="R457" s="1" t="s">
        <v>2425</v>
      </c>
      <c r="S457" s="1" t="s">
        <v>2093</v>
      </c>
      <c r="T457" s="14">
        <v>52810</v>
      </c>
      <c r="U457" s="1" t="s">
        <v>2437</v>
      </c>
      <c r="V457" s="1" t="s">
        <v>36</v>
      </c>
      <c r="W457" s="3" t="str">
        <f t="shared" si="7"/>
        <v>38 tahun</v>
      </c>
      <c r="X457" s="1" t="s">
        <v>807</v>
      </c>
      <c r="Y457" s="1" t="s">
        <v>68</v>
      </c>
      <c r="Z457" s="2">
        <v>41275</v>
      </c>
      <c r="AA457" s="2">
        <v>41426</v>
      </c>
      <c r="AB457" s="2" t="s">
        <v>2438</v>
      </c>
    </row>
    <row r="458" spans="1:28" x14ac:dyDescent="0.35">
      <c r="A458" s="12">
        <v>5335</v>
      </c>
      <c r="B458" s="12">
        <v>8510029</v>
      </c>
      <c r="C458" s="12" t="s">
        <v>139</v>
      </c>
      <c r="D458" s="12">
        <v>50007846</v>
      </c>
      <c r="E458" s="16" t="s">
        <v>2439</v>
      </c>
      <c r="F458" s="1" t="str">
        <f>VLOOKUP(A458,[1]Sheet1!$A$2:$E$1141,5,0)</f>
        <v>Mgr of Line 4/5 RM Machine Maint</v>
      </c>
      <c r="G458" s="16" t="str">
        <f>VLOOKUP(A458,[1]Sheet1!$A$2:$F$1141,6,0)</f>
        <v>Manager</v>
      </c>
      <c r="H458" s="1" t="s">
        <v>2440</v>
      </c>
      <c r="I458" s="1" t="s">
        <v>1117</v>
      </c>
      <c r="J458" s="1" t="str">
        <f>VLOOKUP(A458,[1]Sheet1!$A$2:$H$1141,8,0)</f>
        <v>Dept. of Maintenance</v>
      </c>
      <c r="K458" s="1" t="str">
        <f>VLOOKUP(A458,[1]Sheet1!$A$2:$I$1141,9,0)</f>
        <v>Unit of Machine Maintenance 2</v>
      </c>
      <c r="L458" s="1" t="str">
        <f>VLOOKUP(A458,[1]Sheet1!$A$2:$J$1141,10,0)</f>
        <v>Section of Line 4/5 RM Machine Maint</v>
      </c>
      <c r="M458" s="2">
        <v>31134</v>
      </c>
      <c r="N458" s="1" t="s">
        <v>29</v>
      </c>
      <c r="O458" s="1" t="s">
        <v>30</v>
      </c>
      <c r="P458" s="1" t="s">
        <v>2441</v>
      </c>
      <c r="Q458" s="1" t="s">
        <v>2442</v>
      </c>
      <c r="R458" s="1" t="s">
        <v>2443</v>
      </c>
      <c r="S458" s="1" t="s">
        <v>2444</v>
      </c>
      <c r="T458" s="14">
        <v>51592</v>
      </c>
      <c r="U458" s="1" t="s">
        <v>2445</v>
      </c>
      <c r="V458" s="1" t="s">
        <v>36</v>
      </c>
      <c r="W458" s="3" t="str">
        <f t="shared" si="7"/>
        <v>41 tahun</v>
      </c>
      <c r="X458" s="1" t="s">
        <v>55</v>
      </c>
      <c r="Y458" s="1" t="s">
        <v>48</v>
      </c>
      <c r="Z458" s="2">
        <v>40544</v>
      </c>
      <c r="AA458" s="2">
        <v>40664</v>
      </c>
      <c r="AB458" s="2" t="s">
        <v>2446</v>
      </c>
    </row>
    <row r="459" spans="1:28" x14ac:dyDescent="0.35">
      <c r="A459" s="12">
        <v>5261</v>
      </c>
      <c r="B459" s="12">
        <v>8108014</v>
      </c>
      <c r="C459" s="12" t="s">
        <v>25</v>
      </c>
      <c r="D459" s="12">
        <v>50008129</v>
      </c>
      <c r="E459" s="13" t="s">
        <v>2447</v>
      </c>
      <c r="F459" s="1" t="str">
        <f>VLOOKUP(A459,[1]Sheet1!$A$2:$E$1141,5,0)</f>
        <v>GM of Maintenance</v>
      </c>
      <c r="G459" s="13" t="str">
        <f>VLOOKUP(A459,[1]Sheet1!$A$2:$F$1141,6,0)</f>
        <v>General Manager</v>
      </c>
      <c r="H459" s="1" t="s">
        <v>2448</v>
      </c>
      <c r="I459" s="1" t="s">
        <v>1117</v>
      </c>
      <c r="J459" s="1" t="str">
        <f>VLOOKUP(A459,[1]Sheet1!$A$2:$H$1141,8,0)</f>
        <v>Dept. of Maintenance</v>
      </c>
      <c r="K459" s="1" t="e">
        <f>VLOOKUP(A459,[1]Sheet1!$A$2:$I$1141,9,0)</f>
        <v>#REF!</v>
      </c>
      <c r="L459" s="1" t="e">
        <f>VLOOKUP(A459,[1]Sheet1!$A$2:$J$1141,10,0)</f>
        <v>#REF!</v>
      </c>
      <c r="M459" s="2">
        <v>29762</v>
      </c>
      <c r="N459" s="1" t="s">
        <v>29</v>
      </c>
      <c r="O459" s="1" t="s">
        <v>30</v>
      </c>
      <c r="P459" s="1" t="s">
        <v>2449</v>
      </c>
      <c r="Q459" s="1" t="s">
        <v>2450</v>
      </c>
      <c r="R459" s="1" t="s">
        <v>2451</v>
      </c>
      <c r="S459" s="1" t="s">
        <v>2452</v>
      </c>
      <c r="T459" s="14">
        <v>50222</v>
      </c>
      <c r="U459" s="1" t="s">
        <v>2453</v>
      </c>
      <c r="V459" s="1" t="s">
        <v>186</v>
      </c>
      <c r="W459" s="3" t="str">
        <f t="shared" si="7"/>
        <v>45 tahun</v>
      </c>
      <c r="X459" s="1" t="s">
        <v>2454</v>
      </c>
      <c r="Y459" s="1" t="s">
        <v>38</v>
      </c>
      <c r="Z459" s="2">
        <v>39814</v>
      </c>
      <c r="AA459" s="2">
        <v>39934</v>
      </c>
      <c r="AB459" s="2" t="s">
        <v>2455</v>
      </c>
    </row>
    <row r="460" spans="1:28" x14ac:dyDescent="0.35">
      <c r="A460" s="12">
        <v>5285</v>
      </c>
      <c r="B460" s="12">
        <v>8310014</v>
      </c>
      <c r="C460" s="12" t="s">
        <v>139</v>
      </c>
      <c r="D460" s="12">
        <v>50052834</v>
      </c>
      <c r="E460" s="15" t="s">
        <v>2456</v>
      </c>
      <c r="F460" s="1" t="str">
        <f>VLOOKUP(A460,[1]Sheet1!$A$2:$E$1141,5,0)</f>
        <v>SM of Machine Maintenance 1</v>
      </c>
      <c r="G460" s="15" t="str">
        <f>VLOOKUP(A460,[1]Sheet1!$A$2:$F$1141,6,0)</f>
        <v>Senior Manager</v>
      </c>
      <c r="H460" s="1" t="s">
        <v>2457</v>
      </c>
      <c r="I460" s="1" t="s">
        <v>1117</v>
      </c>
      <c r="J460" s="1" t="str">
        <f>VLOOKUP(A460,[1]Sheet1!$A$2:$H$1141,8,0)</f>
        <v>Dept. of Maintenance</v>
      </c>
      <c r="K460" s="1" t="str">
        <f>VLOOKUP(A460,[1]Sheet1!$A$2:$I$1141,9,0)</f>
        <v>Unit of Machine Maintenance 1</v>
      </c>
      <c r="L460" s="1" t="e">
        <f>VLOOKUP(A460,[1]Sheet1!$A$2:$J$1141,10,0)</f>
        <v>#REF!</v>
      </c>
      <c r="M460" s="2">
        <v>30494</v>
      </c>
      <c r="N460" s="1" t="s">
        <v>29</v>
      </c>
      <c r="O460" s="1" t="s">
        <v>30</v>
      </c>
      <c r="P460" s="1" t="s">
        <v>2458</v>
      </c>
      <c r="Q460" s="1" t="s">
        <v>2459</v>
      </c>
      <c r="R460" s="1" t="s">
        <v>2460</v>
      </c>
      <c r="S460" s="1" t="s">
        <v>2461</v>
      </c>
      <c r="T460" s="14">
        <v>50952</v>
      </c>
      <c r="U460" s="1" t="s">
        <v>2462</v>
      </c>
      <c r="V460" s="1" t="s">
        <v>36</v>
      </c>
      <c r="W460" s="3" t="str">
        <f t="shared" si="7"/>
        <v>43 tahun</v>
      </c>
      <c r="X460" s="1" t="s">
        <v>91</v>
      </c>
      <c r="Y460" s="1" t="s">
        <v>48</v>
      </c>
      <c r="Z460" s="2">
        <v>40544</v>
      </c>
      <c r="AA460" s="2">
        <v>40664</v>
      </c>
      <c r="AB460" s="2" t="s">
        <v>866</v>
      </c>
    </row>
    <row r="461" spans="1:28" x14ac:dyDescent="0.35">
      <c r="A461" s="12">
        <v>5395</v>
      </c>
      <c r="B461" s="12">
        <v>8710055</v>
      </c>
      <c r="C461" s="12" t="s">
        <v>139</v>
      </c>
      <c r="D461" s="12">
        <v>50052152</v>
      </c>
      <c r="E461" s="16" t="s">
        <v>2463</v>
      </c>
      <c r="F461" s="1" t="str">
        <f>VLOOKUP(A461,[1]Sheet1!$A$2:$E$1141,5,0)</f>
        <v>Mgr of Line 2/3 FM Machine Maint.</v>
      </c>
      <c r="G461" s="16" t="str">
        <f>VLOOKUP(A461,[1]Sheet1!$A$2:$F$1141,6,0)</f>
        <v>Manager</v>
      </c>
      <c r="H461" s="1" t="s">
        <v>2464</v>
      </c>
      <c r="I461" s="1" t="s">
        <v>1117</v>
      </c>
      <c r="J461" s="1" t="str">
        <f>VLOOKUP(A461,[1]Sheet1!$A$2:$H$1141,8,0)</f>
        <v>Dept. of Maintenance</v>
      </c>
      <c r="K461" s="1" t="str">
        <f>VLOOKUP(A461,[1]Sheet1!$A$2:$I$1141,9,0)</f>
        <v>Unit of Machine Maintenance 1</v>
      </c>
      <c r="L461" s="1" t="str">
        <f>VLOOKUP(A461,[1]Sheet1!$A$2:$J$1141,10,0)</f>
        <v>Section of Line 2/3 FM Machine Maint.</v>
      </c>
      <c r="M461" s="2">
        <v>31944</v>
      </c>
      <c r="N461" s="1" t="s">
        <v>29</v>
      </c>
      <c r="O461" s="1" t="s">
        <v>30</v>
      </c>
      <c r="P461" s="1" t="s">
        <v>2465</v>
      </c>
      <c r="Q461" s="1" t="s">
        <v>2466</v>
      </c>
      <c r="R461" s="1" t="s">
        <v>2467</v>
      </c>
      <c r="S461" s="1" t="s">
        <v>2468</v>
      </c>
      <c r="T461" s="14">
        <v>52413</v>
      </c>
      <c r="U461" s="1" t="s">
        <v>2469</v>
      </c>
      <c r="V461" s="1" t="s">
        <v>186</v>
      </c>
      <c r="W461" s="3" t="str">
        <f t="shared" si="7"/>
        <v>39 tahun</v>
      </c>
      <c r="X461" s="1" t="s">
        <v>55</v>
      </c>
      <c r="Y461" s="1" t="s">
        <v>48</v>
      </c>
      <c r="Z461" s="2">
        <v>40544</v>
      </c>
      <c r="AA461" s="2">
        <v>40909</v>
      </c>
      <c r="AB461" s="2" t="s">
        <v>2470</v>
      </c>
    </row>
    <row r="462" spans="1:28" x14ac:dyDescent="0.35">
      <c r="A462" s="12">
        <v>4717</v>
      </c>
      <c r="B462" s="12">
        <v>7106317</v>
      </c>
      <c r="C462" s="12" t="s">
        <v>219</v>
      </c>
      <c r="D462" s="12">
        <v>50046274</v>
      </c>
      <c r="E462" s="1" t="s">
        <v>1461</v>
      </c>
      <c r="F462" s="1" t="str">
        <f>VLOOKUP(A462,[1]Sheet1!$A$2:$E$1141,5,0)</f>
        <v>Spv of Line 2/3 FM Mach PvM</v>
      </c>
      <c r="G462" s="17" t="str">
        <f>VLOOKUP(A462,[1]Sheet1!$A$2:$F$1141,6,0)</f>
        <v>Supervisor</v>
      </c>
      <c r="H462" s="1" t="s">
        <v>2464</v>
      </c>
      <c r="I462" s="1" t="s">
        <v>1117</v>
      </c>
      <c r="J462" s="1" t="str">
        <f>VLOOKUP(A462,[1]Sheet1!$A$2:$H$1141,8,0)</f>
        <v>Dept. of Maintenance</v>
      </c>
      <c r="K462" s="1" t="str">
        <f>VLOOKUP(A462,[1]Sheet1!$A$2:$I$1141,9,0)</f>
        <v>Unit of Machine Maintenance 1</v>
      </c>
      <c r="L462" s="1" t="str">
        <f>VLOOKUP(A462,[1]Sheet1!$A$2:$J$1141,10,0)</f>
        <v>Section of Line 2/3 FM Machine Maint.</v>
      </c>
      <c r="M462" s="2">
        <v>26111</v>
      </c>
      <c r="N462" s="1" t="s">
        <v>29</v>
      </c>
      <c r="O462" s="1" t="s">
        <v>30</v>
      </c>
      <c r="P462" s="1" t="s">
        <v>2471</v>
      </c>
      <c r="Q462" s="1" t="s">
        <v>2472</v>
      </c>
      <c r="R462" s="1" t="s">
        <v>2473</v>
      </c>
      <c r="S462" s="1" t="s">
        <v>2468</v>
      </c>
      <c r="T462" s="14">
        <v>46569</v>
      </c>
      <c r="U462" s="1" t="s">
        <v>2474</v>
      </c>
      <c r="V462" s="1" t="s">
        <v>36</v>
      </c>
      <c r="W462" s="3" t="str">
        <f t="shared" si="7"/>
        <v>55 tahun</v>
      </c>
      <c r="X462" s="1" t="s">
        <v>2475</v>
      </c>
      <c r="Y462" s="1" t="s">
        <v>56</v>
      </c>
      <c r="Z462" s="2">
        <v>38718</v>
      </c>
      <c r="AA462" s="2">
        <v>41030</v>
      </c>
      <c r="AB462" s="2" t="s">
        <v>2476</v>
      </c>
    </row>
    <row r="463" spans="1:28" x14ac:dyDescent="0.35">
      <c r="A463" s="12">
        <v>5867</v>
      </c>
      <c r="B463" s="12">
        <v>8612034</v>
      </c>
      <c r="C463" s="12" t="s">
        <v>103</v>
      </c>
      <c r="D463" s="12">
        <v>50052153</v>
      </c>
      <c r="E463" s="1" t="s">
        <v>2477</v>
      </c>
      <c r="F463" s="1" t="str">
        <f>VLOOKUP(A463,[1]Sheet1!$A$2:$E$1141,5,0)</f>
        <v>Spv of 2/3 FM Mach PdM &amp; PM Schedule</v>
      </c>
      <c r="G463" s="17" t="str">
        <f>VLOOKUP(A463,[1]Sheet1!$A$2:$F$1141,6,0)</f>
        <v>Supervisor</v>
      </c>
      <c r="H463" s="1" t="s">
        <v>2464</v>
      </c>
      <c r="I463" s="1" t="s">
        <v>1117</v>
      </c>
      <c r="J463" s="1" t="str">
        <f>VLOOKUP(A463,[1]Sheet1!$A$2:$H$1141,8,0)</f>
        <v>Dept. of Maintenance</v>
      </c>
      <c r="K463" s="1" t="str">
        <f>VLOOKUP(A463,[1]Sheet1!$A$2:$I$1141,9,0)</f>
        <v>Unit of Machine Maintenance 1</v>
      </c>
      <c r="L463" s="1" t="str">
        <f>VLOOKUP(A463,[1]Sheet1!$A$2:$J$1141,10,0)</f>
        <v>Section of Line 2/3 FM Machine Maint.</v>
      </c>
      <c r="M463" s="2">
        <v>31443</v>
      </c>
      <c r="N463" s="1" t="s">
        <v>29</v>
      </c>
      <c r="O463" s="1" t="s">
        <v>30</v>
      </c>
      <c r="P463" s="1" t="s">
        <v>2478</v>
      </c>
      <c r="Q463" s="1" t="s">
        <v>2479</v>
      </c>
      <c r="R463" s="1" t="s">
        <v>2480</v>
      </c>
      <c r="S463" s="1" t="s">
        <v>2468</v>
      </c>
      <c r="T463" s="14">
        <v>51898</v>
      </c>
      <c r="U463" s="1" t="s">
        <v>2481</v>
      </c>
      <c r="V463" s="1" t="s">
        <v>36</v>
      </c>
      <c r="W463" s="3" t="str">
        <f t="shared" si="7"/>
        <v>40 tahun</v>
      </c>
      <c r="X463" s="1" t="s">
        <v>107</v>
      </c>
      <c r="Y463" s="1" t="s">
        <v>56</v>
      </c>
      <c r="Z463" s="2">
        <v>41275</v>
      </c>
      <c r="AA463" s="2">
        <v>41395</v>
      </c>
      <c r="AB463" s="2" t="s">
        <v>2482</v>
      </c>
    </row>
    <row r="464" spans="1:28" x14ac:dyDescent="0.35">
      <c r="A464" s="12">
        <v>5967</v>
      </c>
      <c r="B464" s="12">
        <v>8812135</v>
      </c>
      <c r="C464" s="12" t="s">
        <v>103</v>
      </c>
      <c r="D464" s="12">
        <v>50069498</v>
      </c>
      <c r="E464" s="1" t="s">
        <v>2483</v>
      </c>
      <c r="F464" s="1" t="str">
        <f>VLOOKUP(A464,[1]Sheet1!$A$2:$E$1141,5,0)</f>
        <v>Spv of 2/3 FM Mach PdM &amp; PM Schedule</v>
      </c>
      <c r="G464" s="17" t="str">
        <f>VLOOKUP(A464,[1]Sheet1!$A$2:$F$1141,6,0)</f>
        <v>Supervisor</v>
      </c>
      <c r="H464" s="1" t="s">
        <v>2464</v>
      </c>
      <c r="I464" s="1" t="s">
        <v>1117</v>
      </c>
      <c r="J464" s="1" t="str">
        <f>VLOOKUP(A464,[1]Sheet1!$A$2:$H$1141,8,0)</f>
        <v>Dept. of Maintenance</v>
      </c>
      <c r="K464" s="1" t="str">
        <f>VLOOKUP(A464,[1]Sheet1!$A$2:$I$1141,9,0)</f>
        <v>Unit of Machine Maintenance 1</v>
      </c>
      <c r="L464" s="1" t="str">
        <f>VLOOKUP(A464,[1]Sheet1!$A$2:$J$1141,10,0)</f>
        <v>Section of Line 2/3 FM Machine Maint.</v>
      </c>
      <c r="M464" s="2">
        <v>32352</v>
      </c>
      <c r="N464" s="1" t="s">
        <v>29</v>
      </c>
      <c r="O464" s="1" t="s">
        <v>30</v>
      </c>
      <c r="P464" s="1" t="s">
        <v>2484</v>
      </c>
      <c r="Q464" s="1" t="s">
        <v>2479</v>
      </c>
      <c r="R464" s="1" t="s">
        <v>2480</v>
      </c>
      <c r="S464" s="1" t="s">
        <v>2468</v>
      </c>
      <c r="T464" s="14">
        <v>52810</v>
      </c>
      <c r="U464" s="1" t="s">
        <v>2485</v>
      </c>
      <c r="V464" s="1" t="s">
        <v>36</v>
      </c>
      <c r="W464" s="3" t="str">
        <f t="shared" si="7"/>
        <v>38 tahun</v>
      </c>
      <c r="X464" s="1" t="s">
        <v>121</v>
      </c>
      <c r="Y464" s="1" t="s">
        <v>56</v>
      </c>
      <c r="Z464" s="2">
        <v>41275</v>
      </c>
      <c r="AA464" s="2">
        <v>41426</v>
      </c>
      <c r="AB464" s="2" t="s">
        <v>2486</v>
      </c>
    </row>
    <row r="465" spans="1:28" x14ac:dyDescent="0.35">
      <c r="A465" s="12">
        <v>5117</v>
      </c>
      <c r="B465" s="12">
        <v>7502269</v>
      </c>
      <c r="C465" s="12" t="s">
        <v>164</v>
      </c>
      <c r="D465" s="12">
        <v>50053096</v>
      </c>
      <c r="E465" s="16" t="s">
        <v>2487</v>
      </c>
      <c r="F465" s="1" t="str">
        <f>VLOOKUP(A465,[1]Sheet1!$A$2:$E$1141,5,0)</f>
        <v>Mgr of Packer  Machine Maintenance</v>
      </c>
      <c r="G465" s="16" t="str">
        <f>VLOOKUP(A465,[1]Sheet1!$A$2:$F$1141,6,0)</f>
        <v>Manager</v>
      </c>
      <c r="H465" s="1" t="s">
        <v>2488</v>
      </c>
      <c r="I465" s="1" t="s">
        <v>1117</v>
      </c>
      <c r="J465" s="1" t="str">
        <f>VLOOKUP(A465,[1]Sheet1!$A$2:$H$1141,8,0)</f>
        <v>Dept. of Maintenance</v>
      </c>
      <c r="K465" s="1" t="str">
        <f>VLOOKUP(A465,[1]Sheet1!$A$2:$I$1141,9,0)</f>
        <v>Unit of Machine Maintenance 1</v>
      </c>
      <c r="L465" s="1" t="str">
        <f>VLOOKUP(A465,[1]Sheet1!$A$2:$J$1141,10,0)</f>
        <v>Section of Packer Machine Maint.</v>
      </c>
      <c r="M465" s="2">
        <v>27476</v>
      </c>
      <c r="N465" s="1" t="s">
        <v>29</v>
      </c>
      <c r="O465" s="1" t="s">
        <v>30</v>
      </c>
      <c r="P465" s="1" t="s">
        <v>2489</v>
      </c>
      <c r="Q465" s="1" t="s">
        <v>2490</v>
      </c>
      <c r="R465" s="1" t="s">
        <v>2491</v>
      </c>
      <c r="S465" s="1" t="s">
        <v>2492</v>
      </c>
      <c r="T465" s="14">
        <v>47939</v>
      </c>
      <c r="U465" s="1" t="s">
        <v>2493</v>
      </c>
      <c r="V465" s="1" t="s">
        <v>36</v>
      </c>
      <c r="W465" s="3" t="str">
        <f t="shared" si="7"/>
        <v>51 tahun</v>
      </c>
      <c r="X465" s="1" t="s">
        <v>248</v>
      </c>
      <c r="Y465" s="1" t="s">
        <v>56</v>
      </c>
      <c r="Z465" s="2">
        <v>37469</v>
      </c>
      <c r="AA465" s="2">
        <v>38718</v>
      </c>
      <c r="AB465" s="2" t="s">
        <v>2494</v>
      </c>
    </row>
    <row r="466" spans="1:28" x14ac:dyDescent="0.35">
      <c r="A466" s="12">
        <v>4777</v>
      </c>
      <c r="B466" s="12">
        <v>7206368</v>
      </c>
      <c r="C466" s="12" t="s">
        <v>219</v>
      </c>
      <c r="D466" s="12">
        <v>50055676</v>
      </c>
      <c r="E466" s="1" t="s">
        <v>2495</v>
      </c>
      <c r="F466" s="1" t="str">
        <f>VLOOKUP(A466,[1]Sheet1!$A$2:$E$1141,5,0)</f>
        <v>Spv of Big Bulk Cement Packing</v>
      </c>
      <c r="G466" s="17" t="str">
        <f>VLOOKUP(A466,[1]Sheet1!$A$2:$F$1141,6,0)</f>
        <v>Supervisor</v>
      </c>
      <c r="H466" s="1" t="s">
        <v>2488</v>
      </c>
      <c r="I466" s="1" t="s">
        <v>1117</v>
      </c>
      <c r="J466" s="1" t="str">
        <f>VLOOKUP(A466,[1]Sheet1!$A$2:$H$1141,8,0)</f>
        <v>Dept. of Maintenance</v>
      </c>
      <c r="K466" s="1" t="str">
        <f>VLOOKUP(A466,[1]Sheet1!$A$2:$I$1141,9,0)</f>
        <v>Unit of Machine Maintenance 1</v>
      </c>
      <c r="L466" s="1" t="str">
        <f>VLOOKUP(A466,[1]Sheet1!$A$2:$J$1141,10,0)</f>
        <v>Section of Packer Machine Maint.</v>
      </c>
      <c r="M466" s="2">
        <v>26528</v>
      </c>
      <c r="N466" s="1" t="s">
        <v>29</v>
      </c>
      <c r="O466" s="1" t="s">
        <v>30</v>
      </c>
      <c r="P466" s="1" t="s">
        <v>2496</v>
      </c>
      <c r="Q466" s="1" t="s">
        <v>2497</v>
      </c>
      <c r="R466" s="1" t="s">
        <v>2498</v>
      </c>
      <c r="S466" s="1" t="s">
        <v>2492</v>
      </c>
      <c r="T466" s="14">
        <v>46997</v>
      </c>
      <c r="U466" s="1" t="s">
        <v>2499</v>
      </c>
      <c r="V466" s="1" t="s">
        <v>36</v>
      </c>
      <c r="W466" s="3" t="str">
        <f t="shared" si="7"/>
        <v>54 tahun</v>
      </c>
      <c r="X466" s="1" t="s">
        <v>96</v>
      </c>
      <c r="Y466" s="1" t="s">
        <v>56</v>
      </c>
      <c r="Z466" s="2">
        <v>38718</v>
      </c>
      <c r="AA466" s="2">
        <v>41030</v>
      </c>
      <c r="AB466" s="2" t="s">
        <v>2500</v>
      </c>
    </row>
    <row r="467" spans="1:28" x14ac:dyDescent="0.35">
      <c r="A467" s="12">
        <v>5062</v>
      </c>
      <c r="B467" s="12">
        <v>7402258</v>
      </c>
      <c r="C467" s="12" t="s">
        <v>164</v>
      </c>
      <c r="D467" s="12">
        <v>50053139</v>
      </c>
      <c r="E467" s="1" t="s">
        <v>2501</v>
      </c>
      <c r="F467" s="1" t="str">
        <f>VLOOKUP(A467,[1]Sheet1!$A$2:$E$1141,5,0)</f>
        <v>Spv of Plant Cement Silo Mach Maint</v>
      </c>
      <c r="G467" s="17" t="str">
        <f>VLOOKUP(A467,[1]Sheet1!$A$2:$F$1141,6,0)</f>
        <v>Supervisor</v>
      </c>
      <c r="H467" s="1" t="s">
        <v>2488</v>
      </c>
      <c r="I467" s="1" t="s">
        <v>1117</v>
      </c>
      <c r="J467" s="1" t="str">
        <f>VLOOKUP(A467,[1]Sheet1!$A$2:$H$1141,8,0)</f>
        <v>Dept. of Maintenance</v>
      </c>
      <c r="K467" s="1" t="str">
        <f>VLOOKUP(A467,[1]Sheet1!$A$2:$I$1141,9,0)</f>
        <v>Unit of Machine Maintenance 1</v>
      </c>
      <c r="L467" s="1" t="str">
        <f>VLOOKUP(A467,[1]Sheet1!$A$2:$J$1141,10,0)</f>
        <v>Section of Packer Machine Maint.</v>
      </c>
      <c r="M467" s="2">
        <v>27273</v>
      </c>
      <c r="N467" s="1" t="s">
        <v>29</v>
      </c>
      <c r="O467" s="1" t="s">
        <v>30</v>
      </c>
      <c r="P467" s="1" t="s">
        <v>2502</v>
      </c>
      <c r="Q467" s="1" t="s">
        <v>2503</v>
      </c>
      <c r="R467" s="1" t="s">
        <v>2504</v>
      </c>
      <c r="S467" s="1" t="s">
        <v>2492</v>
      </c>
      <c r="T467" s="14">
        <v>47757</v>
      </c>
      <c r="U467" s="1" t="s">
        <v>2505</v>
      </c>
      <c r="V467" s="1" t="s">
        <v>186</v>
      </c>
      <c r="W467" s="3" t="str">
        <f t="shared" si="7"/>
        <v>51 tahun</v>
      </c>
      <c r="X467" s="1" t="s">
        <v>2506</v>
      </c>
      <c r="Y467" s="1" t="s">
        <v>56</v>
      </c>
      <c r="Z467" s="2">
        <v>37469</v>
      </c>
      <c r="AA467" s="2">
        <v>38718</v>
      </c>
      <c r="AB467" s="2" t="s">
        <v>2507</v>
      </c>
    </row>
    <row r="468" spans="1:28" x14ac:dyDescent="0.35">
      <c r="A468" s="12">
        <v>4776</v>
      </c>
      <c r="B468" s="12">
        <v>7102172</v>
      </c>
      <c r="C468" s="12" t="s">
        <v>164</v>
      </c>
      <c r="D468" s="12">
        <v>50054322</v>
      </c>
      <c r="E468" s="1" t="s">
        <v>2508</v>
      </c>
      <c r="F468" s="1" t="str">
        <f>VLOOKUP(A468,[1]Sheet1!$A$2:$E$1141,5,0)</f>
        <v>Spv of Line 2/3 Packer Mechine Maint.</v>
      </c>
      <c r="G468" s="17" t="str">
        <f>VLOOKUP(A468,[1]Sheet1!$A$2:$F$1141,6,0)</f>
        <v>Supervisor</v>
      </c>
      <c r="H468" s="1" t="s">
        <v>2488</v>
      </c>
      <c r="I468" s="1" t="s">
        <v>1117</v>
      </c>
      <c r="J468" s="1" t="str">
        <f>VLOOKUP(A468,[1]Sheet1!$A$2:$H$1141,8,0)</f>
        <v>Dept. of Maintenance</v>
      </c>
      <c r="K468" s="1" t="str">
        <f>VLOOKUP(A468,[1]Sheet1!$A$2:$I$1141,9,0)</f>
        <v>Unit of Machine Maintenance 1</v>
      </c>
      <c r="L468" s="1" t="str">
        <f>VLOOKUP(A468,[1]Sheet1!$A$2:$J$1141,10,0)</f>
        <v>Section of Packer Machine Maint.</v>
      </c>
      <c r="M468" s="2">
        <v>26177</v>
      </c>
      <c r="N468" s="1" t="s">
        <v>29</v>
      </c>
      <c r="O468" s="1" t="s">
        <v>30</v>
      </c>
      <c r="P468" s="1" t="s">
        <v>2509</v>
      </c>
      <c r="Q468" s="1" t="s">
        <v>2510</v>
      </c>
      <c r="R468" s="1" t="s">
        <v>2511</v>
      </c>
      <c r="S468" s="1" t="s">
        <v>2492</v>
      </c>
      <c r="T468" s="14">
        <v>46661</v>
      </c>
      <c r="U468" s="1" t="s">
        <v>2512</v>
      </c>
      <c r="V468" s="1" t="s">
        <v>36</v>
      </c>
      <c r="W468" s="3" t="str">
        <f t="shared" si="7"/>
        <v>54 tahun</v>
      </c>
      <c r="X468" s="1" t="s">
        <v>101</v>
      </c>
      <c r="Y468" s="1" t="s">
        <v>56</v>
      </c>
      <c r="Z468" s="2">
        <v>37469</v>
      </c>
      <c r="AA468" s="2">
        <v>38718</v>
      </c>
      <c r="AB468" s="2" t="s">
        <v>2513</v>
      </c>
    </row>
    <row r="469" spans="1:28" x14ac:dyDescent="0.35">
      <c r="A469" s="12">
        <v>5004</v>
      </c>
      <c r="B469" s="12">
        <v>7402243</v>
      </c>
      <c r="C469" s="12" t="s">
        <v>164</v>
      </c>
      <c r="D469" s="12">
        <v>50053142</v>
      </c>
      <c r="E469" s="1" t="s">
        <v>1955</v>
      </c>
      <c r="F469" s="1" t="str">
        <f>VLOOKUP(A469,[1]Sheet1!$A$2:$E$1141,5,0)</f>
        <v>Spv of Line 5 Packer Machine Maint.</v>
      </c>
      <c r="G469" s="17" t="str">
        <f>VLOOKUP(A469,[1]Sheet1!$A$2:$F$1141,6,0)</f>
        <v>Supervisor</v>
      </c>
      <c r="H469" s="1" t="s">
        <v>2488</v>
      </c>
      <c r="I469" s="1" t="s">
        <v>1117</v>
      </c>
      <c r="J469" s="1" t="str">
        <f>VLOOKUP(A469,[1]Sheet1!$A$2:$H$1141,8,0)</f>
        <v>Dept. of Maintenance</v>
      </c>
      <c r="K469" s="1" t="str">
        <f>VLOOKUP(A469,[1]Sheet1!$A$2:$I$1141,9,0)</f>
        <v>Unit of Machine Maintenance 1</v>
      </c>
      <c r="L469" s="1" t="str">
        <f>VLOOKUP(A469,[1]Sheet1!$A$2:$J$1141,10,0)</f>
        <v>Section of Packer Machine Maint.</v>
      </c>
      <c r="M469" s="2">
        <v>27071</v>
      </c>
      <c r="N469" s="1" t="s">
        <v>29</v>
      </c>
      <c r="O469" s="1" t="s">
        <v>30</v>
      </c>
      <c r="P469" s="1" t="s">
        <v>2514</v>
      </c>
      <c r="Q469" s="1" t="s">
        <v>2515</v>
      </c>
      <c r="R469" s="1" t="s">
        <v>2516</v>
      </c>
      <c r="S469" s="1" t="s">
        <v>2492</v>
      </c>
      <c r="T469" s="14">
        <v>47543</v>
      </c>
      <c r="U469" s="1" t="s">
        <v>2517</v>
      </c>
      <c r="V469" s="1" t="s">
        <v>36</v>
      </c>
      <c r="W469" s="3" t="str">
        <f t="shared" si="7"/>
        <v>52 tahun</v>
      </c>
      <c r="X469" s="1" t="s">
        <v>2475</v>
      </c>
      <c r="Y469" s="1" t="s">
        <v>56</v>
      </c>
      <c r="Z469" s="2">
        <v>37469</v>
      </c>
      <c r="AA469" s="2">
        <v>38718</v>
      </c>
      <c r="AB469" s="2" t="s">
        <v>84</v>
      </c>
    </row>
    <row r="470" spans="1:28" x14ac:dyDescent="0.35">
      <c r="A470" s="12">
        <v>6034</v>
      </c>
      <c r="B470" s="12">
        <v>8912201</v>
      </c>
      <c r="C470" s="12" t="s">
        <v>103</v>
      </c>
      <c r="D470" s="12">
        <v>50066260</v>
      </c>
      <c r="E470" s="1" t="s">
        <v>2518</v>
      </c>
      <c r="F470" s="1" t="str">
        <f>VLOOKUP(A470,[1]Sheet1!$A$2:$E$1141,5,0)</f>
        <v>Spv of Packer Mach Maint. PdM &amp; PM Schdl</v>
      </c>
      <c r="G470" s="17" t="str">
        <f>VLOOKUP(A470,[1]Sheet1!$A$2:$F$1141,6,0)</f>
        <v>Supervisor</v>
      </c>
      <c r="H470" s="1" t="s">
        <v>2488</v>
      </c>
      <c r="I470" s="1" t="s">
        <v>1117</v>
      </c>
      <c r="J470" s="1" t="str">
        <f>VLOOKUP(A470,[1]Sheet1!$A$2:$H$1141,8,0)</f>
        <v>Dept. of Maintenance</v>
      </c>
      <c r="K470" s="1" t="str">
        <f>VLOOKUP(A470,[1]Sheet1!$A$2:$I$1141,9,0)</f>
        <v>Unit of Machine Maintenance 1</v>
      </c>
      <c r="L470" s="1" t="str">
        <f>VLOOKUP(A470,[1]Sheet1!$A$2:$J$1141,10,0)</f>
        <v>Section of Packer Machine Maint.</v>
      </c>
      <c r="M470" s="2">
        <v>32703</v>
      </c>
      <c r="N470" s="1" t="s">
        <v>29</v>
      </c>
      <c r="O470" s="1" t="s">
        <v>30</v>
      </c>
      <c r="P470" s="1" t="s">
        <v>2519</v>
      </c>
      <c r="Q470" s="1" t="s">
        <v>2520</v>
      </c>
      <c r="R470" s="1" t="s">
        <v>2521</v>
      </c>
      <c r="S470" s="1" t="s">
        <v>2492</v>
      </c>
      <c r="T470" s="14">
        <v>53175</v>
      </c>
      <c r="U470" s="1" t="s">
        <v>2522</v>
      </c>
      <c r="V470" s="1" t="s">
        <v>36</v>
      </c>
      <c r="W470" s="3" t="str">
        <f t="shared" si="7"/>
        <v>37 tahun</v>
      </c>
      <c r="X470" s="1" t="s">
        <v>37</v>
      </c>
      <c r="Y470" s="1" t="s">
        <v>56</v>
      </c>
      <c r="Z470" s="2">
        <v>41275</v>
      </c>
      <c r="AA470" s="2">
        <v>41426</v>
      </c>
      <c r="AB470" s="2" t="s">
        <v>2523</v>
      </c>
    </row>
    <row r="471" spans="1:28" x14ac:dyDescent="0.35">
      <c r="A471" s="12">
        <v>6171</v>
      </c>
      <c r="B471" s="12">
        <v>9112338</v>
      </c>
      <c r="C471" s="12" t="s">
        <v>103</v>
      </c>
      <c r="D471" s="12">
        <v>50069499</v>
      </c>
      <c r="E471" s="1" t="s">
        <v>2524</v>
      </c>
      <c r="F471" s="1" t="str">
        <f>VLOOKUP(A471,[1]Sheet1!$A$2:$E$1141,5,0)</f>
        <v>Spv of Packer Mach Maint. PdM &amp; PM Schdl</v>
      </c>
      <c r="G471" s="17" t="str">
        <f>VLOOKUP(A471,[1]Sheet1!$A$2:$F$1141,6,0)</f>
        <v>Supervisor</v>
      </c>
      <c r="H471" s="1" t="s">
        <v>2488</v>
      </c>
      <c r="I471" s="1" t="s">
        <v>1117</v>
      </c>
      <c r="J471" s="1" t="str">
        <f>VLOOKUP(A471,[1]Sheet1!$A$2:$H$1141,8,0)</f>
        <v>Dept. of Maintenance</v>
      </c>
      <c r="K471" s="1" t="str">
        <f>VLOOKUP(A471,[1]Sheet1!$A$2:$I$1141,9,0)</f>
        <v>Unit of Machine Maintenance 1</v>
      </c>
      <c r="L471" s="1" t="str">
        <f>VLOOKUP(A471,[1]Sheet1!$A$2:$J$1141,10,0)</f>
        <v>Section of Packer Machine Maint.</v>
      </c>
      <c r="M471" s="2">
        <v>33338</v>
      </c>
      <c r="N471" s="1" t="s">
        <v>29</v>
      </c>
      <c r="O471" s="1" t="s">
        <v>30</v>
      </c>
      <c r="P471" s="1" t="s">
        <v>2525</v>
      </c>
      <c r="Q471" s="1" t="s">
        <v>2520</v>
      </c>
      <c r="R471" s="1" t="s">
        <v>2521</v>
      </c>
      <c r="S471" s="1" t="s">
        <v>2492</v>
      </c>
      <c r="T471" s="14">
        <v>53813</v>
      </c>
      <c r="U471" s="1" t="s">
        <v>2526</v>
      </c>
      <c r="V471" s="1" t="s">
        <v>36</v>
      </c>
      <c r="W471" s="3" t="str">
        <f t="shared" si="7"/>
        <v>35 tahun</v>
      </c>
      <c r="X471" s="1" t="s">
        <v>112</v>
      </c>
      <c r="Y471" s="1" t="s">
        <v>56</v>
      </c>
      <c r="Z471" s="2">
        <v>41275</v>
      </c>
      <c r="AA471" s="2">
        <v>41395</v>
      </c>
      <c r="AB471" s="2" t="s">
        <v>2527</v>
      </c>
    </row>
    <row r="472" spans="1:28" x14ac:dyDescent="0.35">
      <c r="A472" s="12">
        <v>5292</v>
      </c>
      <c r="B472" s="12">
        <v>8308058</v>
      </c>
      <c r="C472" s="12" t="s">
        <v>25</v>
      </c>
      <c r="D472" s="12">
        <v>50023501</v>
      </c>
      <c r="E472" s="16" t="s">
        <v>2528</v>
      </c>
      <c r="F472" s="1" t="str">
        <f>VLOOKUP(A472,[1]Sheet1!$A$2:$E$1141,5,0)</f>
        <v>Mgr of Crusher Machine &amp; Conv Maint</v>
      </c>
      <c r="G472" s="16" t="str">
        <f>VLOOKUP(A472,[1]Sheet1!$A$2:$F$1141,6,0)</f>
        <v>Manager</v>
      </c>
      <c r="H472" s="1" t="s">
        <v>2529</v>
      </c>
      <c r="I472" s="1" t="s">
        <v>1117</v>
      </c>
      <c r="J472" s="1" t="str">
        <f>VLOOKUP(A472,[1]Sheet1!$A$2:$H$1141,8,0)</f>
        <v>Dept. of Maintenance</v>
      </c>
      <c r="K472" s="1" t="str">
        <f>VLOOKUP(A472,[1]Sheet1!$A$2:$I$1141,9,0)</f>
        <v>Unit of Machine Maintenance 1</v>
      </c>
      <c r="L472" s="1" t="str">
        <f>VLOOKUP(A472,[1]Sheet1!$A$2:$J$1141,10,0)</f>
        <v>Section of Crusher Machine &amp; Conv Maint.</v>
      </c>
      <c r="M472" s="2">
        <v>30587</v>
      </c>
      <c r="N472" s="1" t="s">
        <v>29</v>
      </c>
      <c r="O472" s="1" t="s">
        <v>30</v>
      </c>
      <c r="P472" s="1" t="s">
        <v>2530</v>
      </c>
      <c r="Q472" s="1" t="s">
        <v>2531</v>
      </c>
      <c r="R472" s="1" t="s">
        <v>2532</v>
      </c>
      <c r="S472" s="1" t="s">
        <v>2533</v>
      </c>
      <c r="T472" s="14">
        <v>51044</v>
      </c>
      <c r="U472" s="1" t="s">
        <v>2534</v>
      </c>
      <c r="V472" s="1" t="s">
        <v>36</v>
      </c>
      <c r="W472" s="3" t="str">
        <f t="shared" si="7"/>
        <v>42 tahun</v>
      </c>
      <c r="X472" s="1" t="s">
        <v>2535</v>
      </c>
      <c r="Y472" s="1" t="s">
        <v>68</v>
      </c>
      <c r="Z472" s="2">
        <v>39814</v>
      </c>
      <c r="AA472" s="2">
        <v>39965</v>
      </c>
      <c r="AB472" s="2" t="s">
        <v>291</v>
      </c>
    </row>
    <row r="473" spans="1:28" x14ac:dyDescent="0.35">
      <c r="A473" s="12">
        <v>5892</v>
      </c>
      <c r="B473" s="12">
        <v>8612059</v>
      </c>
      <c r="C473" s="12" t="s">
        <v>103</v>
      </c>
      <c r="D473" s="12">
        <v>50065472</v>
      </c>
      <c r="E473" s="1" t="s">
        <v>2536</v>
      </c>
      <c r="F473" s="1" t="str">
        <f>VLOOKUP(A473,[1]Sheet1!$A$2:$E$1141,5,0)</f>
        <v>Spv of Troubleshooting LS CL SC 5</v>
      </c>
      <c r="G473" s="17" t="str">
        <f>VLOOKUP(A473,[1]Sheet1!$A$2:$F$1141,6,0)</f>
        <v>Supervisor</v>
      </c>
      <c r="H473" s="1" t="s">
        <v>2529</v>
      </c>
      <c r="I473" s="1" t="s">
        <v>1117</v>
      </c>
      <c r="J473" s="1" t="str">
        <f>VLOOKUP(A473,[1]Sheet1!$A$2:$H$1141,8,0)</f>
        <v>Dept. of Maintenance</v>
      </c>
      <c r="K473" s="1" t="str">
        <f>VLOOKUP(A473,[1]Sheet1!$A$2:$I$1141,9,0)</f>
        <v>Unit of Machine Maintenance 1</v>
      </c>
      <c r="L473" s="1" t="str">
        <f>VLOOKUP(A473,[1]Sheet1!$A$2:$J$1141,10,0)</f>
        <v>Section of Crusher Machine &amp; Conv Maint.</v>
      </c>
      <c r="M473" s="2">
        <v>31701</v>
      </c>
      <c r="N473" s="1" t="s">
        <v>29</v>
      </c>
      <c r="O473" s="1" t="s">
        <v>30</v>
      </c>
      <c r="P473" s="1" t="s">
        <v>2537</v>
      </c>
      <c r="Q473" s="1" t="s">
        <v>2538</v>
      </c>
      <c r="R473" s="1" t="s">
        <v>2539</v>
      </c>
      <c r="S473" s="1" t="s">
        <v>2533</v>
      </c>
      <c r="T473" s="14">
        <v>52171</v>
      </c>
      <c r="U473" s="1" t="s">
        <v>2540</v>
      </c>
      <c r="V473" s="1" t="s">
        <v>36</v>
      </c>
      <c r="W473" s="3" t="str">
        <f t="shared" si="7"/>
        <v>39 tahun</v>
      </c>
      <c r="X473" s="1" t="s">
        <v>112</v>
      </c>
      <c r="Y473" s="1" t="s">
        <v>56</v>
      </c>
      <c r="Z473" s="2">
        <v>41275</v>
      </c>
      <c r="AA473" s="2">
        <v>41456</v>
      </c>
      <c r="AB473" s="2" t="s">
        <v>2541</v>
      </c>
    </row>
    <row r="474" spans="1:28" x14ac:dyDescent="0.35">
      <c r="A474" s="12">
        <v>5861</v>
      </c>
      <c r="B474" s="12">
        <v>8512028</v>
      </c>
      <c r="C474" s="12" t="s">
        <v>103</v>
      </c>
      <c r="D474" s="12">
        <v>50065473</v>
      </c>
      <c r="E474" s="1" t="s">
        <v>2542</v>
      </c>
      <c r="F474" s="1" t="str">
        <f>VLOOKUP(A474,[1]Sheet1!$A$2:$E$1141,5,0)</f>
        <v>Spv of Troubleshooting LS CL SC 5</v>
      </c>
      <c r="G474" s="17" t="str">
        <f>VLOOKUP(A474,[1]Sheet1!$A$2:$F$1141,6,0)</f>
        <v>Supervisor</v>
      </c>
      <c r="H474" s="1" t="s">
        <v>2529</v>
      </c>
      <c r="I474" s="1" t="s">
        <v>1117</v>
      </c>
      <c r="J474" s="1" t="str">
        <f>VLOOKUP(A474,[1]Sheet1!$A$2:$H$1141,8,0)</f>
        <v>Dept. of Maintenance</v>
      </c>
      <c r="K474" s="1" t="str">
        <f>VLOOKUP(A474,[1]Sheet1!$A$2:$I$1141,9,0)</f>
        <v>Unit of Machine Maintenance 1</v>
      </c>
      <c r="L474" s="1" t="str">
        <f>VLOOKUP(A474,[1]Sheet1!$A$2:$J$1141,10,0)</f>
        <v>Section of Crusher Machine &amp; Conv Maint.</v>
      </c>
      <c r="M474" s="2">
        <v>31395</v>
      </c>
      <c r="N474" s="1" t="s">
        <v>29</v>
      </c>
      <c r="O474" s="1" t="s">
        <v>30</v>
      </c>
      <c r="P474" s="1" t="s">
        <v>2543</v>
      </c>
      <c r="Q474" s="1" t="s">
        <v>2538</v>
      </c>
      <c r="R474" s="1" t="s">
        <v>2539</v>
      </c>
      <c r="S474" s="1" t="s">
        <v>2533</v>
      </c>
      <c r="T474" s="14">
        <v>51867</v>
      </c>
      <c r="U474" s="1" t="s">
        <v>2544</v>
      </c>
      <c r="V474" s="1" t="s">
        <v>36</v>
      </c>
      <c r="W474" s="3" t="str">
        <f t="shared" si="7"/>
        <v>40 tahun</v>
      </c>
      <c r="X474" s="1" t="s">
        <v>1086</v>
      </c>
      <c r="Y474" s="1" t="s">
        <v>56</v>
      </c>
      <c r="Z474" s="2">
        <v>41275</v>
      </c>
      <c r="AA474" s="2">
        <v>41395</v>
      </c>
      <c r="AB474" s="2" t="s">
        <v>2545</v>
      </c>
    </row>
    <row r="475" spans="1:28" x14ac:dyDescent="0.35">
      <c r="A475" s="12">
        <v>5157</v>
      </c>
      <c r="B475" s="12">
        <v>7595241</v>
      </c>
      <c r="C475" s="12" t="s">
        <v>50</v>
      </c>
      <c r="D475" s="12">
        <v>50065468</v>
      </c>
      <c r="E475" s="1" t="s">
        <v>2546</v>
      </c>
      <c r="F475" s="1" t="str">
        <f>VLOOKUP(A475,[1]Sheet1!$A$2:$E$1141,5,0)</f>
        <v>Spv of Troubleshooting LS CL SC 2/3/4</v>
      </c>
      <c r="G475" s="17" t="str">
        <f>VLOOKUP(A475,[1]Sheet1!$A$2:$F$1141,6,0)</f>
        <v>Supervisor</v>
      </c>
      <c r="H475" s="1" t="s">
        <v>2529</v>
      </c>
      <c r="I475" s="1" t="s">
        <v>1117</v>
      </c>
      <c r="J475" s="1" t="str">
        <f>VLOOKUP(A475,[1]Sheet1!$A$2:$H$1141,8,0)</f>
        <v>Dept. of Maintenance</v>
      </c>
      <c r="K475" s="1" t="str">
        <f>VLOOKUP(A475,[1]Sheet1!$A$2:$I$1141,9,0)</f>
        <v>Unit of Machine Maintenance 1</v>
      </c>
      <c r="L475" s="1" t="str">
        <f>VLOOKUP(A475,[1]Sheet1!$A$2:$J$1141,10,0)</f>
        <v>Section of Crusher Machine &amp; Conv Maint.</v>
      </c>
      <c r="M475" s="2">
        <v>27621</v>
      </c>
      <c r="N475" s="1" t="s">
        <v>29</v>
      </c>
      <c r="O475" s="1" t="s">
        <v>30</v>
      </c>
      <c r="P475" s="1" t="s">
        <v>2547</v>
      </c>
      <c r="Q475" s="1" t="s">
        <v>2548</v>
      </c>
      <c r="R475" s="1" t="s">
        <v>2549</v>
      </c>
      <c r="S475" s="1" t="s">
        <v>2533</v>
      </c>
      <c r="T475" s="14">
        <v>48092</v>
      </c>
      <c r="U475" s="1" t="s">
        <v>2550</v>
      </c>
      <c r="V475" s="1" t="s">
        <v>36</v>
      </c>
      <c r="W475" s="3" t="str">
        <f t="shared" si="7"/>
        <v>51 tahun</v>
      </c>
      <c r="X475" s="1" t="s">
        <v>243</v>
      </c>
      <c r="Y475" s="1" t="s">
        <v>56</v>
      </c>
      <c r="Z475" s="2">
        <v>35002</v>
      </c>
      <c r="AA475" s="2">
        <v>35370</v>
      </c>
      <c r="AB475" s="2" t="s">
        <v>2551</v>
      </c>
    </row>
    <row r="476" spans="1:28" x14ac:dyDescent="0.35">
      <c r="A476" s="12">
        <v>5038</v>
      </c>
      <c r="B476" s="12">
        <v>7495218</v>
      </c>
      <c r="C476" s="12" t="s">
        <v>50</v>
      </c>
      <c r="D476" s="12">
        <v>50065469</v>
      </c>
      <c r="E476" s="1" t="s">
        <v>2552</v>
      </c>
      <c r="F476" s="1" t="str">
        <f>VLOOKUP(A476,[1]Sheet1!$A$2:$E$1141,5,0)</f>
        <v>Spv of Troubleshooting LS CL SC 2/3/4</v>
      </c>
      <c r="G476" s="17" t="str">
        <f>VLOOKUP(A476,[1]Sheet1!$A$2:$F$1141,6,0)</f>
        <v>Supervisor</v>
      </c>
      <c r="H476" s="1" t="s">
        <v>2529</v>
      </c>
      <c r="I476" s="1" t="s">
        <v>1117</v>
      </c>
      <c r="J476" s="1" t="str">
        <f>VLOOKUP(A476,[1]Sheet1!$A$2:$H$1141,8,0)</f>
        <v>Dept. of Maintenance</v>
      </c>
      <c r="K476" s="1" t="str">
        <f>VLOOKUP(A476,[1]Sheet1!$A$2:$I$1141,9,0)</f>
        <v>Unit of Machine Maintenance 1</v>
      </c>
      <c r="L476" s="1" t="str">
        <f>VLOOKUP(A476,[1]Sheet1!$A$2:$J$1141,10,0)</f>
        <v>Section of Crusher Machine &amp; Conv Maint.</v>
      </c>
      <c r="M476" s="2">
        <v>27178</v>
      </c>
      <c r="N476" s="1" t="s">
        <v>29</v>
      </c>
      <c r="O476" s="1" t="s">
        <v>30</v>
      </c>
      <c r="P476" s="1" t="s">
        <v>2553</v>
      </c>
      <c r="Q476" s="1" t="s">
        <v>2548</v>
      </c>
      <c r="R476" s="1" t="s">
        <v>2549</v>
      </c>
      <c r="S476" s="1" t="s">
        <v>2533</v>
      </c>
      <c r="T476" s="14">
        <v>47635</v>
      </c>
      <c r="U476" s="1" t="s">
        <v>2554</v>
      </c>
      <c r="V476" s="1" t="s">
        <v>186</v>
      </c>
      <c r="W476" s="3" t="str">
        <f t="shared" si="7"/>
        <v>52 tahun</v>
      </c>
      <c r="X476" s="1" t="s">
        <v>2555</v>
      </c>
      <c r="Y476" s="1" t="s">
        <v>56</v>
      </c>
      <c r="Z476" s="2">
        <v>35002</v>
      </c>
      <c r="AA476" s="2">
        <v>35370</v>
      </c>
      <c r="AB476" s="2" t="s">
        <v>2556</v>
      </c>
    </row>
    <row r="477" spans="1:28" x14ac:dyDescent="0.35">
      <c r="A477" s="12">
        <v>4954</v>
      </c>
      <c r="B477" s="12">
        <v>7395102</v>
      </c>
      <c r="C477" s="12" t="s">
        <v>50</v>
      </c>
      <c r="D477" s="12">
        <v>50065465</v>
      </c>
      <c r="E477" s="1" t="s">
        <v>2557</v>
      </c>
      <c r="F477" s="1" t="str">
        <f>VLOOKUP(A477,[1]Sheet1!$A$2:$E$1141,5,0)</f>
        <v>Spv of LS, CL, SL 5 PvM</v>
      </c>
      <c r="G477" s="17" t="str">
        <f>VLOOKUP(A477,[1]Sheet1!$A$2:$F$1141,6,0)</f>
        <v>Supervisor</v>
      </c>
      <c r="H477" s="1" t="s">
        <v>2529</v>
      </c>
      <c r="I477" s="1" t="s">
        <v>1117</v>
      </c>
      <c r="J477" s="1" t="str">
        <f>VLOOKUP(A477,[1]Sheet1!$A$2:$H$1141,8,0)</f>
        <v>Dept. of Maintenance</v>
      </c>
      <c r="K477" s="1" t="str">
        <f>VLOOKUP(A477,[1]Sheet1!$A$2:$I$1141,9,0)</f>
        <v>Unit of Machine Maintenance 1</v>
      </c>
      <c r="L477" s="1" t="str">
        <f>VLOOKUP(A477,[1]Sheet1!$A$2:$J$1141,10,0)</f>
        <v>Section of Crusher Machine &amp; Conv Maint.</v>
      </c>
      <c r="M477" s="2">
        <v>26900</v>
      </c>
      <c r="N477" s="1" t="s">
        <v>29</v>
      </c>
      <c r="O477" s="1" t="s">
        <v>30</v>
      </c>
      <c r="P477" s="1" t="s">
        <v>2558</v>
      </c>
      <c r="Q477" s="1" t="s">
        <v>2559</v>
      </c>
      <c r="R477" s="1" t="s">
        <v>2560</v>
      </c>
      <c r="S477" s="1" t="s">
        <v>2533</v>
      </c>
      <c r="T477" s="14">
        <v>47362</v>
      </c>
      <c r="U477" s="1" t="s">
        <v>2561</v>
      </c>
      <c r="V477" s="1" t="s">
        <v>36</v>
      </c>
      <c r="W477" s="3" t="str">
        <f t="shared" si="7"/>
        <v>53 tahun</v>
      </c>
      <c r="X477" s="1" t="s">
        <v>55</v>
      </c>
      <c r="Y477" s="1" t="s">
        <v>56</v>
      </c>
      <c r="Z477" s="2">
        <v>34932</v>
      </c>
      <c r="AA477" s="2">
        <v>35309</v>
      </c>
      <c r="AB477" s="2" t="s">
        <v>2562</v>
      </c>
    </row>
    <row r="478" spans="1:28" x14ac:dyDescent="0.35">
      <c r="A478" s="12">
        <v>6082</v>
      </c>
      <c r="B478" s="12">
        <v>9012250</v>
      </c>
      <c r="C478" s="12" t="s">
        <v>103</v>
      </c>
      <c r="D478" s="12">
        <v>50065456</v>
      </c>
      <c r="E478" s="1" t="s">
        <v>2563</v>
      </c>
      <c r="F478" s="1" t="str">
        <f>VLOOKUP(A478,[1]Sheet1!$A$2:$E$1141,5,0)</f>
        <v>Spv of LS, CL, SL 2/3/4 PdM &amp; PM</v>
      </c>
      <c r="G478" s="17" t="str">
        <f>VLOOKUP(A478,[1]Sheet1!$A$2:$F$1141,6,0)</f>
        <v>Supervisor</v>
      </c>
      <c r="H478" s="1" t="s">
        <v>2529</v>
      </c>
      <c r="I478" s="1" t="s">
        <v>1117</v>
      </c>
      <c r="J478" s="1" t="str">
        <f>VLOOKUP(A478,[1]Sheet1!$A$2:$H$1141,8,0)</f>
        <v>Dept. of Maintenance</v>
      </c>
      <c r="K478" s="1" t="str">
        <f>VLOOKUP(A478,[1]Sheet1!$A$2:$I$1141,9,0)</f>
        <v>Unit of Machine Maintenance 1</v>
      </c>
      <c r="L478" s="1" t="str">
        <f>VLOOKUP(A478,[1]Sheet1!$A$2:$J$1141,10,0)</f>
        <v>Section of Crusher Machine &amp; Conv Maint.</v>
      </c>
      <c r="M478" s="2">
        <v>32967</v>
      </c>
      <c r="N478" s="1" t="s">
        <v>29</v>
      </c>
      <c r="O478" s="1" t="s">
        <v>30</v>
      </c>
      <c r="P478" s="1" t="s">
        <v>2564</v>
      </c>
      <c r="Q478" s="1" t="s">
        <v>2565</v>
      </c>
      <c r="R478" s="1" t="s">
        <v>2566</v>
      </c>
      <c r="S478" s="1" t="s">
        <v>2533</v>
      </c>
      <c r="T478" s="14">
        <v>53448</v>
      </c>
      <c r="U478" s="1" t="s">
        <v>2567</v>
      </c>
      <c r="V478" s="1" t="s">
        <v>36</v>
      </c>
      <c r="W478" s="3" t="str">
        <f t="shared" si="7"/>
        <v>36 tahun</v>
      </c>
      <c r="X478" s="1" t="s">
        <v>112</v>
      </c>
      <c r="Y478" s="1" t="s">
        <v>56</v>
      </c>
      <c r="Z478" s="2">
        <v>41275</v>
      </c>
      <c r="AA478" s="2">
        <v>41395</v>
      </c>
      <c r="AB478" s="2" t="s">
        <v>2568</v>
      </c>
    </row>
    <row r="479" spans="1:28" x14ac:dyDescent="0.35">
      <c r="A479" s="12">
        <v>5083</v>
      </c>
      <c r="B479" s="12">
        <v>7495044</v>
      </c>
      <c r="C479" s="12" t="s">
        <v>50</v>
      </c>
      <c r="D479" s="12">
        <v>50065459</v>
      </c>
      <c r="E479" s="1" t="s">
        <v>2569</v>
      </c>
      <c r="F479" s="1" t="str">
        <f>VLOOKUP(A479,[1]Sheet1!$A$2:$E$1141,5,0)</f>
        <v>Spv of LS, CL, SL 2/3/4 PvM</v>
      </c>
      <c r="G479" s="17" t="str">
        <f>VLOOKUP(A479,[1]Sheet1!$A$2:$F$1141,6,0)</f>
        <v>Supervisor</v>
      </c>
      <c r="H479" s="1" t="s">
        <v>2529</v>
      </c>
      <c r="I479" s="1" t="s">
        <v>1117</v>
      </c>
      <c r="J479" s="1" t="str">
        <f>VLOOKUP(A479,[1]Sheet1!$A$2:$H$1141,8,0)</f>
        <v>Dept. of Maintenance</v>
      </c>
      <c r="K479" s="1" t="str">
        <f>VLOOKUP(A479,[1]Sheet1!$A$2:$I$1141,9,0)</f>
        <v>Unit of Machine Maintenance 1</v>
      </c>
      <c r="L479" s="1" t="str">
        <f>VLOOKUP(A479,[1]Sheet1!$A$2:$J$1141,10,0)</f>
        <v>Section of Crusher Machine &amp; Conv Maint.</v>
      </c>
      <c r="M479" s="2">
        <v>27338</v>
      </c>
      <c r="N479" s="1" t="s">
        <v>29</v>
      </c>
      <c r="O479" s="1" t="s">
        <v>30</v>
      </c>
      <c r="P479" s="1" t="s">
        <v>2570</v>
      </c>
      <c r="Q479" s="1" t="s">
        <v>2571</v>
      </c>
      <c r="R479" s="1" t="s">
        <v>2572</v>
      </c>
      <c r="S479" s="1" t="s">
        <v>2533</v>
      </c>
      <c r="T479" s="14">
        <v>47818</v>
      </c>
      <c r="U479" s="1" t="s">
        <v>2573</v>
      </c>
      <c r="V479" s="1" t="s">
        <v>36</v>
      </c>
      <c r="W479" s="3" t="str">
        <f t="shared" si="7"/>
        <v>51 tahun</v>
      </c>
      <c r="X479" s="1" t="s">
        <v>1274</v>
      </c>
      <c r="Y479" s="1" t="s">
        <v>56</v>
      </c>
      <c r="Z479" s="2">
        <v>34897</v>
      </c>
      <c r="AA479" s="2">
        <v>35278</v>
      </c>
      <c r="AB479" s="2" t="s">
        <v>2574</v>
      </c>
    </row>
    <row r="480" spans="1:28" x14ac:dyDescent="0.35">
      <c r="A480" s="12">
        <v>5409</v>
      </c>
      <c r="B480" s="12">
        <v>8810086</v>
      </c>
      <c r="C480" s="12" t="s">
        <v>139</v>
      </c>
      <c r="D480" s="12">
        <v>50065462</v>
      </c>
      <c r="E480" s="1" t="s">
        <v>2575</v>
      </c>
      <c r="F480" s="1" t="str">
        <f>VLOOKUP(A480,[1]Sheet1!$A$2:$E$1141,5,0)</f>
        <v>Spv of LS, CL, SL 5 PdM &amp; PM</v>
      </c>
      <c r="G480" s="17" t="str">
        <f>VLOOKUP(A480,[1]Sheet1!$A$2:$F$1141,6,0)</f>
        <v>Supervisor</v>
      </c>
      <c r="H480" s="1" t="s">
        <v>2529</v>
      </c>
      <c r="I480" s="1" t="s">
        <v>1117</v>
      </c>
      <c r="J480" s="1" t="str">
        <f>VLOOKUP(A480,[1]Sheet1!$A$2:$H$1141,8,0)</f>
        <v>Dept. of Maintenance</v>
      </c>
      <c r="K480" s="1" t="str">
        <f>VLOOKUP(A480,[1]Sheet1!$A$2:$I$1141,9,0)</f>
        <v>Unit of Machine Maintenance 1</v>
      </c>
      <c r="L480" s="1" t="str">
        <f>VLOOKUP(A480,[1]Sheet1!$A$2:$J$1141,10,0)</f>
        <v>Section of Crusher Machine &amp; Conv Maint.</v>
      </c>
      <c r="M480" s="2">
        <v>32147</v>
      </c>
      <c r="N480" s="1" t="s">
        <v>29</v>
      </c>
      <c r="O480" s="1" t="s">
        <v>30</v>
      </c>
      <c r="P480" s="1" t="s">
        <v>2576</v>
      </c>
      <c r="Q480" s="1" t="s">
        <v>2577</v>
      </c>
      <c r="R480" s="1" t="s">
        <v>2578</v>
      </c>
      <c r="S480" s="1" t="s">
        <v>2533</v>
      </c>
      <c r="T480" s="14">
        <v>52628</v>
      </c>
      <c r="U480" s="1" t="s">
        <v>2579</v>
      </c>
      <c r="V480" s="1" t="s">
        <v>186</v>
      </c>
      <c r="W480" s="3" t="str">
        <f t="shared" si="7"/>
        <v>38 tahun</v>
      </c>
      <c r="X480" s="1" t="s">
        <v>2580</v>
      </c>
      <c r="Y480" s="1" t="s">
        <v>48</v>
      </c>
      <c r="Z480" s="2">
        <v>40544</v>
      </c>
      <c r="AA480" s="2">
        <v>40634</v>
      </c>
      <c r="AB480" s="2" t="s">
        <v>2581</v>
      </c>
    </row>
    <row r="481" spans="1:28" x14ac:dyDescent="0.35">
      <c r="A481" s="12">
        <v>5064</v>
      </c>
      <c r="B481" s="12">
        <v>7495039</v>
      </c>
      <c r="C481" s="12" t="s">
        <v>50</v>
      </c>
      <c r="D481" s="12">
        <v>50053095</v>
      </c>
      <c r="E481" s="16" t="s">
        <v>2582</v>
      </c>
      <c r="F481" s="1" t="str">
        <f>VLOOKUP(A481,[1]Sheet1!$A$2:$E$1141,5,0)</f>
        <v>Mgr of Line 2/3 RKC Machine Maint.</v>
      </c>
      <c r="G481" s="16" t="str">
        <f>VLOOKUP(A481,[1]Sheet1!$A$2:$F$1141,6,0)</f>
        <v>Manager</v>
      </c>
      <c r="H481" s="1" t="s">
        <v>2583</v>
      </c>
      <c r="I481" s="1" t="s">
        <v>1117</v>
      </c>
      <c r="J481" s="1" t="str">
        <f>VLOOKUP(A481,[1]Sheet1!$A$2:$H$1141,8,0)</f>
        <v>Dept. of Maintenance</v>
      </c>
      <c r="K481" s="1" t="str">
        <f>VLOOKUP(A481,[1]Sheet1!$A$2:$I$1141,9,0)</f>
        <v>Unit of Machine Maintenance 1</v>
      </c>
      <c r="L481" s="1" t="str">
        <f>VLOOKUP(A481,[1]Sheet1!$A$2:$J$1141,10,0)</f>
        <v>Section of Line 2/3 RKC Machine Maint.</v>
      </c>
      <c r="M481" s="2">
        <v>27266</v>
      </c>
      <c r="N481" s="1" t="s">
        <v>29</v>
      </c>
      <c r="O481" s="1" t="s">
        <v>30</v>
      </c>
      <c r="P481" s="1" t="s">
        <v>2584</v>
      </c>
      <c r="Q481" s="1" t="s">
        <v>2585</v>
      </c>
      <c r="R481" s="1" t="s">
        <v>2586</v>
      </c>
      <c r="S481" s="1" t="s">
        <v>2587</v>
      </c>
      <c r="T481" s="14">
        <v>47727</v>
      </c>
      <c r="U481" s="1" t="s">
        <v>2588</v>
      </c>
      <c r="V481" s="1" t="s">
        <v>36</v>
      </c>
      <c r="W481" s="3" t="str">
        <f t="shared" si="7"/>
        <v>52 tahun</v>
      </c>
      <c r="X481" s="1" t="s">
        <v>55</v>
      </c>
      <c r="Y481" s="1" t="s">
        <v>48</v>
      </c>
      <c r="Z481" s="2">
        <v>34897</v>
      </c>
      <c r="AA481" s="2">
        <v>35278</v>
      </c>
      <c r="AB481" s="2" t="s">
        <v>2589</v>
      </c>
    </row>
    <row r="482" spans="1:28" x14ac:dyDescent="0.35">
      <c r="A482" s="12">
        <v>4860</v>
      </c>
      <c r="B482" s="12">
        <v>7202196</v>
      </c>
      <c r="C482" s="12" t="s">
        <v>164</v>
      </c>
      <c r="D482" s="12">
        <v>50065443</v>
      </c>
      <c r="E482" s="1" t="s">
        <v>669</v>
      </c>
      <c r="F482" s="1" t="str">
        <f>VLOOKUP(A482,[1]Sheet1!$A$2:$E$1141,5,0)</f>
        <v>Line 2/3 RKC Mach.PvM, PdM&amp;PM Sch Jr ofc</v>
      </c>
      <c r="G482" s="17" t="str">
        <f>VLOOKUP(A482,[1]Sheet1!$A$2:$F$1141,6,0)</f>
        <v>Supervisor</v>
      </c>
      <c r="H482" s="1" t="s">
        <v>2583</v>
      </c>
      <c r="I482" s="1" t="s">
        <v>1117</v>
      </c>
      <c r="J482" s="1" t="str">
        <f>VLOOKUP(A482,[1]Sheet1!$A$2:$H$1141,8,0)</f>
        <v>Dept. of Maintenance</v>
      </c>
      <c r="K482" s="1" t="str">
        <f>VLOOKUP(A482,[1]Sheet1!$A$2:$I$1141,9,0)</f>
        <v>Unit of Machine Maintenance 1</v>
      </c>
      <c r="L482" s="1" t="str">
        <f>VLOOKUP(A482,[1]Sheet1!$A$2:$J$1141,10,0)</f>
        <v>Section of Line 2/3 RKC Machine Maint.</v>
      </c>
      <c r="M482" s="2">
        <v>26517</v>
      </c>
      <c r="N482" s="1" t="s">
        <v>29</v>
      </c>
      <c r="O482" s="1" t="s">
        <v>30</v>
      </c>
      <c r="P482" s="1" t="s">
        <v>2590</v>
      </c>
      <c r="Q482" s="1" t="s">
        <v>2591</v>
      </c>
      <c r="R482" s="1" t="s">
        <v>2592</v>
      </c>
      <c r="S482" s="1" t="s">
        <v>2587</v>
      </c>
      <c r="T482" s="14">
        <v>46997</v>
      </c>
      <c r="U482" s="1" t="s">
        <v>2593</v>
      </c>
      <c r="V482" s="1" t="s">
        <v>36</v>
      </c>
      <c r="W482" s="3" t="str">
        <f t="shared" si="7"/>
        <v>54 tahun</v>
      </c>
      <c r="X482" s="1" t="s">
        <v>2594</v>
      </c>
      <c r="Y482" s="1" t="s">
        <v>56</v>
      </c>
      <c r="Z482" s="2">
        <v>37469</v>
      </c>
      <c r="AA482" s="2">
        <v>38718</v>
      </c>
      <c r="AB482" s="2" t="s">
        <v>84</v>
      </c>
    </row>
    <row r="483" spans="1:28" x14ac:dyDescent="0.35">
      <c r="A483" s="12">
        <v>6111</v>
      </c>
      <c r="B483" s="12">
        <v>9012280</v>
      </c>
      <c r="C483" s="12" t="s">
        <v>103</v>
      </c>
      <c r="D483" s="12">
        <v>50065445</v>
      </c>
      <c r="E483" s="1" t="s">
        <v>2595</v>
      </c>
      <c r="F483" s="1" t="str">
        <f>VLOOKUP(A483,[1]Sheet1!$A$2:$E$1141,5,0)</f>
        <v>Line 2/3 RKC Mach.PvM, PdM&amp;PM Sch Jr ofc</v>
      </c>
      <c r="G483" s="17" t="str">
        <f>VLOOKUP(A483,[1]Sheet1!$A$2:$F$1141,6,0)</f>
        <v>Supervisor</v>
      </c>
      <c r="H483" s="1" t="s">
        <v>2583</v>
      </c>
      <c r="I483" s="1" t="s">
        <v>1117</v>
      </c>
      <c r="J483" s="1" t="str">
        <f>VLOOKUP(A483,[1]Sheet1!$A$2:$H$1141,8,0)</f>
        <v>Dept. of Maintenance</v>
      </c>
      <c r="K483" s="1" t="str">
        <f>VLOOKUP(A483,[1]Sheet1!$A$2:$I$1141,9,0)</f>
        <v>Unit of Machine Maintenance 1</v>
      </c>
      <c r="L483" s="1" t="str">
        <f>VLOOKUP(A483,[1]Sheet1!$A$2:$J$1141,10,0)</f>
        <v>Section of Line 2/3 RKC Machine Maint.</v>
      </c>
      <c r="M483" s="2">
        <v>33087</v>
      </c>
      <c r="N483" s="1" t="s">
        <v>29</v>
      </c>
      <c r="O483" s="1" t="s">
        <v>30</v>
      </c>
      <c r="P483" s="1" t="s">
        <v>2596</v>
      </c>
      <c r="Q483" s="1" t="s">
        <v>2591</v>
      </c>
      <c r="R483" s="1" t="s">
        <v>2592</v>
      </c>
      <c r="S483" s="1" t="s">
        <v>2587</v>
      </c>
      <c r="T483" s="14">
        <v>53571</v>
      </c>
      <c r="U483" s="1" t="s">
        <v>2597</v>
      </c>
      <c r="V483" s="1" t="s">
        <v>36</v>
      </c>
      <c r="W483" s="3" t="str">
        <f t="shared" si="7"/>
        <v>36 tahun</v>
      </c>
      <c r="X483" s="1" t="s">
        <v>356</v>
      </c>
      <c r="Y483" s="1" t="s">
        <v>56</v>
      </c>
      <c r="Z483" s="2">
        <v>41275</v>
      </c>
      <c r="AA483" s="2">
        <v>41395</v>
      </c>
      <c r="AB483" s="2" t="s">
        <v>2598</v>
      </c>
    </row>
    <row r="484" spans="1:28" x14ac:dyDescent="0.35">
      <c r="A484" s="12">
        <v>6209</v>
      </c>
      <c r="B484" s="12">
        <v>9112375</v>
      </c>
      <c r="C484" s="12" t="s">
        <v>103</v>
      </c>
      <c r="D484" s="12">
        <v>50007856</v>
      </c>
      <c r="E484" s="1" t="s">
        <v>2599</v>
      </c>
      <c r="F484" s="1" t="str">
        <f>VLOOKUP(A484,[1]Sheet1!$A$2:$E$1141,5,0)</f>
        <v>Spv of Line 4 RM Mach PdM&amp;PM Schd</v>
      </c>
      <c r="G484" s="17" t="str">
        <f>VLOOKUP(A484,[1]Sheet1!$A$2:$F$1141,6,0)</f>
        <v>Supervisor</v>
      </c>
      <c r="H484" s="1" t="s">
        <v>2440</v>
      </c>
      <c r="I484" s="1" t="s">
        <v>1117</v>
      </c>
      <c r="J484" s="1" t="str">
        <f>VLOOKUP(A484,[1]Sheet1!$A$2:$H$1141,8,0)</f>
        <v>Dept. of Maintenance</v>
      </c>
      <c r="K484" s="1" t="str">
        <f>VLOOKUP(A484,[1]Sheet1!$A$2:$I$1141,9,0)</f>
        <v>Unit of Machine Maintenance 2</v>
      </c>
      <c r="L484" s="1" t="str">
        <f>VLOOKUP(A484,[1]Sheet1!$A$2:$J$1141,10,0)</f>
        <v>Section of Line 4/5 RM Machine Maint</v>
      </c>
      <c r="M484" s="2">
        <v>33492</v>
      </c>
      <c r="N484" s="1" t="s">
        <v>29</v>
      </c>
      <c r="O484" s="1" t="s">
        <v>30</v>
      </c>
      <c r="P484" s="1" t="s">
        <v>2600</v>
      </c>
      <c r="Q484" s="1" t="s">
        <v>2601</v>
      </c>
      <c r="R484" s="1" t="s">
        <v>2602</v>
      </c>
      <c r="S484" s="1" t="s">
        <v>2444</v>
      </c>
      <c r="T484" s="14">
        <v>53966</v>
      </c>
      <c r="U484" s="1" t="s">
        <v>2603</v>
      </c>
      <c r="V484" s="1" t="s">
        <v>36</v>
      </c>
      <c r="W484" s="3" t="str">
        <f t="shared" si="7"/>
        <v>34 tahun</v>
      </c>
      <c r="X484" s="1" t="s">
        <v>2023</v>
      </c>
      <c r="Y484" s="1" t="s">
        <v>56</v>
      </c>
      <c r="Z484" s="2">
        <v>41365</v>
      </c>
      <c r="AA484" s="2">
        <v>41730</v>
      </c>
      <c r="AB484" s="2" t="s">
        <v>2604</v>
      </c>
    </row>
    <row r="485" spans="1:28" x14ac:dyDescent="0.35">
      <c r="A485" s="12">
        <v>6028</v>
      </c>
      <c r="B485" s="12">
        <v>8912195</v>
      </c>
      <c r="C485" s="12" t="s">
        <v>103</v>
      </c>
      <c r="D485" s="12">
        <v>50069500</v>
      </c>
      <c r="E485" s="1" t="s">
        <v>2605</v>
      </c>
      <c r="F485" s="1" t="str">
        <f>VLOOKUP(A485,[1]Sheet1!$A$2:$E$1141,5,0)</f>
        <v>Spv of Line 4 RM Mach PdM&amp;PM Schd</v>
      </c>
      <c r="G485" s="17" t="str">
        <f>VLOOKUP(A485,[1]Sheet1!$A$2:$F$1141,6,0)</f>
        <v>Supervisor</v>
      </c>
      <c r="H485" s="1" t="s">
        <v>2440</v>
      </c>
      <c r="I485" s="1" t="s">
        <v>1117</v>
      </c>
      <c r="J485" s="1" t="str">
        <f>VLOOKUP(A485,[1]Sheet1!$A$2:$H$1141,8,0)</f>
        <v>Dept. of Maintenance</v>
      </c>
      <c r="K485" s="1" t="str">
        <f>VLOOKUP(A485,[1]Sheet1!$A$2:$I$1141,9,0)</f>
        <v>Unit of Machine Maintenance 2</v>
      </c>
      <c r="L485" s="1" t="str">
        <f>VLOOKUP(A485,[1]Sheet1!$A$2:$J$1141,10,0)</f>
        <v>Section of Line 4/5 RM Machine Maint</v>
      </c>
      <c r="M485" s="2">
        <v>32673</v>
      </c>
      <c r="N485" s="1" t="s">
        <v>29</v>
      </c>
      <c r="O485" s="1" t="s">
        <v>30</v>
      </c>
      <c r="P485" s="1" t="s">
        <v>2606</v>
      </c>
      <c r="Q485" s="1" t="s">
        <v>2601</v>
      </c>
      <c r="R485" s="1" t="s">
        <v>2602</v>
      </c>
      <c r="S485" s="1" t="s">
        <v>2444</v>
      </c>
      <c r="T485" s="14">
        <v>53144</v>
      </c>
      <c r="U485" s="1" t="s">
        <v>2607</v>
      </c>
      <c r="V485" s="1" t="s">
        <v>36</v>
      </c>
      <c r="W485" s="3" t="str">
        <f t="shared" si="7"/>
        <v>37 tahun</v>
      </c>
      <c r="X485" s="1" t="s">
        <v>882</v>
      </c>
      <c r="Y485" s="1" t="s">
        <v>56</v>
      </c>
      <c r="Z485" s="2">
        <v>41275</v>
      </c>
      <c r="AA485" s="2">
        <v>41456</v>
      </c>
      <c r="AB485" s="2" t="s">
        <v>2608</v>
      </c>
    </row>
    <row r="486" spans="1:28" x14ac:dyDescent="0.35">
      <c r="A486" s="12">
        <v>5397</v>
      </c>
      <c r="B486" s="12">
        <v>8710080</v>
      </c>
      <c r="C486" s="12" t="s">
        <v>139</v>
      </c>
      <c r="D486" s="12">
        <v>50007857</v>
      </c>
      <c r="E486" s="1" t="s">
        <v>2609</v>
      </c>
      <c r="F486" s="1" t="str">
        <f>VLOOKUP(A486,[1]Sheet1!$A$2:$E$1141,5,0)</f>
        <v>Spv of Line 4 RM Machine PvM</v>
      </c>
      <c r="G486" s="17" t="str">
        <f>VLOOKUP(A486,[1]Sheet1!$A$2:$F$1141,6,0)</f>
        <v>Supervisor</v>
      </c>
      <c r="H486" s="1" t="s">
        <v>2440</v>
      </c>
      <c r="I486" s="1" t="s">
        <v>1117</v>
      </c>
      <c r="J486" s="1" t="str">
        <f>VLOOKUP(A486,[1]Sheet1!$A$2:$H$1141,8,0)</f>
        <v>Dept. of Maintenance</v>
      </c>
      <c r="K486" s="1" t="str">
        <f>VLOOKUP(A486,[1]Sheet1!$A$2:$I$1141,9,0)</f>
        <v>Unit of Machine Maintenance 2</v>
      </c>
      <c r="L486" s="1" t="str">
        <f>VLOOKUP(A486,[1]Sheet1!$A$2:$J$1141,10,0)</f>
        <v>Section of Line 4/5 RM Machine Maint</v>
      </c>
      <c r="M486" s="2">
        <v>31956</v>
      </c>
      <c r="N486" s="1" t="s">
        <v>29</v>
      </c>
      <c r="O486" s="1" t="s">
        <v>30</v>
      </c>
      <c r="P486" s="1" t="s">
        <v>2610</v>
      </c>
      <c r="Q486" s="1" t="s">
        <v>2611</v>
      </c>
      <c r="R486" s="1" t="s">
        <v>2612</v>
      </c>
      <c r="S486" s="1" t="s">
        <v>2444</v>
      </c>
      <c r="T486" s="14">
        <v>52413</v>
      </c>
      <c r="U486" s="1" t="s">
        <v>2613</v>
      </c>
      <c r="V486" s="1" t="s">
        <v>36</v>
      </c>
      <c r="W486" s="3" t="str">
        <f t="shared" si="7"/>
        <v>39 tahun</v>
      </c>
      <c r="X486" s="1" t="s">
        <v>2614</v>
      </c>
      <c r="Y486" s="1" t="s">
        <v>68</v>
      </c>
      <c r="Z486" s="2">
        <v>40544</v>
      </c>
      <c r="AA486" s="2">
        <v>40695</v>
      </c>
      <c r="AB486" s="2" t="s">
        <v>2615</v>
      </c>
    </row>
    <row r="487" spans="1:28" x14ac:dyDescent="0.35">
      <c r="A487" s="12">
        <v>6067</v>
      </c>
      <c r="B487" s="12">
        <v>9012234</v>
      </c>
      <c r="C487" s="12" t="s">
        <v>103</v>
      </c>
      <c r="D487" s="12">
        <v>50069501</v>
      </c>
      <c r="E487" s="1" t="s">
        <v>2616</v>
      </c>
      <c r="F487" s="1" t="str">
        <f>VLOOKUP(A487,[1]Sheet1!$A$2:$E$1141,5,0)</f>
        <v>Spv of Line 4 RM Machine PvM</v>
      </c>
      <c r="G487" s="17" t="str">
        <f>VLOOKUP(A487,[1]Sheet1!$A$2:$F$1141,6,0)</f>
        <v>Supervisor</v>
      </c>
      <c r="H487" s="1" t="s">
        <v>2440</v>
      </c>
      <c r="I487" s="1" t="s">
        <v>1117</v>
      </c>
      <c r="J487" s="1" t="str">
        <f>VLOOKUP(A487,[1]Sheet1!$A$2:$H$1141,8,0)</f>
        <v>Dept. of Maintenance</v>
      </c>
      <c r="K487" s="1" t="str">
        <f>VLOOKUP(A487,[1]Sheet1!$A$2:$I$1141,9,0)</f>
        <v>Unit of Machine Maintenance 2</v>
      </c>
      <c r="L487" s="1" t="str">
        <f>VLOOKUP(A487,[1]Sheet1!$A$2:$J$1141,10,0)</f>
        <v>Section of Line 4/5 RM Machine Maint</v>
      </c>
      <c r="M487" s="2">
        <v>32887</v>
      </c>
      <c r="N487" s="1" t="s">
        <v>29</v>
      </c>
      <c r="O487" s="1" t="s">
        <v>30</v>
      </c>
      <c r="P487" s="1" t="s">
        <v>2617</v>
      </c>
      <c r="Q487" s="1" t="s">
        <v>2611</v>
      </c>
      <c r="R487" s="1" t="s">
        <v>2612</v>
      </c>
      <c r="S487" s="1" t="s">
        <v>2444</v>
      </c>
      <c r="T487" s="14">
        <v>53359</v>
      </c>
      <c r="U487" s="1" t="s">
        <v>2618</v>
      </c>
      <c r="V487" s="1" t="s">
        <v>36</v>
      </c>
      <c r="W487" s="3" t="str">
        <f t="shared" si="7"/>
        <v>36 tahun</v>
      </c>
      <c r="X487" s="1" t="s">
        <v>112</v>
      </c>
      <c r="Y487" s="1" t="s">
        <v>48</v>
      </c>
      <c r="Z487" s="2">
        <v>41275</v>
      </c>
      <c r="AA487" s="2">
        <v>41426</v>
      </c>
      <c r="AB487" s="2" t="s">
        <v>2619</v>
      </c>
    </row>
    <row r="488" spans="1:28" x14ac:dyDescent="0.35">
      <c r="A488" s="12">
        <v>6150</v>
      </c>
      <c r="B488" s="12">
        <v>9112319</v>
      </c>
      <c r="C488" s="12" t="s">
        <v>103</v>
      </c>
      <c r="D488" s="12">
        <v>50023742</v>
      </c>
      <c r="E488" s="1" t="s">
        <v>2620</v>
      </c>
      <c r="F488" s="1" t="str">
        <f>VLOOKUP(A488,[1]Sheet1!$A$2:$E$1141,5,0)</f>
        <v>Spv of Line 5 RM Mach PvM</v>
      </c>
      <c r="G488" s="17" t="str">
        <f>VLOOKUP(A488,[1]Sheet1!$A$2:$F$1141,6,0)</f>
        <v>Supervisor</v>
      </c>
      <c r="H488" s="1" t="s">
        <v>2621</v>
      </c>
      <c r="I488" s="1" t="s">
        <v>1117</v>
      </c>
      <c r="J488" s="1" t="str">
        <f>VLOOKUP(A488,[1]Sheet1!$A$2:$H$1141,8,0)</f>
        <v>Dept. of Maintenance</v>
      </c>
      <c r="K488" s="1" t="str">
        <f>VLOOKUP(A488,[1]Sheet1!$A$2:$I$1141,9,0)</f>
        <v>Unit of Machine Maintenance 2</v>
      </c>
      <c r="L488" s="1" t="str">
        <f>VLOOKUP(A488,[1]Sheet1!$A$2:$J$1141,10,0)</f>
        <v>Section of Line 4/5 RM Machine Maint</v>
      </c>
      <c r="M488" s="2">
        <v>33239</v>
      </c>
      <c r="N488" s="1" t="s">
        <v>29</v>
      </c>
      <c r="O488" s="1" t="s">
        <v>30</v>
      </c>
      <c r="P488" s="1" t="s">
        <v>2622</v>
      </c>
      <c r="Q488" s="1" t="s">
        <v>2623</v>
      </c>
      <c r="R488" s="1" t="s">
        <v>2624</v>
      </c>
      <c r="S488" s="1" t="s">
        <v>2468</v>
      </c>
      <c r="T488" s="14">
        <v>53724</v>
      </c>
      <c r="U488" s="1" t="s">
        <v>2625</v>
      </c>
      <c r="V488" s="1" t="s">
        <v>36</v>
      </c>
      <c r="W488" s="3" t="str">
        <f t="shared" si="7"/>
        <v>35 tahun</v>
      </c>
      <c r="X488" s="1" t="s">
        <v>112</v>
      </c>
      <c r="Y488" s="1" t="s">
        <v>56</v>
      </c>
      <c r="Z488" s="2">
        <v>41275</v>
      </c>
      <c r="AA488" s="2">
        <v>41426</v>
      </c>
      <c r="AB488" s="2" t="s">
        <v>2626</v>
      </c>
    </row>
    <row r="489" spans="1:28" x14ac:dyDescent="0.35">
      <c r="A489" s="12">
        <v>5872</v>
      </c>
      <c r="B489" s="12">
        <v>8612039</v>
      </c>
      <c r="C489" s="12" t="s">
        <v>103</v>
      </c>
      <c r="D489" s="12">
        <v>50008082</v>
      </c>
      <c r="E489" s="1" t="s">
        <v>2627</v>
      </c>
      <c r="F489" s="1" t="str">
        <f>VLOOKUP(A489,[1]Sheet1!$A$2:$E$1141,5,0)</f>
        <v>Spv of Line 5 RM Mach PdM&amp;PM Schd</v>
      </c>
      <c r="G489" s="17" t="str">
        <f>VLOOKUP(A489,[1]Sheet1!$A$2:$F$1141,6,0)</f>
        <v>Supervisor</v>
      </c>
      <c r="H489" s="1" t="s">
        <v>2440</v>
      </c>
      <c r="I489" s="1" t="s">
        <v>1117</v>
      </c>
      <c r="J489" s="1" t="str">
        <f>VLOOKUP(A489,[1]Sheet1!$A$2:$H$1141,8,0)</f>
        <v>Dept. of Maintenance</v>
      </c>
      <c r="K489" s="1" t="str">
        <f>VLOOKUP(A489,[1]Sheet1!$A$2:$I$1141,9,0)</f>
        <v>Unit of Machine Maintenance 2</v>
      </c>
      <c r="L489" s="1" t="str">
        <f>VLOOKUP(A489,[1]Sheet1!$A$2:$J$1141,10,0)</f>
        <v>Section of Line 4/5 RM Machine Maint</v>
      </c>
      <c r="M489" s="2">
        <v>31492</v>
      </c>
      <c r="N489" s="1" t="s">
        <v>29</v>
      </c>
      <c r="O489" s="1" t="s">
        <v>30</v>
      </c>
      <c r="P489" s="1" t="s">
        <v>2628</v>
      </c>
      <c r="Q489" s="1" t="s">
        <v>2629</v>
      </c>
      <c r="R489" s="1" t="s">
        <v>2630</v>
      </c>
      <c r="S489" s="1" t="s">
        <v>2444</v>
      </c>
      <c r="T489" s="14">
        <v>51957</v>
      </c>
      <c r="U489" s="1" t="s">
        <v>2631</v>
      </c>
      <c r="V489" s="1" t="s">
        <v>36</v>
      </c>
      <c r="W489" s="3" t="str">
        <f t="shared" si="7"/>
        <v>40 tahun</v>
      </c>
      <c r="X489" s="1" t="s">
        <v>121</v>
      </c>
      <c r="Y489" s="1" t="s">
        <v>56</v>
      </c>
      <c r="Z489" s="2">
        <v>41275</v>
      </c>
      <c r="AA489" s="2">
        <v>41426</v>
      </c>
      <c r="AB489" s="2" t="s">
        <v>2632</v>
      </c>
    </row>
    <row r="490" spans="1:28" x14ac:dyDescent="0.35">
      <c r="A490" s="12">
        <v>6036</v>
      </c>
      <c r="B490" s="12">
        <v>8912203</v>
      </c>
      <c r="C490" s="12" t="s">
        <v>103</v>
      </c>
      <c r="D490" s="12">
        <v>50069502</v>
      </c>
      <c r="E490" s="1" t="s">
        <v>2633</v>
      </c>
      <c r="F490" s="1" t="str">
        <f>VLOOKUP(A490,[1]Sheet1!$A$2:$E$1141,5,0)</f>
        <v>Spv of Line 5 RM Mach PdM&amp;PM Schd</v>
      </c>
      <c r="G490" s="17" t="str">
        <f>VLOOKUP(A490,[1]Sheet1!$A$2:$F$1141,6,0)</f>
        <v>Supervisor</v>
      </c>
      <c r="H490" s="1" t="s">
        <v>2440</v>
      </c>
      <c r="I490" s="1" t="s">
        <v>1117</v>
      </c>
      <c r="J490" s="1" t="str">
        <f>VLOOKUP(A490,[1]Sheet1!$A$2:$H$1141,8,0)</f>
        <v>Dept. of Maintenance</v>
      </c>
      <c r="K490" s="1" t="str">
        <f>VLOOKUP(A490,[1]Sheet1!$A$2:$I$1141,9,0)</f>
        <v>Unit of Machine Maintenance 2</v>
      </c>
      <c r="L490" s="1" t="str">
        <f>VLOOKUP(A490,[1]Sheet1!$A$2:$J$1141,10,0)</f>
        <v>Section of Line 4/5 RM Machine Maint</v>
      </c>
      <c r="M490" s="2">
        <v>32709</v>
      </c>
      <c r="N490" s="1" t="s">
        <v>29</v>
      </c>
      <c r="O490" s="1" t="s">
        <v>30</v>
      </c>
      <c r="P490" s="1" t="s">
        <v>2634</v>
      </c>
      <c r="Q490" s="1" t="s">
        <v>2629</v>
      </c>
      <c r="R490" s="1" t="s">
        <v>2630</v>
      </c>
      <c r="S490" s="1" t="s">
        <v>2444</v>
      </c>
      <c r="T490" s="14">
        <v>53175</v>
      </c>
      <c r="U490" s="1" t="s">
        <v>2635</v>
      </c>
      <c r="V490" s="1" t="s">
        <v>36</v>
      </c>
      <c r="W490" s="3" t="str">
        <f t="shared" si="7"/>
        <v>37 tahun</v>
      </c>
      <c r="X490" s="1" t="s">
        <v>204</v>
      </c>
      <c r="Y490" s="1" t="s">
        <v>56</v>
      </c>
      <c r="Z490" s="2">
        <v>41275</v>
      </c>
      <c r="AA490" s="2">
        <v>41456</v>
      </c>
      <c r="AB490" s="2" t="s">
        <v>2636</v>
      </c>
    </row>
    <row r="491" spans="1:28" x14ac:dyDescent="0.35">
      <c r="A491" s="12">
        <v>5870</v>
      </c>
      <c r="B491" s="12">
        <v>8612037</v>
      </c>
      <c r="C491" s="12" t="s">
        <v>103</v>
      </c>
      <c r="D491" s="12">
        <v>50069503</v>
      </c>
      <c r="E491" s="1" t="s">
        <v>2637</v>
      </c>
      <c r="F491" s="1" t="str">
        <f>VLOOKUP(A491,[1]Sheet1!$A$2:$E$1141,5,0)</f>
        <v>Spv of Line 4 Kiln&amp;CM Mach PdM&amp;PM Schd</v>
      </c>
      <c r="G491" s="17" t="str">
        <f>VLOOKUP(A491,[1]Sheet1!$A$2:$F$1141,6,0)</f>
        <v>Supervisor</v>
      </c>
      <c r="H491" s="1" t="s">
        <v>2638</v>
      </c>
      <c r="I491" s="1" t="s">
        <v>1117</v>
      </c>
      <c r="J491" s="1" t="str">
        <f>VLOOKUP(A491,[1]Sheet1!$A$2:$H$1141,8,0)</f>
        <v>Dept. of Maintenance</v>
      </c>
      <c r="K491" s="1" t="str">
        <f>VLOOKUP(A491,[1]Sheet1!$A$2:$I$1141,9,0)</f>
        <v>Unit of Machine Maintenance 2</v>
      </c>
      <c r="L491" s="1" t="str">
        <f>VLOOKUP(A491,[1]Sheet1!$A$2:$J$1141,10,0)</f>
        <v>Section of Line 4/5 Kiln &amp; CM Mach Maint</v>
      </c>
      <c r="M491" s="2">
        <v>31490</v>
      </c>
      <c r="N491" s="1" t="s">
        <v>29</v>
      </c>
      <c r="O491" s="1" t="s">
        <v>30</v>
      </c>
      <c r="P491" s="1" t="s">
        <v>2639</v>
      </c>
      <c r="Q491" s="1" t="s">
        <v>2640</v>
      </c>
      <c r="R491" s="1" t="s">
        <v>2641</v>
      </c>
      <c r="S491" s="1" t="s">
        <v>2642</v>
      </c>
      <c r="T491" s="14">
        <v>51957</v>
      </c>
      <c r="U491" s="1" t="s">
        <v>2643</v>
      </c>
      <c r="V491" s="1" t="s">
        <v>36</v>
      </c>
      <c r="W491" s="3" t="str">
        <f t="shared" si="7"/>
        <v>40 tahun</v>
      </c>
      <c r="X491" s="1" t="s">
        <v>1274</v>
      </c>
      <c r="Y491" s="1" t="s">
        <v>56</v>
      </c>
      <c r="Z491" s="2">
        <v>41275</v>
      </c>
      <c r="AA491" s="2">
        <v>41426</v>
      </c>
      <c r="AB491" s="2" t="s">
        <v>2644</v>
      </c>
    </row>
    <row r="492" spans="1:28" x14ac:dyDescent="0.35">
      <c r="A492" s="12">
        <v>6239</v>
      </c>
      <c r="B492" s="12">
        <v>9212407</v>
      </c>
      <c r="C492" s="12" t="s">
        <v>103</v>
      </c>
      <c r="D492" s="12">
        <v>50069504</v>
      </c>
      <c r="E492" s="1" t="s">
        <v>2645</v>
      </c>
      <c r="F492" s="1" t="str">
        <f>VLOOKUP(A492,[1]Sheet1!$A$2:$E$1141,5,0)</f>
        <v>Spv of Line 4 Kiln&amp;CM Mach PdM&amp;PM Schd</v>
      </c>
      <c r="G492" s="17" t="str">
        <f>VLOOKUP(A492,[1]Sheet1!$A$2:$F$1141,6,0)</f>
        <v>Supervisor</v>
      </c>
      <c r="H492" s="1" t="s">
        <v>2638</v>
      </c>
      <c r="I492" s="1" t="s">
        <v>1117</v>
      </c>
      <c r="J492" s="1" t="str">
        <f>VLOOKUP(A492,[1]Sheet1!$A$2:$H$1141,8,0)</f>
        <v>Dept. of Maintenance</v>
      </c>
      <c r="K492" s="1" t="str">
        <f>VLOOKUP(A492,[1]Sheet1!$A$2:$I$1141,9,0)</f>
        <v>Unit of Machine Maintenance 2</v>
      </c>
      <c r="L492" s="1" t="str">
        <f>VLOOKUP(A492,[1]Sheet1!$A$2:$J$1141,10,0)</f>
        <v>Section of Line 4/5 Kiln &amp; CM Mach Maint</v>
      </c>
      <c r="M492" s="2">
        <v>33668</v>
      </c>
      <c r="N492" s="1" t="s">
        <v>29</v>
      </c>
      <c r="O492" s="1" t="s">
        <v>30</v>
      </c>
      <c r="P492" s="1" t="s">
        <v>2646</v>
      </c>
      <c r="Q492" s="1" t="s">
        <v>2640</v>
      </c>
      <c r="R492" s="1" t="s">
        <v>2641</v>
      </c>
      <c r="S492" s="1" t="s">
        <v>2642</v>
      </c>
      <c r="T492" s="14">
        <v>54149</v>
      </c>
      <c r="U492" s="1" t="s">
        <v>2647</v>
      </c>
      <c r="V492" s="1" t="s">
        <v>36</v>
      </c>
      <c r="W492" s="3" t="str">
        <f t="shared" si="7"/>
        <v>34 tahun</v>
      </c>
      <c r="X492" s="1" t="s">
        <v>112</v>
      </c>
      <c r="Y492" s="1" t="s">
        <v>56</v>
      </c>
      <c r="Z492" s="2">
        <v>41275</v>
      </c>
      <c r="AA492" s="2">
        <v>41456</v>
      </c>
      <c r="AB492" s="2" t="s">
        <v>2648</v>
      </c>
    </row>
    <row r="493" spans="1:28" x14ac:dyDescent="0.35">
      <c r="A493" s="12">
        <v>5930</v>
      </c>
      <c r="B493" s="12">
        <v>8712096</v>
      </c>
      <c r="C493" s="12" t="s">
        <v>103</v>
      </c>
      <c r="D493" s="12">
        <v>50007880</v>
      </c>
      <c r="E493" s="1" t="s">
        <v>2649</v>
      </c>
      <c r="F493" s="1" t="str">
        <f>VLOOKUP(A493,[1]Sheet1!$A$2:$E$1141,5,0)</f>
        <v>Spv of Line 4 Kiln&amp;CM Mach PdM&amp;PM Schd</v>
      </c>
      <c r="G493" s="17" t="str">
        <f>VLOOKUP(A493,[1]Sheet1!$A$2:$F$1141,6,0)</f>
        <v>Supervisor</v>
      </c>
      <c r="H493" s="1" t="s">
        <v>2638</v>
      </c>
      <c r="I493" s="1" t="s">
        <v>1117</v>
      </c>
      <c r="J493" s="1" t="str">
        <f>VLOOKUP(A493,[1]Sheet1!$A$2:$H$1141,8,0)</f>
        <v>Dept. of Maintenance</v>
      </c>
      <c r="K493" s="1" t="str">
        <f>VLOOKUP(A493,[1]Sheet1!$A$2:$I$1141,9,0)</f>
        <v>Unit of Machine Maintenance 2</v>
      </c>
      <c r="L493" s="1" t="str">
        <f>VLOOKUP(A493,[1]Sheet1!$A$2:$J$1141,10,0)</f>
        <v>Section of Line 4/5 Kiln &amp; CM Mach Maint</v>
      </c>
      <c r="M493" s="2">
        <v>32029</v>
      </c>
      <c r="N493" s="1" t="s">
        <v>29</v>
      </c>
      <c r="O493" s="1" t="s">
        <v>30</v>
      </c>
      <c r="P493" s="1" t="s">
        <v>2650</v>
      </c>
      <c r="Q493" s="1" t="s">
        <v>2640</v>
      </c>
      <c r="R493" s="1" t="s">
        <v>2641</v>
      </c>
      <c r="S493" s="1" t="s">
        <v>2642</v>
      </c>
      <c r="T493" s="14">
        <v>52505</v>
      </c>
      <c r="U493" s="1" t="s">
        <v>2651</v>
      </c>
      <c r="V493" s="1" t="s">
        <v>36</v>
      </c>
      <c r="W493" s="3" t="str">
        <f t="shared" si="7"/>
        <v>38 tahun</v>
      </c>
      <c r="X493" s="1" t="s">
        <v>204</v>
      </c>
      <c r="Y493" s="1" t="s">
        <v>48</v>
      </c>
      <c r="Z493" s="2">
        <v>41275</v>
      </c>
      <c r="AA493" s="2">
        <v>41365</v>
      </c>
      <c r="AB493" s="2" t="s">
        <v>2652</v>
      </c>
    </row>
    <row r="494" spans="1:28" x14ac:dyDescent="0.35">
      <c r="A494" s="12">
        <v>6103</v>
      </c>
      <c r="B494" s="12">
        <v>9012272</v>
      </c>
      <c r="C494" s="12" t="s">
        <v>103</v>
      </c>
      <c r="D494" s="12">
        <v>50007878</v>
      </c>
      <c r="E494" s="1" t="s">
        <v>2653</v>
      </c>
      <c r="F494" s="1" t="str">
        <f>VLOOKUP(A494,[1]Sheet1!$A$2:$E$1141,5,0)</f>
        <v>Spv of Line 4 Kiln &amp; CM Machine PvM</v>
      </c>
      <c r="G494" s="17" t="str">
        <f>VLOOKUP(A494,[1]Sheet1!$A$2:$F$1141,6,0)</f>
        <v>Supervisor</v>
      </c>
      <c r="H494" s="1" t="s">
        <v>2638</v>
      </c>
      <c r="I494" s="1" t="s">
        <v>1117</v>
      </c>
      <c r="J494" s="1" t="str">
        <f>VLOOKUP(A494,[1]Sheet1!$A$2:$H$1141,8,0)</f>
        <v>Dept. of Maintenance</v>
      </c>
      <c r="K494" s="1" t="str">
        <f>VLOOKUP(A494,[1]Sheet1!$A$2:$I$1141,9,0)</f>
        <v>Unit of Machine Maintenance 2</v>
      </c>
      <c r="L494" s="1" t="str">
        <f>VLOOKUP(A494,[1]Sheet1!$A$2:$J$1141,10,0)</f>
        <v>Section of Line 4/5 Kiln &amp; CM Mach Maint</v>
      </c>
      <c r="M494" s="2">
        <v>33067</v>
      </c>
      <c r="N494" s="1" t="s">
        <v>29</v>
      </c>
      <c r="O494" s="1" t="s">
        <v>30</v>
      </c>
      <c r="P494" s="1" t="s">
        <v>2654</v>
      </c>
      <c r="Q494" s="1" t="s">
        <v>2655</v>
      </c>
      <c r="R494" s="1" t="s">
        <v>2656</v>
      </c>
      <c r="S494" s="1" t="s">
        <v>2642</v>
      </c>
      <c r="T494" s="14">
        <v>53540</v>
      </c>
      <c r="U494" s="1" t="s">
        <v>2657</v>
      </c>
      <c r="V494" s="1" t="s">
        <v>186</v>
      </c>
      <c r="W494" s="3" t="str">
        <f t="shared" si="7"/>
        <v>36 tahun</v>
      </c>
      <c r="X494" s="1" t="s">
        <v>112</v>
      </c>
      <c r="Y494" s="1" t="s">
        <v>56</v>
      </c>
      <c r="Z494" s="2">
        <v>41275</v>
      </c>
      <c r="AA494" s="2">
        <v>41426</v>
      </c>
      <c r="AB494" s="2" t="s">
        <v>2658</v>
      </c>
    </row>
    <row r="495" spans="1:28" x14ac:dyDescent="0.35">
      <c r="A495" s="12">
        <v>6102</v>
      </c>
      <c r="B495" s="12">
        <v>9012271</v>
      </c>
      <c r="C495" s="12" t="s">
        <v>103</v>
      </c>
      <c r="D495" s="12">
        <v>50043776</v>
      </c>
      <c r="E495" s="1" t="s">
        <v>2659</v>
      </c>
      <c r="F495" s="1" t="str">
        <f>VLOOKUP(A495,[1]Sheet1!$A$2:$E$1141,5,0)</f>
        <v>Spv of Line 5 Kiln&amp;CM Mech PdM&amp;PM Schd</v>
      </c>
      <c r="G495" s="17" t="str">
        <f>VLOOKUP(A495,[1]Sheet1!$A$2:$F$1141,6,0)</f>
        <v>Supervisor</v>
      </c>
      <c r="H495" s="1" t="s">
        <v>2638</v>
      </c>
      <c r="I495" s="1" t="s">
        <v>1117</v>
      </c>
      <c r="J495" s="1" t="str">
        <f>VLOOKUP(A495,[1]Sheet1!$A$2:$H$1141,8,0)</f>
        <v>Dept. of Maintenance</v>
      </c>
      <c r="K495" s="1" t="str">
        <f>VLOOKUP(A495,[1]Sheet1!$A$2:$I$1141,9,0)</f>
        <v>Unit of Machine Maintenance 2</v>
      </c>
      <c r="L495" s="1" t="str">
        <f>VLOOKUP(A495,[1]Sheet1!$A$2:$J$1141,10,0)</f>
        <v>Section of Line 4/5 Kiln &amp; CM Mach Maint</v>
      </c>
      <c r="M495" s="2">
        <v>33066</v>
      </c>
      <c r="N495" s="1" t="s">
        <v>29</v>
      </c>
      <c r="O495" s="1" t="s">
        <v>30</v>
      </c>
      <c r="P495" s="1" t="s">
        <v>2660</v>
      </c>
      <c r="Q495" s="1" t="s">
        <v>2661</v>
      </c>
      <c r="R495" s="1" t="s">
        <v>2662</v>
      </c>
      <c r="S495" s="1" t="s">
        <v>2642</v>
      </c>
      <c r="T495" s="14">
        <v>53540</v>
      </c>
      <c r="U495" s="1" t="s">
        <v>2663</v>
      </c>
      <c r="V495" s="1" t="s">
        <v>36</v>
      </c>
      <c r="W495" s="3" t="str">
        <f t="shared" si="7"/>
        <v>36 tahun</v>
      </c>
      <c r="X495" s="1" t="s">
        <v>112</v>
      </c>
      <c r="Y495" s="1" t="s">
        <v>56</v>
      </c>
      <c r="Z495" s="2">
        <v>41275</v>
      </c>
      <c r="AA495" s="2">
        <v>41395</v>
      </c>
      <c r="AB495" s="2" t="s">
        <v>2664</v>
      </c>
    </row>
    <row r="496" spans="1:28" x14ac:dyDescent="0.35">
      <c r="A496" s="12">
        <v>6047</v>
      </c>
      <c r="B496" s="12">
        <v>8912215</v>
      </c>
      <c r="C496" s="12" t="s">
        <v>103</v>
      </c>
      <c r="D496" s="12">
        <v>50069505</v>
      </c>
      <c r="E496" s="1" t="s">
        <v>1348</v>
      </c>
      <c r="F496" s="1" t="str">
        <f>VLOOKUP(A496,[1]Sheet1!$A$2:$E$1141,5,0)</f>
        <v>Spv of Line 5 Kiln&amp;CM Mech PdM&amp;PM Schd</v>
      </c>
      <c r="G496" s="17" t="str">
        <f>VLOOKUP(A496,[1]Sheet1!$A$2:$F$1141,6,0)</f>
        <v>Supervisor</v>
      </c>
      <c r="H496" s="1" t="s">
        <v>2638</v>
      </c>
      <c r="I496" s="1" t="s">
        <v>1117</v>
      </c>
      <c r="J496" s="1" t="str">
        <f>VLOOKUP(A496,[1]Sheet1!$A$2:$H$1141,8,0)</f>
        <v>Dept. of Maintenance</v>
      </c>
      <c r="K496" s="1" t="str">
        <f>VLOOKUP(A496,[1]Sheet1!$A$2:$I$1141,9,0)</f>
        <v>Unit of Machine Maintenance 2</v>
      </c>
      <c r="L496" s="1" t="str">
        <f>VLOOKUP(A496,[1]Sheet1!$A$2:$J$1141,10,0)</f>
        <v>Section of Line 4/5 Kiln &amp; CM Mach Maint</v>
      </c>
      <c r="M496" s="2">
        <v>32771</v>
      </c>
      <c r="N496" s="1" t="s">
        <v>29</v>
      </c>
      <c r="O496" s="1" t="s">
        <v>30</v>
      </c>
      <c r="P496" s="1" t="s">
        <v>2665</v>
      </c>
      <c r="Q496" s="1" t="s">
        <v>2661</v>
      </c>
      <c r="R496" s="1" t="s">
        <v>2662</v>
      </c>
      <c r="S496" s="1" t="s">
        <v>2642</v>
      </c>
      <c r="T496" s="14">
        <v>53236</v>
      </c>
      <c r="U496" s="1" t="s">
        <v>2666</v>
      </c>
      <c r="V496" s="1" t="s">
        <v>36</v>
      </c>
      <c r="W496" s="3" t="str">
        <f t="shared" si="7"/>
        <v>36 tahun</v>
      </c>
      <c r="X496" s="1" t="s">
        <v>137</v>
      </c>
      <c r="Y496" s="1" t="s">
        <v>56</v>
      </c>
      <c r="Z496" s="2">
        <v>41275</v>
      </c>
      <c r="AA496" s="2">
        <v>41395</v>
      </c>
      <c r="AB496" s="2" t="s">
        <v>2667</v>
      </c>
    </row>
    <row r="497" spans="1:28" x14ac:dyDescent="0.35">
      <c r="A497" s="12">
        <v>5895</v>
      </c>
      <c r="B497" s="12">
        <v>8612062</v>
      </c>
      <c r="C497" s="12" t="s">
        <v>103</v>
      </c>
      <c r="D497" s="12">
        <v>50069506</v>
      </c>
      <c r="E497" s="1" t="s">
        <v>2668</v>
      </c>
      <c r="F497" s="1" t="str">
        <f>VLOOKUP(A497,[1]Sheet1!$A$2:$E$1141,5,0)</f>
        <v>Spv of Line 5 Kiln&amp;CM Mech PdM&amp;PM Schd</v>
      </c>
      <c r="G497" s="17" t="str">
        <f>VLOOKUP(A497,[1]Sheet1!$A$2:$F$1141,6,0)</f>
        <v>Supervisor</v>
      </c>
      <c r="H497" s="1" t="s">
        <v>2638</v>
      </c>
      <c r="I497" s="1" t="s">
        <v>1117</v>
      </c>
      <c r="J497" s="1" t="str">
        <f>VLOOKUP(A497,[1]Sheet1!$A$2:$H$1141,8,0)</f>
        <v>Dept. of Maintenance</v>
      </c>
      <c r="K497" s="1" t="str">
        <f>VLOOKUP(A497,[1]Sheet1!$A$2:$I$1141,9,0)</f>
        <v>Unit of Machine Maintenance 2</v>
      </c>
      <c r="L497" s="1" t="str">
        <f>VLOOKUP(A497,[1]Sheet1!$A$2:$J$1141,10,0)</f>
        <v>Section of Line 4/5 Kiln &amp; CM Mach Maint</v>
      </c>
      <c r="M497" s="2">
        <v>31736</v>
      </c>
      <c r="N497" s="1" t="s">
        <v>29</v>
      </c>
      <c r="O497" s="1" t="s">
        <v>30</v>
      </c>
      <c r="P497" s="1" t="s">
        <v>2669</v>
      </c>
      <c r="Q497" s="1" t="s">
        <v>2661</v>
      </c>
      <c r="R497" s="1" t="s">
        <v>2662</v>
      </c>
      <c r="S497" s="1" t="s">
        <v>2642</v>
      </c>
      <c r="T497" s="14">
        <v>52201</v>
      </c>
      <c r="U497" s="1" t="s">
        <v>2670</v>
      </c>
      <c r="V497" s="1" t="s">
        <v>36</v>
      </c>
      <c r="W497" s="3" t="str">
        <f t="shared" si="7"/>
        <v>39 tahun</v>
      </c>
      <c r="X497" s="1" t="s">
        <v>2671</v>
      </c>
      <c r="Y497" s="1" t="s">
        <v>56</v>
      </c>
      <c r="Z497" s="2">
        <v>41275</v>
      </c>
      <c r="AA497" s="2">
        <v>41426</v>
      </c>
      <c r="AB497" s="2" t="s">
        <v>2672</v>
      </c>
    </row>
    <row r="498" spans="1:28" x14ac:dyDescent="0.35">
      <c r="A498" s="12">
        <v>5923</v>
      </c>
      <c r="B498" s="12">
        <v>8712131</v>
      </c>
      <c r="C498" s="12" t="s">
        <v>103</v>
      </c>
      <c r="D498" s="12">
        <v>50069507</v>
      </c>
      <c r="E498" s="1" t="s">
        <v>2673</v>
      </c>
      <c r="F498" s="1" t="str">
        <f>VLOOKUP(A498,[1]Sheet1!$A$2:$E$1141,5,0)</f>
        <v>Spv of Line 5 Kiln&amp;CM Mech PdM&amp;PM Schd</v>
      </c>
      <c r="G498" s="17" t="str">
        <f>VLOOKUP(A498,[1]Sheet1!$A$2:$F$1141,6,0)</f>
        <v>Supervisor</v>
      </c>
      <c r="H498" s="1" t="s">
        <v>2638</v>
      </c>
      <c r="I498" s="1" t="s">
        <v>1117</v>
      </c>
      <c r="J498" s="1" t="str">
        <f>VLOOKUP(A498,[1]Sheet1!$A$2:$H$1141,8,0)</f>
        <v>Dept. of Maintenance</v>
      </c>
      <c r="K498" s="1" t="str">
        <f>VLOOKUP(A498,[1]Sheet1!$A$2:$I$1141,9,0)</f>
        <v>Unit of Machine Maintenance 2</v>
      </c>
      <c r="L498" s="1" t="str">
        <f>VLOOKUP(A498,[1]Sheet1!$A$2:$J$1141,10,0)</f>
        <v>Section of Line 4/5 Kiln &amp; CM Mach Maint</v>
      </c>
      <c r="M498" s="2">
        <v>31964</v>
      </c>
      <c r="N498" s="1" t="s">
        <v>29</v>
      </c>
      <c r="O498" s="1" t="s">
        <v>30</v>
      </c>
      <c r="P498" s="1" t="s">
        <v>2674</v>
      </c>
      <c r="Q498" s="1" t="s">
        <v>2661</v>
      </c>
      <c r="R498" s="1" t="s">
        <v>2662</v>
      </c>
      <c r="S498" s="1" t="s">
        <v>2642</v>
      </c>
      <c r="T498" s="14">
        <v>52444</v>
      </c>
      <c r="U498" s="1" t="s">
        <v>2675</v>
      </c>
      <c r="V498" s="1" t="s">
        <v>36</v>
      </c>
      <c r="W498" s="3" t="str">
        <f t="shared" si="7"/>
        <v>39 tahun</v>
      </c>
      <c r="X498" s="1" t="s">
        <v>112</v>
      </c>
      <c r="Y498" s="1" t="s">
        <v>56</v>
      </c>
      <c r="Z498" s="2">
        <v>41275</v>
      </c>
      <c r="AA498" s="2">
        <v>41395</v>
      </c>
      <c r="AB498" s="2" t="s">
        <v>2676</v>
      </c>
    </row>
    <row r="499" spans="1:28" x14ac:dyDescent="0.35">
      <c r="A499" s="12">
        <v>5865</v>
      </c>
      <c r="B499" s="12">
        <v>8612032</v>
      </c>
      <c r="C499" s="12" t="s">
        <v>103</v>
      </c>
      <c r="D499" s="12">
        <v>50043777</v>
      </c>
      <c r="E499" s="1" t="s">
        <v>2677</v>
      </c>
      <c r="F499" s="1" t="str">
        <f>VLOOKUP(A499,[1]Sheet1!$A$2:$E$1141,5,0)</f>
        <v>Spv of Line 5 Kiln &amp; CM Mech PvM</v>
      </c>
      <c r="G499" s="17" t="str">
        <f>VLOOKUP(A499,[1]Sheet1!$A$2:$F$1141,6,0)</f>
        <v>Supervisor</v>
      </c>
      <c r="H499" s="1" t="s">
        <v>2638</v>
      </c>
      <c r="I499" s="1" t="s">
        <v>1117</v>
      </c>
      <c r="J499" s="1" t="str">
        <f>VLOOKUP(A499,[1]Sheet1!$A$2:$H$1141,8,0)</f>
        <v>Dept. of Maintenance</v>
      </c>
      <c r="K499" s="1" t="str">
        <f>VLOOKUP(A499,[1]Sheet1!$A$2:$I$1141,9,0)</f>
        <v>Unit of Machine Maintenance 2</v>
      </c>
      <c r="L499" s="1" t="str">
        <f>VLOOKUP(A499,[1]Sheet1!$A$2:$J$1141,10,0)</f>
        <v>Section of Line 4/5 Kiln &amp; CM Mach Maint</v>
      </c>
      <c r="M499" s="2">
        <v>31437</v>
      </c>
      <c r="N499" s="1" t="s">
        <v>29</v>
      </c>
      <c r="O499" s="1" t="s">
        <v>30</v>
      </c>
      <c r="P499" s="1" t="s">
        <v>2678</v>
      </c>
      <c r="Q499" s="1" t="s">
        <v>2679</v>
      </c>
      <c r="R499" s="1" t="s">
        <v>2680</v>
      </c>
      <c r="S499" s="1" t="s">
        <v>2642</v>
      </c>
      <c r="T499" s="14">
        <v>51898</v>
      </c>
      <c r="U499" s="1" t="s">
        <v>2681</v>
      </c>
      <c r="V499" s="1" t="s">
        <v>36</v>
      </c>
      <c r="W499" s="3" t="str">
        <f t="shared" si="7"/>
        <v>40 tahun</v>
      </c>
      <c r="X499" s="1" t="s">
        <v>55</v>
      </c>
      <c r="Y499" s="1" t="s">
        <v>56</v>
      </c>
      <c r="Z499" s="2">
        <v>41275</v>
      </c>
      <c r="AA499" s="2">
        <v>41395</v>
      </c>
      <c r="AB499" s="2" t="s">
        <v>2682</v>
      </c>
    </row>
    <row r="500" spans="1:28" x14ac:dyDescent="0.35">
      <c r="A500" s="12">
        <v>5947</v>
      </c>
      <c r="B500" s="12">
        <v>8712113</v>
      </c>
      <c r="C500" s="12" t="s">
        <v>103</v>
      </c>
      <c r="D500" s="12">
        <v>50065477</v>
      </c>
      <c r="E500" s="1" t="s">
        <v>2683</v>
      </c>
      <c r="F500" s="1" t="str">
        <f>VLOOKUP(A500,[1]Sheet1!$A$2:$E$1141,5,0)</f>
        <v>Spv of AFR Mach Maint</v>
      </c>
      <c r="G500" s="17" t="str">
        <f>VLOOKUP(A500,[1]Sheet1!$A$2:$F$1141,6,0)</f>
        <v>Supervisor</v>
      </c>
      <c r="H500" s="1" t="s">
        <v>2638</v>
      </c>
      <c r="I500" s="1" t="s">
        <v>1117</v>
      </c>
      <c r="J500" s="1" t="str">
        <f>VLOOKUP(A500,[1]Sheet1!$A$2:$H$1141,8,0)</f>
        <v>Dept. of Maintenance</v>
      </c>
      <c r="K500" s="1" t="str">
        <f>VLOOKUP(A500,[1]Sheet1!$A$2:$I$1141,9,0)</f>
        <v>Unit of Machine Maintenance 2</v>
      </c>
      <c r="L500" s="1" t="str">
        <f>VLOOKUP(A500,[1]Sheet1!$A$2:$J$1141,10,0)</f>
        <v>Section of Line 4/5 Kiln &amp; CM Mach Maint</v>
      </c>
      <c r="M500" s="2">
        <v>32116</v>
      </c>
      <c r="N500" s="1" t="s">
        <v>29</v>
      </c>
      <c r="O500" s="1" t="s">
        <v>30</v>
      </c>
      <c r="P500" s="1" t="s">
        <v>2678</v>
      </c>
      <c r="Q500" s="1" t="s">
        <v>2679</v>
      </c>
      <c r="R500" s="1" t="s">
        <v>2684</v>
      </c>
      <c r="S500" s="1" t="s">
        <v>2642</v>
      </c>
      <c r="T500" s="14">
        <v>52597</v>
      </c>
      <c r="U500" s="1" t="s">
        <v>2685</v>
      </c>
      <c r="V500" s="1" t="s">
        <v>36</v>
      </c>
      <c r="W500" s="3" t="str">
        <f t="shared" si="7"/>
        <v>38 tahun</v>
      </c>
      <c r="X500" s="1" t="s">
        <v>112</v>
      </c>
      <c r="Y500" s="1" t="s">
        <v>56</v>
      </c>
      <c r="Z500" s="2">
        <v>41275</v>
      </c>
      <c r="AA500" s="2">
        <v>41365</v>
      </c>
      <c r="AB500" s="2" t="s">
        <v>2686</v>
      </c>
    </row>
    <row r="501" spans="1:28" x14ac:dyDescent="0.35">
      <c r="A501" s="12">
        <v>8281</v>
      </c>
      <c r="B501" s="12">
        <v>9923007</v>
      </c>
      <c r="C501" s="12" t="s">
        <v>158</v>
      </c>
      <c r="D501" s="12">
        <v>50069508</v>
      </c>
      <c r="E501" s="1" t="s">
        <v>2687</v>
      </c>
      <c r="F501" s="1" t="str">
        <f>VLOOKUP(A501,[1]Sheet1!$A$2:$E$1141,5,0)</f>
        <v>Spv of AFR Mach Maint</v>
      </c>
      <c r="G501" s="17" t="str">
        <f>VLOOKUP(A501,[1]Sheet1!$A$2:$F$1141,6,0)</f>
        <v>Supervisor</v>
      </c>
      <c r="H501" s="1" t="s">
        <v>2638</v>
      </c>
      <c r="I501" s="1" t="s">
        <v>1117</v>
      </c>
      <c r="J501" s="1" t="str">
        <f>VLOOKUP(A501,[1]Sheet1!$A$2:$H$1141,8,0)</f>
        <v>Dept. of Maintenance</v>
      </c>
      <c r="K501" s="1" t="str">
        <f>VLOOKUP(A501,[1]Sheet1!$A$2:$I$1141,9,0)</f>
        <v>Unit of Machine Maintenance 2</v>
      </c>
      <c r="L501" s="1" t="str">
        <f>VLOOKUP(A501,[1]Sheet1!$A$2:$J$1141,10,0)</f>
        <v>Section of Line 4/5 Kiln &amp; CM Mach Maint</v>
      </c>
      <c r="M501" s="2">
        <v>36291</v>
      </c>
      <c r="N501" s="1" t="s">
        <v>29</v>
      </c>
      <c r="O501" s="1" t="s">
        <v>30</v>
      </c>
      <c r="P501" s="1" t="s">
        <v>2688</v>
      </c>
      <c r="Q501" s="1" t="s">
        <v>2679</v>
      </c>
      <c r="R501" s="1" t="s">
        <v>2684</v>
      </c>
      <c r="S501" s="1" t="s">
        <v>2642</v>
      </c>
      <c r="T501" s="14">
        <v>56766</v>
      </c>
      <c r="U501" s="1" t="s">
        <v>2689</v>
      </c>
      <c r="V501" s="1" t="s">
        <v>36</v>
      </c>
      <c r="W501" s="3" t="str">
        <f t="shared" si="7"/>
        <v>27 tahun</v>
      </c>
      <c r="X501" s="1" t="s">
        <v>2690</v>
      </c>
      <c r="Y501" s="1" t="s">
        <v>48</v>
      </c>
      <c r="Z501" s="2">
        <v>45200</v>
      </c>
      <c r="AA501" s="2">
        <v>45566</v>
      </c>
      <c r="AB501" s="2" t="s">
        <v>2691</v>
      </c>
    </row>
    <row r="502" spans="1:28" x14ac:dyDescent="0.35">
      <c r="A502" s="12">
        <v>5404</v>
      </c>
      <c r="B502" s="12">
        <v>8710083</v>
      </c>
      <c r="C502" s="12" t="s">
        <v>139</v>
      </c>
      <c r="D502" s="12">
        <v>50023568</v>
      </c>
      <c r="E502" s="16" t="s">
        <v>2692</v>
      </c>
      <c r="F502" s="1" t="str">
        <f>VLOOKUP(A502,[1]Sheet1!$A$2:$E$1141,5,0)</f>
        <v>Mgr of Line 4/5 FM Machine Maint</v>
      </c>
      <c r="G502" s="16" t="str">
        <f>VLOOKUP(A502,[1]Sheet1!$A$2:$F$1141,6,0)</f>
        <v>Manager</v>
      </c>
      <c r="H502" s="1" t="s">
        <v>2621</v>
      </c>
      <c r="I502" s="1" t="s">
        <v>1117</v>
      </c>
      <c r="J502" s="1" t="str">
        <f>VLOOKUP(A502,[1]Sheet1!$A$2:$H$1141,8,0)</f>
        <v>Dept. of Maintenance</v>
      </c>
      <c r="K502" s="1" t="str">
        <f>VLOOKUP(A502,[1]Sheet1!$A$2:$I$1141,9,0)</f>
        <v>Unit of Machine Maintenance 2</v>
      </c>
      <c r="L502" s="1" t="str">
        <f>VLOOKUP(A502,[1]Sheet1!$A$2:$J$1141,10,0)</f>
        <v>Section of Line 4/5 FM Machine Maint</v>
      </c>
      <c r="M502" s="2">
        <v>32029</v>
      </c>
      <c r="N502" s="1" t="s">
        <v>29</v>
      </c>
      <c r="O502" s="1" t="s">
        <v>30</v>
      </c>
      <c r="P502" s="1" t="s">
        <v>2693</v>
      </c>
      <c r="Q502" s="1" t="s">
        <v>2694</v>
      </c>
      <c r="R502" s="1" t="s">
        <v>2695</v>
      </c>
      <c r="S502" s="1" t="s">
        <v>2468</v>
      </c>
      <c r="T502" s="14">
        <v>52505</v>
      </c>
      <c r="U502" s="1" t="s">
        <v>2696</v>
      </c>
      <c r="V502" s="1" t="s">
        <v>36</v>
      </c>
      <c r="W502" s="3" t="str">
        <f t="shared" si="7"/>
        <v>38 tahun</v>
      </c>
      <c r="X502" s="1" t="s">
        <v>2697</v>
      </c>
      <c r="Y502" s="1" t="s">
        <v>68</v>
      </c>
      <c r="Z502" s="2">
        <v>40544</v>
      </c>
      <c r="AA502" s="2">
        <v>40695</v>
      </c>
      <c r="AB502" s="2" t="s">
        <v>2698</v>
      </c>
    </row>
    <row r="503" spans="1:28" x14ac:dyDescent="0.35">
      <c r="A503" s="12">
        <v>6137</v>
      </c>
      <c r="B503" s="12">
        <v>9012297</v>
      </c>
      <c r="C503" s="12" t="s">
        <v>103</v>
      </c>
      <c r="D503" s="12">
        <v>50023741</v>
      </c>
      <c r="E503" s="1" t="s">
        <v>2383</v>
      </c>
      <c r="F503" s="1" t="str">
        <f>VLOOKUP(A503,[1]Sheet1!$A$2:$E$1141,5,0)</f>
        <v>Spv of Line 5 FM Mach PdM&amp; PM Schedule</v>
      </c>
      <c r="G503" s="17" t="str">
        <f>VLOOKUP(A503,[1]Sheet1!$A$2:$F$1141,6,0)</f>
        <v>Supervisor</v>
      </c>
      <c r="H503" s="1" t="s">
        <v>2621</v>
      </c>
      <c r="I503" s="1" t="s">
        <v>1117</v>
      </c>
      <c r="J503" s="1" t="str">
        <f>VLOOKUP(A503,[1]Sheet1!$A$2:$H$1141,8,0)</f>
        <v>Dept. of Maintenance</v>
      </c>
      <c r="K503" s="1" t="str">
        <f>VLOOKUP(A503,[1]Sheet1!$A$2:$I$1141,9,0)</f>
        <v>Unit of Machine Maintenance 2</v>
      </c>
      <c r="L503" s="1" t="str">
        <f>VLOOKUP(A503,[1]Sheet1!$A$2:$J$1141,10,0)</f>
        <v>Section of Line 4/5 FM Machine Maint</v>
      </c>
      <c r="M503" s="2">
        <v>33181</v>
      </c>
      <c r="N503" s="1" t="s">
        <v>29</v>
      </c>
      <c r="O503" s="1" t="s">
        <v>30</v>
      </c>
      <c r="P503" s="1" t="s">
        <v>2699</v>
      </c>
      <c r="Q503" s="1" t="s">
        <v>2700</v>
      </c>
      <c r="R503" s="1" t="s">
        <v>2701</v>
      </c>
      <c r="S503" s="1" t="s">
        <v>2468</v>
      </c>
      <c r="T503" s="14">
        <v>53662</v>
      </c>
      <c r="U503" s="1" t="s">
        <v>2702</v>
      </c>
      <c r="V503" s="1" t="s">
        <v>36</v>
      </c>
      <c r="W503" s="3" t="str">
        <f t="shared" si="7"/>
        <v>35 tahun</v>
      </c>
      <c r="X503" s="1" t="s">
        <v>204</v>
      </c>
      <c r="Y503" s="1" t="s">
        <v>56</v>
      </c>
      <c r="Z503" s="2">
        <v>41275</v>
      </c>
      <c r="AA503" s="2">
        <v>41426</v>
      </c>
      <c r="AB503" s="2" t="s">
        <v>2703</v>
      </c>
    </row>
    <row r="504" spans="1:28" x14ac:dyDescent="0.35">
      <c r="A504" s="12">
        <v>5956</v>
      </c>
      <c r="B504" s="12">
        <v>8812121</v>
      </c>
      <c r="C504" s="12" t="s">
        <v>103</v>
      </c>
      <c r="D504" s="12">
        <v>50069789</v>
      </c>
      <c r="E504" s="1" t="s">
        <v>2704</v>
      </c>
      <c r="F504" s="1" t="str">
        <f>VLOOKUP(A504,[1]Sheet1!$A$2:$E$1141,5,0)</f>
        <v>Spv of Line 5 FM Mach PdM&amp; PM Schedule</v>
      </c>
      <c r="G504" s="17" t="str">
        <f>VLOOKUP(A504,[1]Sheet1!$A$2:$F$1141,6,0)</f>
        <v>Supervisor</v>
      </c>
      <c r="H504" s="1" t="s">
        <v>2621</v>
      </c>
      <c r="I504" s="1" t="s">
        <v>1117</v>
      </c>
      <c r="J504" s="1" t="str">
        <f>VLOOKUP(A504,[1]Sheet1!$A$2:$H$1141,8,0)</f>
        <v>Dept. of Maintenance</v>
      </c>
      <c r="K504" s="1" t="str">
        <f>VLOOKUP(A504,[1]Sheet1!$A$2:$I$1141,9,0)</f>
        <v>Unit of Machine Maintenance 2</v>
      </c>
      <c r="L504" s="1" t="str">
        <f>VLOOKUP(A504,[1]Sheet1!$A$2:$J$1141,10,0)</f>
        <v>Section of Line 4/5 FM Machine Maint</v>
      </c>
      <c r="M504" s="2">
        <v>32242</v>
      </c>
      <c r="N504" s="1" t="s">
        <v>29</v>
      </c>
      <c r="O504" s="1" t="s">
        <v>30</v>
      </c>
      <c r="P504" s="1" t="s">
        <v>2705</v>
      </c>
      <c r="Q504" s="1" t="s">
        <v>2700</v>
      </c>
      <c r="R504" s="1" t="s">
        <v>2701</v>
      </c>
      <c r="S504" s="1" t="s">
        <v>2468</v>
      </c>
      <c r="T504" s="14">
        <v>52718</v>
      </c>
      <c r="U504" s="1" t="s">
        <v>2706</v>
      </c>
      <c r="V504" s="1" t="s">
        <v>36</v>
      </c>
      <c r="W504" s="3" t="str">
        <f t="shared" si="7"/>
        <v>38 tahun</v>
      </c>
      <c r="X504" s="1" t="s">
        <v>55</v>
      </c>
      <c r="Y504" s="1" t="s">
        <v>56</v>
      </c>
      <c r="Z504" s="2">
        <v>41275</v>
      </c>
      <c r="AA504" s="2">
        <v>41426</v>
      </c>
      <c r="AB504" s="2" t="s">
        <v>2707</v>
      </c>
    </row>
    <row r="505" spans="1:28" x14ac:dyDescent="0.35">
      <c r="A505" s="12">
        <v>5987</v>
      </c>
      <c r="B505" s="12">
        <v>8812154</v>
      </c>
      <c r="C505" s="12" t="s">
        <v>103</v>
      </c>
      <c r="D505" s="12">
        <v>50069790</v>
      </c>
      <c r="E505" s="1" t="s">
        <v>2708</v>
      </c>
      <c r="F505" s="1" t="str">
        <f>VLOOKUP(A505,[1]Sheet1!$A$2:$E$1141,5,0)</f>
        <v>Spv of Line 5 FM Mach PdM&amp; PM Schedule</v>
      </c>
      <c r="G505" s="17" t="str">
        <f>VLOOKUP(A505,[1]Sheet1!$A$2:$F$1141,6,0)</f>
        <v>Supervisor</v>
      </c>
      <c r="H505" s="1" t="s">
        <v>2621</v>
      </c>
      <c r="I505" s="1" t="s">
        <v>1117</v>
      </c>
      <c r="J505" s="1" t="str">
        <f>VLOOKUP(A505,[1]Sheet1!$A$2:$H$1141,8,0)</f>
        <v>Dept. of Maintenance</v>
      </c>
      <c r="K505" s="1" t="str">
        <f>VLOOKUP(A505,[1]Sheet1!$A$2:$I$1141,9,0)</f>
        <v>Unit of Machine Maintenance 2</v>
      </c>
      <c r="L505" s="1" t="str">
        <f>VLOOKUP(A505,[1]Sheet1!$A$2:$J$1141,10,0)</f>
        <v>Section of Line 4/5 FM Machine Maint</v>
      </c>
      <c r="M505" s="2">
        <v>32447</v>
      </c>
      <c r="N505" s="1" t="s">
        <v>29</v>
      </c>
      <c r="O505" s="1" t="s">
        <v>30</v>
      </c>
      <c r="P505" s="1" t="s">
        <v>2709</v>
      </c>
      <c r="Q505" s="1" t="s">
        <v>2700</v>
      </c>
      <c r="R505" s="1" t="s">
        <v>2701</v>
      </c>
      <c r="S505" s="1" t="s">
        <v>2468</v>
      </c>
      <c r="T505" s="14">
        <v>52902</v>
      </c>
      <c r="U505" s="1" t="s">
        <v>2710</v>
      </c>
      <c r="V505" s="1" t="s">
        <v>36</v>
      </c>
      <c r="W505" s="3" t="str">
        <f t="shared" si="7"/>
        <v>37 tahun</v>
      </c>
      <c r="X505" s="1" t="s">
        <v>121</v>
      </c>
      <c r="Y505" s="1" t="s">
        <v>56</v>
      </c>
      <c r="Z505" s="2">
        <v>41275</v>
      </c>
      <c r="AA505" s="2">
        <v>41456</v>
      </c>
      <c r="AB505" s="2" t="s">
        <v>2711</v>
      </c>
    </row>
    <row r="506" spans="1:28" x14ac:dyDescent="0.35">
      <c r="A506" s="12">
        <v>6118</v>
      </c>
      <c r="B506" s="12">
        <v>9012287</v>
      </c>
      <c r="C506" s="12" t="s">
        <v>103</v>
      </c>
      <c r="D506" s="12">
        <v>50048075</v>
      </c>
      <c r="E506" s="1" t="s">
        <v>2712</v>
      </c>
      <c r="F506" s="1" t="str">
        <f>VLOOKUP(A506,[1]Sheet1!$A$2:$E$1141,5,0)</f>
        <v>Spv of Line 4 FM Machine PvM</v>
      </c>
      <c r="G506" s="17" t="str">
        <f>VLOOKUP(A506,[1]Sheet1!$A$2:$F$1141,6,0)</f>
        <v>Supervisor</v>
      </c>
      <c r="H506" s="1" t="s">
        <v>2440</v>
      </c>
      <c r="I506" s="1" t="s">
        <v>1117</v>
      </c>
      <c r="J506" s="1" t="str">
        <f>VLOOKUP(A506,[1]Sheet1!$A$2:$H$1141,8,0)</f>
        <v>Dept. of Maintenance</v>
      </c>
      <c r="K506" s="1" t="str">
        <f>VLOOKUP(A506,[1]Sheet1!$A$2:$I$1141,9,0)</f>
        <v>Unit of Machine Maintenance 2</v>
      </c>
      <c r="L506" s="1" t="str">
        <f>VLOOKUP(A506,[1]Sheet1!$A$2:$J$1141,10,0)</f>
        <v>Section of Line 4/5 FM Machine Maint</v>
      </c>
      <c r="M506" s="2">
        <v>33130</v>
      </c>
      <c r="N506" s="1" t="s">
        <v>29</v>
      </c>
      <c r="O506" s="1" t="s">
        <v>30</v>
      </c>
      <c r="P506" s="1" t="s">
        <v>2713</v>
      </c>
      <c r="Q506" s="1" t="s">
        <v>2714</v>
      </c>
      <c r="R506" s="1" t="s">
        <v>2715</v>
      </c>
      <c r="S506" s="1" t="s">
        <v>2444</v>
      </c>
      <c r="T506" s="14">
        <v>53601</v>
      </c>
      <c r="U506" s="1" t="s">
        <v>2716</v>
      </c>
      <c r="V506" s="1" t="s">
        <v>36</v>
      </c>
      <c r="W506" s="3" t="str">
        <f t="shared" si="7"/>
        <v>35 tahun</v>
      </c>
      <c r="X506" s="1" t="s">
        <v>37</v>
      </c>
      <c r="Y506" s="1" t="s">
        <v>48</v>
      </c>
      <c r="Z506" s="2">
        <v>41275</v>
      </c>
      <c r="AA506" s="2">
        <v>41395</v>
      </c>
      <c r="AB506" s="2" t="s">
        <v>2717</v>
      </c>
    </row>
    <row r="507" spans="1:28" x14ac:dyDescent="0.35">
      <c r="A507" s="12">
        <v>5885</v>
      </c>
      <c r="B507" s="12">
        <v>8612052</v>
      </c>
      <c r="C507" s="12" t="s">
        <v>103</v>
      </c>
      <c r="D507" s="12">
        <v>50023743</v>
      </c>
      <c r="E507" s="1" t="s">
        <v>2718</v>
      </c>
      <c r="F507" s="1" t="str">
        <f>VLOOKUP(A507,[1]Sheet1!$A$2:$E$1141,5,0)</f>
        <v>Spv of Line 5 FM Mach PvM</v>
      </c>
      <c r="G507" s="17" t="str">
        <f>VLOOKUP(A507,[1]Sheet1!$A$2:$F$1141,6,0)</f>
        <v>Supervisor</v>
      </c>
      <c r="H507" s="1" t="s">
        <v>2621</v>
      </c>
      <c r="I507" s="1" t="s">
        <v>1117</v>
      </c>
      <c r="J507" s="1" t="str">
        <f>VLOOKUP(A507,[1]Sheet1!$A$2:$H$1141,8,0)</f>
        <v>Dept. of Maintenance</v>
      </c>
      <c r="K507" s="1" t="str">
        <f>VLOOKUP(A507,[1]Sheet1!$A$2:$I$1141,9,0)</f>
        <v>Unit of Machine Maintenance 2</v>
      </c>
      <c r="L507" s="1" t="str">
        <f>VLOOKUP(A507,[1]Sheet1!$A$2:$J$1141,10,0)</f>
        <v>Section of Line 4/5 FM Machine Maint</v>
      </c>
      <c r="M507" s="2">
        <v>31640</v>
      </c>
      <c r="N507" s="1" t="s">
        <v>29</v>
      </c>
      <c r="O507" s="1" t="s">
        <v>30</v>
      </c>
      <c r="P507" s="1" t="s">
        <v>2719</v>
      </c>
      <c r="Q507" s="1" t="s">
        <v>2720</v>
      </c>
      <c r="R507" s="1" t="s">
        <v>2721</v>
      </c>
      <c r="S507" s="1" t="s">
        <v>2468</v>
      </c>
      <c r="T507" s="14">
        <v>52110</v>
      </c>
      <c r="U507" s="1" t="s">
        <v>2722</v>
      </c>
      <c r="V507" s="1" t="s">
        <v>36</v>
      </c>
      <c r="W507" s="3" t="str">
        <f t="shared" si="7"/>
        <v>40 tahun</v>
      </c>
      <c r="X507" s="1" t="s">
        <v>112</v>
      </c>
      <c r="Y507" s="1" t="s">
        <v>56</v>
      </c>
      <c r="Z507" s="2">
        <v>41275</v>
      </c>
      <c r="AA507" s="2">
        <v>41426</v>
      </c>
      <c r="AB507" s="2" t="s">
        <v>2723</v>
      </c>
    </row>
    <row r="508" spans="1:28" x14ac:dyDescent="0.35">
      <c r="A508" s="12">
        <v>5992</v>
      </c>
      <c r="B508" s="12">
        <v>8812159</v>
      </c>
      <c r="C508" s="12" t="s">
        <v>103</v>
      </c>
      <c r="D508" s="12">
        <v>50056200</v>
      </c>
      <c r="E508" s="1" t="s">
        <v>2724</v>
      </c>
      <c r="F508" s="1" t="str">
        <f>VLOOKUP(A508,[1]Sheet1!$A$2:$E$1141,5,0)</f>
        <v>Spv of Line 4 FM Mach PdM&amp; PM Schedule</v>
      </c>
      <c r="G508" s="17" t="str">
        <f>VLOOKUP(A508,[1]Sheet1!$A$2:$F$1141,6,0)</f>
        <v>Supervisor</v>
      </c>
      <c r="H508" s="1" t="s">
        <v>2621</v>
      </c>
      <c r="I508" s="1" t="s">
        <v>1117</v>
      </c>
      <c r="J508" s="1" t="str">
        <f>VLOOKUP(A508,[1]Sheet1!$A$2:$H$1141,8,0)</f>
        <v>Dept. of Maintenance</v>
      </c>
      <c r="K508" s="1" t="str">
        <f>VLOOKUP(A508,[1]Sheet1!$A$2:$I$1141,9,0)</f>
        <v>Unit of Machine Maintenance 2</v>
      </c>
      <c r="L508" s="1" t="str">
        <f>VLOOKUP(A508,[1]Sheet1!$A$2:$J$1141,10,0)</f>
        <v>Section of Line 4/5 FM Machine Maint</v>
      </c>
      <c r="M508" s="2">
        <v>32477</v>
      </c>
      <c r="N508" s="1" t="s">
        <v>29</v>
      </c>
      <c r="O508" s="1" t="s">
        <v>30</v>
      </c>
      <c r="P508" s="1" t="s">
        <v>2725</v>
      </c>
      <c r="Q508" s="1" t="s">
        <v>2726</v>
      </c>
      <c r="R508" s="1" t="s">
        <v>2727</v>
      </c>
      <c r="S508" s="1" t="s">
        <v>2468</v>
      </c>
      <c r="T508" s="14">
        <v>52932</v>
      </c>
      <c r="U508" s="1" t="s">
        <v>2728</v>
      </c>
      <c r="V508" s="1" t="s">
        <v>36</v>
      </c>
      <c r="W508" s="3" t="str">
        <f t="shared" si="7"/>
        <v>37 tahun</v>
      </c>
      <c r="X508" s="1" t="s">
        <v>121</v>
      </c>
      <c r="Y508" s="1" t="s">
        <v>56</v>
      </c>
      <c r="Z508" s="2">
        <v>41275</v>
      </c>
      <c r="AA508" s="2">
        <v>41395</v>
      </c>
      <c r="AB508" s="2" t="s">
        <v>2729</v>
      </c>
    </row>
    <row r="509" spans="1:28" x14ac:dyDescent="0.35">
      <c r="A509" s="12">
        <v>5983</v>
      </c>
      <c r="B509" s="12">
        <v>8812151</v>
      </c>
      <c r="C509" s="12" t="s">
        <v>103</v>
      </c>
      <c r="D509" s="12">
        <v>50069788</v>
      </c>
      <c r="E509" s="1" t="s">
        <v>2730</v>
      </c>
      <c r="F509" s="1" t="str">
        <f>VLOOKUP(A509,[1]Sheet1!$A$2:$E$1141,5,0)</f>
        <v>Spv of Line 4 FM Mach PdM&amp; PM Schedule</v>
      </c>
      <c r="G509" s="17" t="str">
        <f>VLOOKUP(A509,[1]Sheet1!$A$2:$F$1141,6,0)</f>
        <v>Supervisor</v>
      </c>
      <c r="H509" s="1" t="s">
        <v>2621</v>
      </c>
      <c r="I509" s="1" t="s">
        <v>1117</v>
      </c>
      <c r="J509" s="1" t="str">
        <f>VLOOKUP(A509,[1]Sheet1!$A$2:$H$1141,8,0)</f>
        <v>Dept. of Maintenance</v>
      </c>
      <c r="K509" s="1" t="str">
        <f>VLOOKUP(A509,[1]Sheet1!$A$2:$I$1141,9,0)</f>
        <v>Unit of Machine Maintenance 2</v>
      </c>
      <c r="L509" s="1" t="str">
        <f>VLOOKUP(A509,[1]Sheet1!$A$2:$J$1141,10,0)</f>
        <v>Section of Line 4/5 FM Machine Maint</v>
      </c>
      <c r="M509" s="2">
        <v>32429</v>
      </c>
      <c r="N509" s="1" t="s">
        <v>29</v>
      </c>
      <c r="O509" s="1" t="s">
        <v>30</v>
      </c>
      <c r="P509" s="1" t="s">
        <v>2731</v>
      </c>
      <c r="Q509" s="1" t="s">
        <v>2726</v>
      </c>
      <c r="R509" s="1" t="s">
        <v>2727</v>
      </c>
      <c r="S509" s="1" t="s">
        <v>2468</v>
      </c>
      <c r="T509" s="14">
        <v>52902</v>
      </c>
      <c r="U509" s="1" t="s">
        <v>2732</v>
      </c>
      <c r="V509" s="1" t="s">
        <v>36</v>
      </c>
      <c r="W509" s="3" t="str">
        <f t="shared" si="7"/>
        <v>37 tahun</v>
      </c>
      <c r="X509" s="1" t="s">
        <v>55</v>
      </c>
      <c r="Y509" s="1" t="s">
        <v>56</v>
      </c>
      <c r="Z509" s="2">
        <v>41275</v>
      </c>
      <c r="AA509" s="2">
        <v>41426</v>
      </c>
      <c r="AB509" s="2" t="s">
        <v>2733</v>
      </c>
    </row>
    <row r="510" spans="1:28" x14ac:dyDescent="0.35">
      <c r="A510" s="12">
        <v>5084</v>
      </c>
      <c r="B510" s="12">
        <v>7495118</v>
      </c>
      <c r="C510" s="12" t="s">
        <v>50</v>
      </c>
      <c r="D510" s="12">
        <v>50069792</v>
      </c>
      <c r="E510" s="1" t="s">
        <v>2734</v>
      </c>
      <c r="F510" s="1" t="str">
        <f>VLOOKUP(A510,[1]Sheet1!$A$2:$E$1141,5,0)</f>
        <v>Spv of PdM Mach Trass Mill 4</v>
      </c>
      <c r="G510" s="17" t="str">
        <f>VLOOKUP(A510,[1]Sheet1!$A$2:$F$1141,6,0)</f>
        <v>Supervisor</v>
      </c>
      <c r="H510" s="1" t="s">
        <v>2621</v>
      </c>
      <c r="I510" s="1" t="s">
        <v>1117</v>
      </c>
      <c r="J510" s="1" t="str">
        <f>VLOOKUP(A510,[1]Sheet1!$A$2:$H$1141,8,0)</f>
        <v>Dept. of Maintenance</v>
      </c>
      <c r="K510" s="1" t="str">
        <f>VLOOKUP(A510,[1]Sheet1!$A$2:$I$1141,9,0)</f>
        <v>Unit of Machine Maintenance 2</v>
      </c>
      <c r="L510" s="1" t="str">
        <f>VLOOKUP(A510,[1]Sheet1!$A$2:$J$1141,10,0)</f>
        <v>Section of Line 4/5 FM Machine Maint</v>
      </c>
      <c r="M510" s="2">
        <v>27325</v>
      </c>
      <c r="N510" s="1" t="s">
        <v>29</v>
      </c>
      <c r="O510" s="1" t="s">
        <v>30</v>
      </c>
      <c r="P510" s="1" t="s">
        <v>2735</v>
      </c>
      <c r="Q510" s="1" t="s">
        <v>2736</v>
      </c>
      <c r="R510" s="1" t="s">
        <v>2737</v>
      </c>
      <c r="S510" s="1" t="s">
        <v>2468</v>
      </c>
      <c r="T510" s="14">
        <v>47788</v>
      </c>
      <c r="U510" s="1" t="s">
        <v>2738</v>
      </c>
      <c r="V510" s="1" t="s">
        <v>36</v>
      </c>
      <c r="W510" s="3" t="str">
        <f t="shared" si="7"/>
        <v>51 tahun</v>
      </c>
      <c r="X510" s="1" t="s">
        <v>55</v>
      </c>
      <c r="Y510" s="1" t="s">
        <v>48</v>
      </c>
      <c r="Z510" s="2">
        <v>34932</v>
      </c>
      <c r="AA510" s="2">
        <v>35309</v>
      </c>
      <c r="AB510" s="2" t="s">
        <v>84</v>
      </c>
    </row>
    <row r="511" spans="1:28" x14ac:dyDescent="0.35">
      <c r="A511" s="12">
        <v>5949</v>
      </c>
      <c r="B511" s="12">
        <v>8712115</v>
      </c>
      <c r="C511" s="12" t="s">
        <v>103</v>
      </c>
      <c r="D511" s="12">
        <v>50069794</v>
      </c>
      <c r="E511" s="1" t="s">
        <v>2739</v>
      </c>
      <c r="F511" s="1" t="str">
        <f>VLOOKUP(A511,[1]Sheet1!$A$2:$E$1141,5,0)</f>
        <v>Spv of PvM Mach Trass Mill 4</v>
      </c>
      <c r="G511" s="17" t="str">
        <f>VLOOKUP(A511,[1]Sheet1!$A$2:$F$1141,6,0)</f>
        <v>Supervisor</v>
      </c>
      <c r="H511" s="1" t="s">
        <v>2621</v>
      </c>
      <c r="I511" s="1" t="s">
        <v>1117</v>
      </c>
      <c r="J511" s="1" t="str">
        <f>VLOOKUP(A511,[1]Sheet1!$A$2:$H$1141,8,0)</f>
        <v>Dept. of Maintenance</v>
      </c>
      <c r="K511" s="1" t="str">
        <f>VLOOKUP(A511,[1]Sheet1!$A$2:$I$1141,9,0)</f>
        <v>Unit of Machine Maintenance 2</v>
      </c>
      <c r="L511" s="1" t="str">
        <f>VLOOKUP(A511,[1]Sheet1!$A$2:$J$1141,10,0)</f>
        <v>Section of Line 4/5 FM Machine Maint</v>
      </c>
      <c r="M511" s="2">
        <v>32125</v>
      </c>
      <c r="N511" s="1" t="s">
        <v>29</v>
      </c>
      <c r="O511" s="1" t="s">
        <v>30</v>
      </c>
      <c r="P511" s="1" t="s">
        <v>2740</v>
      </c>
      <c r="Q511" s="1" t="s">
        <v>2741</v>
      </c>
      <c r="R511" s="1" t="s">
        <v>2742</v>
      </c>
      <c r="S511" s="1" t="s">
        <v>2468</v>
      </c>
      <c r="T511" s="14">
        <v>52597</v>
      </c>
      <c r="U511" s="1" t="s">
        <v>2743</v>
      </c>
      <c r="V511" s="1" t="s">
        <v>36</v>
      </c>
      <c r="W511" s="3" t="str">
        <f t="shared" si="7"/>
        <v>38 tahun</v>
      </c>
      <c r="X511" s="1" t="s">
        <v>356</v>
      </c>
      <c r="Y511" s="1" t="s">
        <v>56</v>
      </c>
      <c r="Z511" s="2">
        <v>41275</v>
      </c>
      <c r="AA511" s="2">
        <v>41426</v>
      </c>
      <c r="AB511" s="2" t="s">
        <v>2744</v>
      </c>
    </row>
    <row r="512" spans="1:28" x14ac:dyDescent="0.35">
      <c r="A512" s="12">
        <v>5311</v>
      </c>
      <c r="B512" s="12">
        <v>8410022</v>
      </c>
      <c r="C512" s="12" t="s">
        <v>139</v>
      </c>
      <c r="D512" s="12">
        <v>50052129</v>
      </c>
      <c r="E512" s="15" t="s">
        <v>2745</v>
      </c>
      <c r="F512" s="1" t="str">
        <f>VLOOKUP(A512,[1]Sheet1!$A$2:$E$1141,5,0)</f>
        <v>SM of Elins Maintenance 1</v>
      </c>
      <c r="G512" s="15" t="str">
        <f>VLOOKUP(A512,[1]Sheet1!$A$2:$F$1141,6,0)</f>
        <v>Senior Manager</v>
      </c>
      <c r="H512" s="1" t="s">
        <v>2746</v>
      </c>
      <c r="I512" s="1" t="s">
        <v>1117</v>
      </c>
      <c r="J512" s="1" t="str">
        <f>VLOOKUP(A512,[1]Sheet1!$A$2:$H$1141,8,0)</f>
        <v>Dept. of Maintenance</v>
      </c>
      <c r="K512" s="1" t="str">
        <f>VLOOKUP(A512,[1]Sheet1!$A$2:$I$1141,9,0)</f>
        <v>Unit of Elins Maintenance 1</v>
      </c>
      <c r="L512" s="1" t="e">
        <f>VLOOKUP(A512,[1]Sheet1!$A$2:$J$1141,10,0)</f>
        <v>#REF!</v>
      </c>
      <c r="M512" s="2">
        <v>30779</v>
      </c>
      <c r="N512" s="1" t="s">
        <v>29</v>
      </c>
      <c r="O512" s="1" t="s">
        <v>30</v>
      </c>
      <c r="P512" s="1" t="s">
        <v>2747</v>
      </c>
      <c r="Q512" s="1" t="s">
        <v>2748</v>
      </c>
      <c r="R512" s="1" t="s">
        <v>2749</v>
      </c>
      <c r="S512" s="1" t="s">
        <v>2750</v>
      </c>
      <c r="T512" s="14">
        <v>51257</v>
      </c>
      <c r="U512" s="1" t="s">
        <v>2751</v>
      </c>
      <c r="V512" s="1" t="s">
        <v>36</v>
      </c>
      <c r="W512" s="3" t="str">
        <f t="shared" si="7"/>
        <v>42 tahun</v>
      </c>
      <c r="X512" s="1" t="s">
        <v>816</v>
      </c>
      <c r="Y512" s="1" t="s">
        <v>48</v>
      </c>
      <c r="Z512" s="2">
        <v>40544</v>
      </c>
      <c r="AA512" s="2">
        <v>40664</v>
      </c>
      <c r="AB512" s="2" t="s">
        <v>2752</v>
      </c>
    </row>
    <row r="513" spans="1:28" x14ac:dyDescent="0.35">
      <c r="A513" s="12">
        <v>5251</v>
      </c>
      <c r="B513" s="12">
        <v>8010005</v>
      </c>
      <c r="C513" s="12" t="s">
        <v>139</v>
      </c>
      <c r="D513" s="12">
        <v>50052157</v>
      </c>
      <c r="E513" s="16" t="s">
        <v>2753</v>
      </c>
      <c r="F513" s="1" t="str">
        <f>VLOOKUP(A513,[1]Sheet1!$A$2:$E$1141,5,0)</f>
        <v>Mgr of Line 2/3 FM Elins Maintenance</v>
      </c>
      <c r="G513" s="16" t="str">
        <f>VLOOKUP(A513,[1]Sheet1!$A$2:$F$1141,6,0)</f>
        <v>Manager</v>
      </c>
      <c r="H513" s="1" t="s">
        <v>2754</v>
      </c>
      <c r="I513" s="1" t="s">
        <v>1117</v>
      </c>
      <c r="J513" s="1" t="str">
        <f>VLOOKUP(A513,[1]Sheet1!$A$2:$H$1141,8,0)</f>
        <v>Dept. of Maintenance</v>
      </c>
      <c r="K513" s="1" t="str">
        <f>VLOOKUP(A513,[1]Sheet1!$A$2:$I$1141,9,0)</f>
        <v>Unit of Elins Maintenance 1</v>
      </c>
      <c r="L513" s="1" t="str">
        <f>VLOOKUP(A513,[1]Sheet1!$A$2:$J$1141,10,0)</f>
        <v>Section of Line 2/3 FM Elins Maintenance</v>
      </c>
      <c r="M513" s="2">
        <v>29477</v>
      </c>
      <c r="N513" s="1" t="s">
        <v>29</v>
      </c>
      <c r="O513" s="1" t="s">
        <v>30</v>
      </c>
      <c r="P513" s="1" t="s">
        <v>2755</v>
      </c>
      <c r="Q513" s="1" t="s">
        <v>2756</v>
      </c>
      <c r="R513" s="1" t="s">
        <v>2757</v>
      </c>
      <c r="S513" s="1" t="s">
        <v>2758</v>
      </c>
      <c r="T513" s="14">
        <v>49949</v>
      </c>
      <c r="U513" s="1" t="s">
        <v>2759</v>
      </c>
      <c r="V513" s="1" t="s">
        <v>36</v>
      </c>
      <c r="W513" s="3" t="str">
        <f t="shared" si="7"/>
        <v>45 tahun</v>
      </c>
      <c r="X513" s="1" t="s">
        <v>824</v>
      </c>
      <c r="Y513" s="1" t="s">
        <v>48</v>
      </c>
      <c r="Z513" s="2">
        <v>40544</v>
      </c>
      <c r="AA513" s="2">
        <v>40664</v>
      </c>
      <c r="AB513" s="2" t="s">
        <v>2760</v>
      </c>
    </row>
    <row r="514" spans="1:28" x14ac:dyDescent="0.35">
      <c r="A514" s="12">
        <v>4942</v>
      </c>
      <c r="B514" s="12">
        <v>7395017</v>
      </c>
      <c r="C514" s="12" t="s">
        <v>50</v>
      </c>
      <c r="D514" s="12">
        <v>50024329</v>
      </c>
      <c r="E514" s="1" t="s">
        <v>2761</v>
      </c>
      <c r="F514" s="1" t="str">
        <f>VLOOKUP(A514,[1]Sheet1!$A$2:$E$1141,5,0)</f>
        <v>Spv of LS,CL,SL 2/3/4 Crusher PdM &amp; PM</v>
      </c>
      <c r="G514" s="17" t="str">
        <f>VLOOKUP(A514,[1]Sheet1!$A$2:$F$1141,6,0)</f>
        <v>Supervisor</v>
      </c>
      <c r="H514" s="1" t="s">
        <v>2762</v>
      </c>
      <c r="I514" s="1" t="s">
        <v>1117</v>
      </c>
      <c r="J514" s="1" t="str">
        <f>VLOOKUP(A514,[1]Sheet1!$A$2:$H$1141,8,0)</f>
        <v>Dept. of Maintenance</v>
      </c>
      <c r="K514" s="1" t="str">
        <f>VLOOKUP(A514,[1]Sheet1!$A$2:$I$1141,9,0)</f>
        <v>Unit of Elins Maintenance 1</v>
      </c>
      <c r="L514" s="1" t="str">
        <f>VLOOKUP(A514,[1]Sheet1!$A$2:$J$1141,10,0)</f>
        <v>Section of Crusher Elins Maintenance</v>
      </c>
      <c r="M514" s="2">
        <v>26867</v>
      </c>
      <c r="N514" s="1" t="s">
        <v>29</v>
      </c>
      <c r="O514" s="1" t="s">
        <v>30</v>
      </c>
      <c r="P514" s="1" t="s">
        <v>2763</v>
      </c>
      <c r="Q514" s="1" t="s">
        <v>2764</v>
      </c>
      <c r="R514" s="1" t="s">
        <v>2765</v>
      </c>
      <c r="S514" s="1" t="s">
        <v>2766</v>
      </c>
      <c r="T514" s="14">
        <v>47331</v>
      </c>
      <c r="U514" s="1" t="s">
        <v>2767</v>
      </c>
      <c r="V514" s="1" t="s">
        <v>186</v>
      </c>
      <c r="W514" s="3" t="str">
        <f t="shared" si="7"/>
        <v>53 tahun</v>
      </c>
      <c r="X514" s="1" t="s">
        <v>55</v>
      </c>
      <c r="Y514" s="1" t="s">
        <v>56</v>
      </c>
      <c r="Z514" s="2">
        <v>34897</v>
      </c>
      <c r="AA514" s="2">
        <v>35278</v>
      </c>
      <c r="AB514" s="2" t="s">
        <v>2768</v>
      </c>
    </row>
    <row r="515" spans="1:28" x14ac:dyDescent="0.35">
      <c r="A515" s="12">
        <v>6155</v>
      </c>
      <c r="B515" s="12">
        <v>9112323</v>
      </c>
      <c r="C515" s="12" t="s">
        <v>103</v>
      </c>
      <c r="D515" s="12">
        <v>50052159</v>
      </c>
      <c r="E515" s="1" t="s">
        <v>2769</v>
      </c>
      <c r="F515" s="1" t="str">
        <f>VLOOKUP(A515,[1]Sheet1!$A$2:$E$1141,5,0)</f>
        <v>Spv of 2/3 FM Elins PdM&amp;PM Schedule</v>
      </c>
      <c r="G515" s="17" t="str">
        <f>VLOOKUP(A515,[1]Sheet1!$A$2:$F$1141,6,0)</f>
        <v>Supervisor</v>
      </c>
      <c r="H515" s="1" t="s">
        <v>2754</v>
      </c>
      <c r="I515" s="1" t="s">
        <v>1117</v>
      </c>
      <c r="J515" s="1" t="str">
        <f>VLOOKUP(A515,[1]Sheet1!$A$2:$H$1141,8,0)</f>
        <v>Dept. of Maintenance</v>
      </c>
      <c r="K515" s="1" t="str">
        <f>VLOOKUP(A515,[1]Sheet1!$A$2:$I$1141,9,0)</f>
        <v>Unit of Elins Maintenance 1</v>
      </c>
      <c r="L515" s="1" t="str">
        <f>VLOOKUP(A515,[1]Sheet1!$A$2:$J$1141,10,0)</f>
        <v>Section of Line 2/3 FM Elins Maintenance</v>
      </c>
      <c r="M515" s="2">
        <v>33279</v>
      </c>
      <c r="N515" s="1" t="s">
        <v>29</v>
      </c>
      <c r="O515" s="1" t="s">
        <v>30</v>
      </c>
      <c r="P515" s="1" t="s">
        <v>2770</v>
      </c>
      <c r="Q515" s="1" t="s">
        <v>2771</v>
      </c>
      <c r="R515" s="1" t="s">
        <v>2772</v>
      </c>
      <c r="S515" s="1" t="s">
        <v>2758</v>
      </c>
      <c r="T515" s="14">
        <v>53752</v>
      </c>
      <c r="U515" s="1" t="s">
        <v>2773</v>
      </c>
      <c r="V515" s="1" t="s">
        <v>36</v>
      </c>
      <c r="W515" s="3" t="str">
        <f t="shared" ref="W515:W578" si="8">DATEDIF(M515,$W$1,"Y")&amp;" "&amp;"tahun"</f>
        <v>35 tahun</v>
      </c>
      <c r="X515" s="1" t="s">
        <v>121</v>
      </c>
      <c r="Y515" s="1" t="s">
        <v>56</v>
      </c>
      <c r="Z515" s="2">
        <v>41275</v>
      </c>
      <c r="AA515" s="2">
        <v>41395</v>
      </c>
      <c r="AB515" s="2" t="s">
        <v>2774</v>
      </c>
    </row>
    <row r="516" spans="1:28" x14ac:dyDescent="0.35">
      <c r="A516" s="12">
        <v>6271</v>
      </c>
      <c r="B516" s="12">
        <v>9212440</v>
      </c>
      <c r="C516" s="12" t="s">
        <v>103</v>
      </c>
      <c r="D516" s="12">
        <v>50069510</v>
      </c>
      <c r="E516" s="1" t="s">
        <v>2775</v>
      </c>
      <c r="F516" s="1" t="str">
        <f>VLOOKUP(A516,[1]Sheet1!$A$2:$E$1141,5,0)</f>
        <v>Spv of 2/3 FM Elins PdM&amp;PM Schedule</v>
      </c>
      <c r="G516" s="17" t="str">
        <f>VLOOKUP(A516,[1]Sheet1!$A$2:$F$1141,6,0)</f>
        <v>Supervisor</v>
      </c>
      <c r="H516" s="1" t="s">
        <v>2754</v>
      </c>
      <c r="I516" s="1" t="s">
        <v>1117</v>
      </c>
      <c r="J516" s="1" t="str">
        <f>VLOOKUP(A516,[1]Sheet1!$A$2:$H$1141,8,0)</f>
        <v>Dept. of Maintenance</v>
      </c>
      <c r="K516" s="1" t="str">
        <f>VLOOKUP(A516,[1]Sheet1!$A$2:$I$1141,9,0)</f>
        <v>Unit of Elins Maintenance 1</v>
      </c>
      <c r="L516" s="1" t="str">
        <f>VLOOKUP(A516,[1]Sheet1!$A$2:$J$1141,10,0)</f>
        <v>Section of Line 2/3 FM Elins Maintenance</v>
      </c>
      <c r="M516" s="2">
        <v>33888</v>
      </c>
      <c r="N516" s="1" t="s">
        <v>29</v>
      </c>
      <c r="O516" s="1" t="s">
        <v>30</v>
      </c>
      <c r="P516" s="1" t="s">
        <v>2776</v>
      </c>
      <c r="Q516" s="1" t="s">
        <v>2771</v>
      </c>
      <c r="R516" s="1" t="s">
        <v>2772</v>
      </c>
      <c r="S516" s="1" t="s">
        <v>2758</v>
      </c>
      <c r="T516" s="14">
        <v>54363</v>
      </c>
      <c r="U516" s="1" t="s">
        <v>2777</v>
      </c>
      <c r="V516" s="1" t="s">
        <v>36</v>
      </c>
      <c r="W516" s="3" t="str">
        <f t="shared" si="8"/>
        <v>33 tahun</v>
      </c>
      <c r="X516" s="1" t="s">
        <v>204</v>
      </c>
      <c r="Y516" s="1" t="s">
        <v>56</v>
      </c>
      <c r="Z516" s="2">
        <v>41275</v>
      </c>
      <c r="AA516" s="2">
        <v>41426</v>
      </c>
      <c r="AB516" s="2" t="s">
        <v>2778</v>
      </c>
    </row>
    <row r="517" spans="1:28" x14ac:dyDescent="0.35">
      <c r="A517" s="12">
        <v>5088</v>
      </c>
      <c r="B517" s="12">
        <v>7495045</v>
      </c>
      <c r="C517" s="12" t="s">
        <v>50</v>
      </c>
      <c r="D517" s="12">
        <v>50008952</v>
      </c>
      <c r="E517" s="16" t="s">
        <v>2779</v>
      </c>
      <c r="F517" s="1" t="str">
        <f>VLOOKUP(A517,[1]Sheet1!$A$2:$E$1141,5,0)</f>
        <v>Mgr of Packer Plant Elins Maint</v>
      </c>
      <c r="G517" s="16" t="str">
        <f>VLOOKUP(A517,[1]Sheet1!$A$2:$F$1141,6,0)</f>
        <v>Manager</v>
      </c>
      <c r="H517" s="1" t="s">
        <v>2780</v>
      </c>
      <c r="I517" s="1" t="s">
        <v>1117</v>
      </c>
      <c r="J517" s="1" t="str">
        <f>VLOOKUP(A517,[1]Sheet1!$A$2:$H$1141,8,0)</f>
        <v>Dept. of Maintenance</v>
      </c>
      <c r="K517" s="1" t="str">
        <f>VLOOKUP(A517,[1]Sheet1!$A$2:$I$1141,9,0)</f>
        <v>Unit of Elins Maintenance 1</v>
      </c>
      <c r="L517" s="1" t="str">
        <f>VLOOKUP(A517,[1]Sheet1!$A$2:$J$1141,10,0)</f>
        <v>Section of Packer Elins Maint</v>
      </c>
      <c r="M517" s="2">
        <v>27347</v>
      </c>
      <c r="N517" s="1" t="s">
        <v>29</v>
      </c>
      <c r="O517" s="1" t="s">
        <v>30</v>
      </c>
      <c r="P517" s="1" t="s">
        <v>2781</v>
      </c>
      <c r="Q517" s="1" t="s">
        <v>2782</v>
      </c>
      <c r="R517" s="1" t="s">
        <v>2783</v>
      </c>
      <c r="S517" s="1" t="s">
        <v>2784</v>
      </c>
      <c r="T517" s="14">
        <v>47818</v>
      </c>
      <c r="U517" s="1" t="s">
        <v>2785</v>
      </c>
      <c r="V517" s="1" t="s">
        <v>36</v>
      </c>
      <c r="W517" s="3" t="str">
        <f t="shared" si="8"/>
        <v>51 tahun</v>
      </c>
      <c r="X517" s="1" t="s">
        <v>55</v>
      </c>
      <c r="Y517" s="1" t="s">
        <v>56</v>
      </c>
      <c r="Z517" s="2">
        <v>34897</v>
      </c>
      <c r="AA517" s="2">
        <v>35278</v>
      </c>
      <c r="AB517" s="2" t="s">
        <v>2786</v>
      </c>
    </row>
    <row r="518" spans="1:28" x14ac:dyDescent="0.35">
      <c r="A518" s="12">
        <v>4844</v>
      </c>
      <c r="B518" s="12">
        <v>7295007</v>
      </c>
      <c r="C518" s="12" t="s">
        <v>50</v>
      </c>
      <c r="D518" s="12">
        <v>50039558</v>
      </c>
      <c r="E518" s="1" t="s">
        <v>2787</v>
      </c>
      <c r="F518" s="1" t="str">
        <f>VLOOKUP(A518,[1]Sheet1!$A$2:$E$1141,5,0)</f>
        <v>Spv of Line 2/3 Packer Elins Maint.</v>
      </c>
      <c r="G518" s="17" t="str">
        <f>VLOOKUP(A518,[1]Sheet1!$A$2:$F$1141,6,0)</f>
        <v>Supervisor</v>
      </c>
      <c r="H518" s="1" t="s">
        <v>2780</v>
      </c>
      <c r="I518" s="1" t="s">
        <v>1117</v>
      </c>
      <c r="J518" s="1" t="str">
        <f>VLOOKUP(A518,[1]Sheet1!$A$2:$H$1141,8,0)</f>
        <v>Dept. of Maintenance</v>
      </c>
      <c r="K518" s="1" t="str">
        <f>VLOOKUP(A518,[1]Sheet1!$A$2:$I$1141,9,0)</f>
        <v>Unit of Elins Maintenance 1</v>
      </c>
      <c r="L518" s="1" t="str">
        <f>VLOOKUP(A518,[1]Sheet1!$A$2:$J$1141,10,0)</f>
        <v>Section of Packer Elins Maint</v>
      </c>
      <c r="M518" s="2">
        <v>26460</v>
      </c>
      <c r="N518" s="1" t="s">
        <v>29</v>
      </c>
      <c r="O518" s="1" t="s">
        <v>30</v>
      </c>
      <c r="P518" s="1" t="s">
        <v>2788</v>
      </c>
      <c r="Q518" s="1" t="s">
        <v>2789</v>
      </c>
      <c r="R518" s="1" t="s">
        <v>2790</v>
      </c>
      <c r="S518" s="1" t="s">
        <v>2784</v>
      </c>
      <c r="T518" s="14">
        <v>46935</v>
      </c>
      <c r="U518" s="1" t="s">
        <v>2791</v>
      </c>
      <c r="V518" s="1" t="s">
        <v>36</v>
      </c>
      <c r="W518" s="3" t="str">
        <f t="shared" si="8"/>
        <v>54 tahun</v>
      </c>
      <c r="X518" s="1" t="s">
        <v>55</v>
      </c>
      <c r="Y518" s="1" t="s">
        <v>48</v>
      </c>
      <c r="Z518" s="2">
        <v>34897</v>
      </c>
      <c r="AA518" s="2">
        <v>35278</v>
      </c>
      <c r="AB518" s="2" t="s">
        <v>2792</v>
      </c>
    </row>
    <row r="519" spans="1:28" x14ac:dyDescent="0.35">
      <c r="A519" s="12">
        <v>5971</v>
      </c>
      <c r="B519" s="12">
        <v>8812139</v>
      </c>
      <c r="C519" s="12" t="s">
        <v>103</v>
      </c>
      <c r="D519" s="12">
        <v>50052192</v>
      </c>
      <c r="E519" s="1" t="s">
        <v>1975</v>
      </c>
      <c r="F519" s="1" t="str">
        <f>VLOOKUP(A519,[1]Sheet1!$A$2:$E$1141,5,0)</f>
        <v>Spv of Line 5 Elins Packer Maint.</v>
      </c>
      <c r="G519" s="17" t="str">
        <f>VLOOKUP(A519,[1]Sheet1!$A$2:$F$1141,6,0)</f>
        <v>Supervisor</v>
      </c>
      <c r="H519" s="1" t="s">
        <v>2780</v>
      </c>
      <c r="I519" s="1" t="s">
        <v>1117</v>
      </c>
      <c r="J519" s="1" t="str">
        <f>VLOOKUP(A519,[1]Sheet1!$A$2:$H$1141,8,0)</f>
        <v>Dept. of Maintenance</v>
      </c>
      <c r="K519" s="1" t="str">
        <f>VLOOKUP(A519,[1]Sheet1!$A$2:$I$1141,9,0)</f>
        <v>Unit of Elins Maintenance 1</v>
      </c>
      <c r="L519" s="1" t="str">
        <f>VLOOKUP(A519,[1]Sheet1!$A$2:$J$1141,10,0)</f>
        <v>Section of Packer Elins Maint</v>
      </c>
      <c r="M519" s="2">
        <v>32363</v>
      </c>
      <c r="N519" s="1" t="s">
        <v>29</v>
      </c>
      <c r="O519" s="1" t="s">
        <v>30</v>
      </c>
      <c r="P519" s="1" t="s">
        <v>2793</v>
      </c>
      <c r="Q519" s="1" t="s">
        <v>2794</v>
      </c>
      <c r="R519" s="1" t="s">
        <v>2795</v>
      </c>
      <c r="S519" s="1" t="s">
        <v>2784</v>
      </c>
      <c r="T519" s="14">
        <v>52841</v>
      </c>
      <c r="U519" s="1" t="s">
        <v>2796</v>
      </c>
      <c r="V519" s="1" t="s">
        <v>36</v>
      </c>
      <c r="W519" s="3" t="str">
        <f t="shared" si="8"/>
        <v>38 tahun</v>
      </c>
      <c r="X519" s="1" t="s">
        <v>55</v>
      </c>
      <c r="Y519" s="1" t="s">
        <v>56</v>
      </c>
      <c r="Z519" s="2">
        <v>41275</v>
      </c>
      <c r="AA519" s="2">
        <v>41395</v>
      </c>
      <c r="AB519" s="2" t="s">
        <v>2797</v>
      </c>
    </row>
    <row r="520" spans="1:28" x14ac:dyDescent="0.35">
      <c r="A520" s="12">
        <v>6038</v>
      </c>
      <c r="B520" s="12">
        <v>8912205</v>
      </c>
      <c r="C520" s="12" t="s">
        <v>103</v>
      </c>
      <c r="D520" s="12">
        <v>50029261</v>
      </c>
      <c r="E520" s="1" t="s">
        <v>2798</v>
      </c>
      <c r="F520" s="1" t="str">
        <f>VLOOKUP(A520,[1]Sheet1!$A$2:$E$1141,5,0)</f>
        <v>Spv of Plant Cement Silo E/I Main</v>
      </c>
      <c r="G520" s="17" t="str">
        <f>VLOOKUP(A520,[1]Sheet1!$A$2:$F$1141,6,0)</f>
        <v>Supervisor</v>
      </c>
      <c r="H520" s="1" t="s">
        <v>2780</v>
      </c>
      <c r="I520" s="1" t="s">
        <v>1117</v>
      </c>
      <c r="J520" s="1" t="str">
        <f>VLOOKUP(A520,[1]Sheet1!$A$2:$H$1141,8,0)</f>
        <v>Dept. of Maintenance</v>
      </c>
      <c r="K520" s="1" t="str">
        <f>VLOOKUP(A520,[1]Sheet1!$A$2:$I$1141,9,0)</f>
        <v>Unit of Elins Maintenance 1</v>
      </c>
      <c r="L520" s="1" t="str">
        <f>VLOOKUP(A520,[1]Sheet1!$A$2:$J$1141,10,0)</f>
        <v>Section of Packer Elins Maint</v>
      </c>
      <c r="M520" s="2">
        <v>32718</v>
      </c>
      <c r="N520" s="1" t="s">
        <v>29</v>
      </c>
      <c r="O520" s="1" t="s">
        <v>30</v>
      </c>
      <c r="P520" s="1" t="s">
        <v>2799</v>
      </c>
      <c r="Q520" s="1" t="s">
        <v>2800</v>
      </c>
      <c r="R520" s="1" t="s">
        <v>2801</v>
      </c>
      <c r="S520" s="1" t="s">
        <v>2784</v>
      </c>
      <c r="T520" s="14">
        <v>53175</v>
      </c>
      <c r="U520" s="1" t="s">
        <v>2802</v>
      </c>
      <c r="V520" s="1" t="s">
        <v>36</v>
      </c>
      <c r="W520" s="3" t="str">
        <f t="shared" si="8"/>
        <v>37 tahun</v>
      </c>
      <c r="X520" s="1" t="s">
        <v>107</v>
      </c>
      <c r="Y520" s="1" t="s">
        <v>56</v>
      </c>
      <c r="Z520" s="2">
        <v>41275</v>
      </c>
      <c r="AA520" s="2">
        <v>41395</v>
      </c>
      <c r="AB520" s="2" t="s">
        <v>2803</v>
      </c>
    </row>
    <row r="521" spans="1:28" x14ac:dyDescent="0.35">
      <c r="A521" s="12">
        <v>6198</v>
      </c>
      <c r="B521" s="12">
        <v>9112364</v>
      </c>
      <c r="C521" s="12" t="s">
        <v>103</v>
      </c>
      <c r="D521" s="12">
        <v>50029248</v>
      </c>
      <c r="E521" s="1" t="s">
        <v>2804</v>
      </c>
      <c r="F521" s="1" t="str">
        <f>VLOOKUP(A521,[1]Sheet1!$A$2:$E$1141,5,0)</f>
        <v>Spv of Weigher Maintenance (DS)</v>
      </c>
      <c r="G521" s="17" t="str">
        <f>VLOOKUP(A521,[1]Sheet1!$A$2:$F$1141,6,0)</f>
        <v>Supervisor</v>
      </c>
      <c r="H521" s="1" t="s">
        <v>2780</v>
      </c>
      <c r="I521" s="1" t="s">
        <v>1117</v>
      </c>
      <c r="J521" s="1" t="str">
        <f>VLOOKUP(A521,[1]Sheet1!$A$2:$H$1141,8,0)</f>
        <v>Dept. of Maintenance</v>
      </c>
      <c r="K521" s="1" t="str">
        <f>VLOOKUP(A521,[1]Sheet1!$A$2:$I$1141,9,0)</f>
        <v>Unit of Elins Maintenance 1</v>
      </c>
      <c r="L521" s="1" t="str">
        <f>VLOOKUP(A521,[1]Sheet1!$A$2:$J$1141,10,0)</f>
        <v>Section of Packer Elins Maint</v>
      </c>
      <c r="M521" s="2">
        <v>33446</v>
      </c>
      <c r="N521" s="1" t="s">
        <v>29</v>
      </c>
      <c r="O521" s="1" t="s">
        <v>30</v>
      </c>
      <c r="P521" s="1" t="s">
        <v>2805</v>
      </c>
      <c r="Q521" s="1" t="s">
        <v>2806</v>
      </c>
      <c r="R521" s="1" t="s">
        <v>2807</v>
      </c>
      <c r="S521" s="1" t="s">
        <v>2784</v>
      </c>
      <c r="T521" s="14">
        <v>53905</v>
      </c>
      <c r="U521" s="1" t="s">
        <v>2808</v>
      </c>
      <c r="V521" s="1" t="s">
        <v>36</v>
      </c>
      <c r="W521" s="3" t="str">
        <f t="shared" si="8"/>
        <v>35 tahun</v>
      </c>
      <c r="X521" s="1" t="s">
        <v>2809</v>
      </c>
      <c r="Y521" s="1" t="s">
        <v>56</v>
      </c>
      <c r="Z521" s="2">
        <v>41275</v>
      </c>
      <c r="AA521" s="2">
        <v>41395</v>
      </c>
      <c r="AB521" s="2" t="s">
        <v>2810</v>
      </c>
    </row>
    <row r="522" spans="1:28" x14ac:dyDescent="0.35">
      <c r="A522" s="12">
        <v>5978</v>
      </c>
      <c r="B522" s="12">
        <v>8812146</v>
      </c>
      <c r="C522" s="12" t="s">
        <v>103</v>
      </c>
      <c r="D522" s="12">
        <v>50069512</v>
      </c>
      <c r="E522" s="1" t="s">
        <v>2811</v>
      </c>
      <c r="F522" s="1" t="str">
        <f>VLOOKUP(A522,[1]Sheet1!$A$2:$E$1141,5,0)</f>
        <v>Spv of Packer Elins Maint PdM &amp; PM</v>
      </c>
      <c r="G522" s="17" t="str">
        <f>VLOOKUP(A522,[1]Sheet1!$A$2:$F$1141,6,0)</f>
        <v>Supervisor</v>
      </c>
      <c r="H522" s="1" t="s">
        <v>2780</v>
      </c>
      <c r="I522" s="1" t="s">
        <v>1117</v>
      </c>
      <c r="J522" s="1" t="str">
        <f>VLOOKUP(A522,[1]Sheet1!$A$2:$H$1141,8,0)</f>
        <v>Dept. of Maintenance</v>
      </c>
      <c r="K522" s="1" t="str">
        <f>VLOOKUP(A522,[1]Sheet1!$A$2:$I$1141,9,0)</f>
        <v>Unit of Elins Maintenance 1</v>
      </c>
      <c r="L522" s="1" t="str">
        <f>VLOOKUP(A522,[1]Sheet1!$A$2:$J$1141,10,0)</f>
        <v>Section of Packer Elins Maint</v>
      </c>
      <c r="M522" s="2">
        <v>32396</v>
      </c>
      <c r="N522" s="1" t="s">
        <v>29</v>
      </c>
      <c r="O522" s="1" t="s">
        <v>30</v>
      </c>
      <c r="P522" s="1" t="s">
        <v>2812</v>
      </c>
      <c r="Q522" s="1" t="s">
        <v>2813</v>
      </c>
      <c r="R522" s="1" t="s">
        <v>2814</v>
      </c>
      <c r="S522" s="1" t="s">
        <v>2784</v>
      </c>
      <c r="T522" s="14">
        <v>52871</v>
      </c>
      <c r="U522" s="1" t="s">
        <v>2815</v>
      </c>
      <c r="V522" s="1" t="s">
        <v>36</v>
      </c>
      <c r="W522" s="3" t="str">
        <f t="shared" si="8"/>
        <v>37 tahun</v>
      </c>
      <c r="X522" s="1" t="s">
        <v>2816</v>
      </c>
      <c r="Y522" s="1" t="s">
        <v>56</v>
      </c>
      <c r="Z522" s="2">
        <v>41275</v>
      </c>
      <c r="AA522" s="2">
        <v>41426</v>
      </c>
      <c r="AB522" s="2" t="s">
        <v>2817</v>
      </c>
    </row>
    <row r="523" spans="1:28" x14ac:dyDescent="0.35">
      <c r="A523" s="12">
        <v>5411</v>
      </c>
      <c r="B523" s="12">
        <v>8810088</v>
      </c>
      <c r="C523" s="12" t="s">
        <v>139</v>
      </c>
      <c r="D523" s="12">
        <v>50023503</v>
      </c>
      <c r="E523" s="16" t="s">
        <v>2818</v>
      </c>
      <c r="F523" s="1" t="str">
        <f>VLOOKUP(A523,[1]Sheet1!$A$2:$E$1141,5,0)</f>
        <v>Mgr of Crusher Elins Maintenance</v>
      </c>
      <c r="G523" s="16" t="str">
        <f>VLOOKUP(A523,[1]Sheet1!$A$2:$F$1141,6,0)</f>
        <v>Manager</v>
      </c>
      <c r="H523" s="1" t="s">
        <v>2762</v>
      </c>
      <c r="I523" s="1" t="s">
        <v>1117</v>
      </c>
      <c r="J523" s="1" t="str">
        <f>VLOOKUP(A523,[1]Sheet1!$A$2:$H$1141,8,0)</f>
        <v>Dept. of Maintenance</v>
      </c>
      <c r="K523" s="1" t="str">
        <f>VLOOKUP(A523,[1]Sheet1!$A$2:$I$1141,9,0)</f>
        <v>Unit of Elins Maintenance 1</v>
      </c>
      <c r="L523" s="1" t="str">
        <f>VLOOKUP(A523,[1]Sheet1!$A$2:$J$1141,10,0)</f>
        <v>Section of Crusher Elins Maintenance</v>
      </c>
      <c r="M523" s="2">
        <v>32254</v>
      </c>
      <c r="N523" s="1" t="s">
        <v>29</v>
      </c>
      <c r="O523" s="1" t="s">
        <v>30</v>
      </c>
      <c r="P523" s="1" t="s">
        <v>2819</v>
      </c>
      <c r="Q523" s="1" t="s">
        <v>2820</v>
      </c>
      <c r="R523" s="1" t="s">
        <v>2821</v>
      </c>
      <c r="S523" s="1" t="s">
        <v>2766</v>
      </c>
      <c r="T523" s="14">
        <v>52718</v>
      </c>
      <c r="U523" s="1" t="s">
        <v>2822</v>
      </c>
      <c r="V523" s="1" t="s">
        <v>36</v>
      </c>
      <c r="W523" s="3" t="str">
        <f t="shared" si="8"/>
        <v>38 tahun</v>
      </c>
      <c r="X523" s="1" t="s">
        <v>2823</v>
      </c>
      <c r="Y523" s="1" t="s">
        <v>48</v>
      </c>
      <c r="Z523" s="2">
        <v>40544</v>
      </c>
      <c r="AA523" s="2">
        <v>40695</v>
      </c>
      <c r="AB523" s="2" t="s">
        <v>2824</v>
      </c>
    </row>
    <row r="524" spans="1:28" x14ac:dyDescent="0.35">
      <c r="A524" s="12">
        <v>5051</v>
      </c>
      <c r="B524" s="12">
        <v>7495220</v>
      </c>
      <c r="C524" s="12" t="s">
        <v>50</v>
      </c>
      <c r="D524" s="12">
        <v>50024312</v>
      </c>
      <c r="E524" s="1" t="s">
        <v>2825</v>
      </c>
      <c r="F524" s="1" t="str">
        <f>VLOOKUP(A524,[1]Sheet1!$A$2:$E$1141,5,0)</f>
        <v>Spv of Line 2/3/4/5 Crusher Elins PvM</v>
      </c>
      <c r="G524" s="17" t="str">
        <f>VLOOKUP(A524,[1]Sheet1!$A$2:$F$1141,6,0)</f>
        <v>Supervisor</v>
      </c>
      <c r="H524" s="1" t="s">
        <v>2762</v>
      </c>
      <c r="I524" s="1" t="s">
        <v>1117</v>
      </c>
      <c r="J524" s="1" t="str">
        <f>VLOOKUP(A524,[1]Sheet1!$A$2:$H$1141,8,0)</f>
        <v>Dept. of Maintenance</v>
      </c>
      <c r="K524" s="1" t="str">
        <f>VLOOKUP(A524,[1]Sheet1!$A$2:$I$1141,9,0)</f>
        <v>Unit of Elins Maintenance 1</v>
      </c>
      <c r="L524" s="1" t="str">
        <f>VLOOKUP(A524,[1]Sheet1!$A$2:$J$1141,10,0)</f>
        <v>Section of Crusher Elins Maintenance</v>
      </c>
      <c r="M524" s="2">
        <v>27195</v>
      </c>
      <c r="N524" s="1" t="s">
        <v>29</v>
      </c>
      <c r="O524" s="1" t="s">
        <v>30</v>
      </c>
      <c r="P524" s="1" t="s">
        <v>2826</v>
      </c>
      <c r="Q524" s="1" t="s">
        <v>2827</v>
      </c>
      <c r="R524" s="1" t="s">
        <v>2828</v>
      </c>
      <c r="S524" s="1" t="s">
        <v>2766</v>
      </c>
      <c r="T524" s="14">
        <v>47665</v>
      </c>
      <c r="U524" s="1" t="s">
        <v>2829</v>
      </c>
      <c r="V524" s="1" t="s">
        <v>36</v>
      </c>
      <c r="W524" s="3" t="str">
        <f t="shared" si="8"/>
        <v>52 tahun</v>
      </c>
      <c r="X524" s="1" t="s">
        <v>55</v>
      </c>
      <c r="Y524" s="1" t="s">
        <v>56</v>
      </c>
      <c r="Z524" s="2">
        <v>35002</v>
      </c>
      <c r="AA524" s="2">
        <v>35370</v>
      </c>
      <c r="AB524" s="2" t="s">
        <v>2830</v>
      </c>
    </row>
    <row r="525" spans="1:28" x14ac:dyDescent="0.35">
      <c r="A525" s="12">
        <v>5961</v>
      </c>
      <c r="B525" s="12">
        <v>8812127</v>
      </c>
      <c r="C525" s="12" t="s">
        <v>103</v>
      </c>
      <c r="D525" s="12">
        <v>50066814</v>
      </c>
      <c r="E525" s="1" t="s">
        <v>2536</v>
      </c>
      <c r="F525" s="1" t="str">
        <f>VLOOKUP(A525,[1]Sheet1!$A$2:$E$1141,5,0)</f>
        <v>Spv of Line 2/3/4/5 Crusher Elins PvM</v>
      </c>
      <c r="G525" s="17" t="str">
        <f>VLOOKUP(A525,[1]Sheet1!$A$2:$F$1141,6,0)</f>
        <v>Supervisor</v>
      </c>
      <c r="H525" s="1" t="s">
        <v>2762</v>
      </c>
      <c r="I525" s="1" t="s">
        <v>1117</v>
      </c>
      <c r="J525" s="1" t="str">
        <f>VLOOKUP(A525,[1]Sheet1!$A$2:$H$1141,8,0)</f>
        <v>Dept. of Maintenance</v>
      </c>
      <c r="K525" s="1" t="str">
        <f>VLOOKUP(A525,[1]Sheet1!$A$2:$I$1141,9,0)</f>
        <v>Unit of Elins Maintenance 1</v>
      </c>
      <c r="L525" s="1" t="str">
        <f>VLOOKUP(A525,[1]Sheet1!$A$2:$J$1141,10,0)</f>
        <v>Section of Crusher Elins Maintenance</v>
      </c>
      <c r="M525" s="2">
        <v>32309</v>
      </c>
      <c r="N525" s="1" t="s">
        <v>29</v>
      </c>
      <c r="O525" s="1" t="s">
        <v>30</v>
      </c>
      <c r="P525" s="1" t="s">
        <v>2831</v>
      </c>
      <c r="Q525" s="1" t="s">
        <v>2827</v>
      </c>
      <c r="R525" s="1" t="s">
        <v>2828</v>
      </c>
      <c r="S525" s="1" t="s">
        <v>2766</v>
      </c>
      <c r="T525" s="14">
        <v>52779</v>
      </c>
      <c r="U525" s="1" t="s">
        <v>2832</v>
      </c>
      <c r="V525" s="1" t="s">
        <v>36</v>
      </c>
      <c r="W525" s="3" t="str">
        <f t="shared" si="8"/>
        <v>38 tahun</v>
      </c>
      <c r="X525" s="1" t="s">
        <v>595</v>
      </c>
      <c r="Y525" s="1" t="s">
        <v>56</v>
      </c>
      <c r="Z525" s="2">
        <v>41275</v>
      </c>
      <c r="AA525" s="2">
        <v>41395</v>
      </c>
      <c r="AB525" s="2" t="s">
        <v>2833</v>
      </c>
    </row>
    <row r="526" spans="1:28" x14ac:dyDescent="0.35">
      <c r="A526" s="12">
        <v>5318</v>
      </c>
      <c r="B526" s="12">
        <v>8408067</v>
      </c>
      <c r="C526" s="12" t="s">
        <v>25</v>
      </c>
      <c r="D526" s="12">
        <v>50024323</v>
      </c>
      <c r="E526" s="1" t="s">
        <v>2834</v>
      </c>
      <c r="F526" s="1" t="str">
        <f>VLOOKUP(A526,[1]Sheet1!$A$2:$E$1141,5,0)</f>
        <v>Spv of LS,CL,SL 2/3/4 Crusher PdM &amp; PM</v>
      </c>
      <c r="G526" s="17" t="str">
        <f>VLOOKUP(A526,[1]Sheet1!$A$2:$F$1141,6,0)</f>
        <v>Supervisor</v>
      </c>
      <c r="H526" s="1" t="s">
        <v>2762</v>
      </c>
      <c r="I526" s="1" t="s">
        <v>1117</v>
      </c>
      <c r="J526" s="1" t="str">
        <f>VLOOKUP(A526,[1]Sheet1!$A$2:$H$1141,8,0)</f>
        <v>Dept. of Maintenance</v>
      </c>
      <c r="K526" s="1" t="str">
        <f>VLOOKUP(A526,[1]Sheet1!$A$2:$I$1141,9,0)</f>
        <v>Unit of Elins Maintenance 1</v>
      </c>
      <c r="L526" s="1" t="str">
        <f>VLOOKUP(A526,[1]Sheet1!$A$2:$J$1141,10,0)</f>
        <v>Section of Crusher Elins Maintenance</v>
      </c>
      <c r="M526" s="2">
        <v>30922</v>
      </c>
      <c r="N526" s="1" t="s">
        <v>29</v>
      </c>
      <c r="O526" s="1" t="s">
        <v>30</v>
      </c>
      <c r="P526" s="1" t="s">
        <v>2835</v>
      </c>
      <c r="Q526" s="1" t="s">
        <v>2836</v>
      </c>
      <c r="R526" s="1" t="s">
        <v>2765</v>
      </c>
      <c r="S526" s="1" t="s">
        <v>2766</v>
      </c>
      <c r="T526" s="14">
        <v>51380</v>
      </c>
      <c r="U526" s="1" t="s">
        <v>2837</v>
      </c>
      <c r="V526" s="1" t="s">
        <v>36</v>
      </c>
      <c r="W526" s="3" t="str">
        <f t="shared" si="8"/>
        <v>42 tahun</v>
      </c>
      <c r="X526" s="1" t="s">
        <v>37</v>
      </c>
      <c r="Y526" s="1" t="s">
        <v>68</v>
      </c>
      <c r="Z526" s="2">
        <v>39814</v>
      </c>
      <c r="AA526" s="2">
        <v>39995</v>
      </c>
      <c r="AB526" s="2" t="s">
        <v>1993</v>
      </c>
    </row>
    <row r="527" spans="1:28" x14ac:dyDescent="0.35">
      <c r="A527" s="12">
        <v>4805</v>
      </c>
      <c r="B527" s="12">
        <v>7295001</v>
      </c>
      <c r="C527" s="12" t="s">
        <v>50</v>
      </c>
      <c r="D527" s="12">
        <v>50061961</v>
      </c>
      <c r="E527" s="1" t="s">
        <v>2067</v>
      </c>
      <c r="F527" s="1" t="str">
        <f>VLOOKUP(A527,[1]Sheet1!$A$2:$E$1141,5,0)</f>
        <v>Spv of Line 2/3 FM Elins PvM</v>
      </c>
      <c r="G527" s="17" t="str">
        <f>VLOOKUP(A527,[1]Sheet1!$A$2:$F$1141,6,0)</f>
        <v>Supervisor</v>
      </c>
      <c r="H527" s="1" t="s">
        <v>2754</v>
      </c>
      <c r="I527" s="1" t="s">
        <v>1117</v>
      </c>
      <c r="J527" s="1" t="str">
        <f>VLOOKUP(A527,[1]Sheet1!$A$2:$H$1141,8,0)</f>
        <v>Dept. of Maintenance</v>
      </c>
      <c r="K527" s="1" t="str">
        <f>VLOOKUP(A527,[1]Sheet1!$A$2:$I$1141,9,0)</f>
        <v>Unit of Elins Maintenance 1</v>
      </c>
      <c r="L527" s="1" t="str">
        <f>VLOOKUP(A527,[1]Sheet1!$A$2:$J$1141,10,0)</f>
        <v>Section of Line 2/3 FM Elins Maintenance</v>
      </c>
      <c r="M527" s="2">
        <v>26331</v>
      </c>
      <c r="N527" s="1" t="s">
        <v>29</v>
      </c>
      <c r="O527" s="1" t="s">
        <v>30</v>
      </c>
      <c r="P527" s="1" t="s">
        <v>2838</v>
      </c>
      <c r="Q527" s="1" t="s">
        <v>2836</v>
      </c>
      <c r="R527" s="1" t="s">
        <v>2839</v>
      </c>
      <c r="S527" s="1" t="s">
        <v>2758</v>
      </c>
      <c r="T527" s="14">
        <v>46813</v>
      </c>
      <c r="U527" s="1" t="s">
        <v>2840</v>
      </c>
      <c r="V527" s="1" t="s">
        <v>36</v>
      </c>
      <c r="W527" s="3" t="str">
        <f t="shared" si="8"/>
        <v>54 tahun</v>
      </c>
      <c r="X527" s="1" t="s">
        <v>2841</v>
      </c>
      <c r="Y527" s="1" t="s">
        <v>56</v>
      </c>
      <c r="Z527" s="2">
        <v>34897</v>
      </c>
      <c r="AA527" s="2">
        <v>35278</v>
      </c>
      <c r="AB527" s="2" t="s">
        <v>2842</v>
      </c>
    </row>
    <row r="528" spans="1:28" x14ac:dyDescent="0.35">
      <c r="A528" s="12">
        <v>6045</v>
      </c>
      <c r="B528" s="12">
        <v>8912213</v>
      </c>
      <c r="C528" s="12" t="s">
        <v>103</v>
      </c>
      <c r="D528" s="12">
        <v>50024315</v>
      </c>
      <c r="E528" s="1" t="s">
        <v>2843</v>
      </c>
      <c r="F528" s="1" t="str">
        <f>VLOOKUP(A528,[1]Sheet1!$A$2:$E$1141,5,0)</f>
        <v>Spv of Crusher Elins Repair</v>
      </c>
      <c r="G528" s="17" t="str">
        <f>VLOOKUP(A528,[1]Sheet1!$A$2:$F$1141,6,0)</f>
        <v>Supervisor</v>
      </c>
      <c r="H528" s="1" t="s">
        <v>2762</v>
      </c>
      <c r="I528" s="1" t="s">
        <v>1117</v>
      </c>
      <c r="J528" s="1" t="str">
        <f>VLOOKUP(A528,[1]Sheet1!$A$2:$H$1141,8,0)</f>
        <v>Dept. of Maintenance</v>
      </c>
      <c r="K528" s="1" t="str">
        <f>VLOOKUP(A528,[1]Sheet1!$A$2:$I$1141,9,0)</f>
        <v>Unit of Elins Maintenance 1</v>
      </c>
      <c r="L528" s="1" t="str">
        <f>VLOOKUP(A528,[1]Sheet1!$A$2:$J$1141,10,0)</f>
        <v>Section of Crusher Elins Maintenance</v>
      </c>
      <c r="M528" s="2">
        <v>32757</v>
      </c>
      <c r="N528" s="1" t="s">
        <v>29</v>
      </c>
      <c r="O528" s="1" t="s">
        <v>30</v>
      </c>
      <c r="P528" s="1" t="s">
        <v>2844</v>
      </c>
      <c r="Q528" s="1" t="s">
        <v>2845</v>
      </c>
      <c r="R528" s="1" t="s">
        <v>2846</v>
      </c>
      <c r="S528" s="1" t="s">
        <v>2766</v>
      </c>
      <c r="T528" s="14">
        <v>53236</v>
      </c>
      <c r="U528" s="1" t="s">
        <v>2847</v>
      </c>
      <c r="V528" s="1" t="s">
        <v>36</v>
      </c>
      <c r="W528" s="3" t="str">
        <f t="shared" si="8"/>
        <v>36 tahun</v>
      </c>
      <c r="X528" s="1" t="s">
        <v>2848</v>
      </c>
      <c r="Y528" s="1" t="s">
        <v>56</v>
      </c>
      <c r="Z528" s="2">
        <v>41275</v>
      </c>
      <c r="AA528" s="2">
        <v>41426</v>
      </c>
      <c r="AB528" s="2" t="s">
        <v>2849</v>
      </c>
    </row>
    <row r="529" spans="1:28" x14ac:dyDescent="0.35">
      <c r="A529" s="12">
        <v>5990</v>
      </c>
      <c r="B529" s="12">
        <v>8812157</v>
      </c>
      <c r="C529" s="12" t="s">
        <v>103</v>
      </c>
      <c r="D529" s="12">
        <v>50024318</v>
      </c>
      <c r="E529" s="1" t="s">
        <v>2850</v>
      </c>
      <c r="F529" s="1" t="str">
        <f>VLOOKUP(A529,[1]Sheet1!$A$2:$E$1141,5,0)</f>
        <v>Spv of Crusher Elins Repair</v>
      </c>
      <c r="G529" s="17" t="str">
        <f>VLOOKUP(A529,[1]Sheet1!$A$2:$F$1141,6,0)</f>
        <v>Supervisor</v>
      </c>
      <c r="H529" s="1" t="s">
        <v>2762</v>
      </c>
      <c r="I529" s="1" t="s">
        <v>1117</v>
      </c>
      <c r="J529" s="1" t="str">
        <f>VLOOKUP(A529,[1]Sheet1!$A$2:$H$1141,8,0)</f>
        <v>Dept. of Maintenance</v>
      </c>
      <c r="K529" s="1" t="str">
        <f>VLOOKUP(A529,[1]Sheet1!$A$2:$I$1141,9,0)</f>
        <v>Unit of Elins Maintenance 1</v>
      </c>
      <c r="L529" s="1" t="str">
        <f>VLOOKUP(A529,[1]Sheet1!$A$2:$J$1141,10,0)</f>
        <v>Section of Crusher Elins Maintenance</v>
      </c>
      <c r="M529" s="2">
        <v>32473</v>
      </c>
      <c r="N529" s="1" t="s">
        <v>29</v>
      </c>
      <c r="O529" s="1" t="s">
        <v>30</v>
      </c>
      <c r="P529" s="1" t="s">
        <v>2851</v>
      </c>
      <c r="Q529" s="1" t="s">
        <v>2845</v>
      </c>
      <c r="R529" s="1" t="s">
        <v>2846</v>
      </c>
      <c r="S529" s="1" t="s">
        <v>2766</v>
      </c>
      <c r="T529" s="14">
        <v>52932</v>
      </c>
      <c r="U529" s="1" t="s">
        <v>2852</v>
      </c>
      <c r="V529" s="1" t="s">
        <v>36</v>
      </c>
      <c r="W529" s="3" t="str">
        <f t="shared" si="8"/>
        <v>37 tahun</v>
      </c>
      <c r="X529" s="1" t="s">
        <v>121</v>
      </c>
      <c r="Y529" s="1" t="s">
        <v>56</v>
      </c>
      <c r="Z529" s="2">
        <v>41275</v>
      </c>
      <c r="AA529" s="2">
        <v>41395</v>
      </c>
      <c r="AB529" s="2" t="s">
        <v>2853</v>
      </c>
    </row>
    <row r="530" spans="1:28" x14ac:dyDescent="0.35">
      <c r="A530" s="12">
        <v>4911</v>
      </c>
      <c r="B530" s="12">
        <v>7395011</v>
      </c>
      <c r="C530" s="12" t="s">
        <v>50</v>
      </c>
      <c r="D530" s="12">
        <v>50007891</v>
      </c>
      <c r="E530" s="16" t="s">
        <v>2854</v>
      </c>
      <c r="F530" s="1" t="str">
        <f>VLOOKUP(A530,[1]Sheet1!$A$2:$E$1141,5,0)</f>
        <v>Mgr of Line 2/3 RKC Elins Maint.</v>
      </c>
      <c r="G530" s="16" t="str">
        <f>VLOOKUP(A530,[1]Sheet1!$A$2:$F$1141,6,0)</f>
        <v>Manager</v>
      </c>
      <c r="H530" s="1" t="s">
        <v>2754</v>
      </c>
      <c r="I530" s="1" t="s">
        <v>1117</v>
      </c>
      <c r="J530" s="1" t="str">
        <f>VLOOKUP(A530,[1]Sheet1!$A$2:$H$1141,8,0)</f>
        <v>Dept. of Maintenance</v>
      </c>
      <c r="K530" s="1" t="str">
        <f>VLOOKUP(A530,[1]Sheet1!$A$2:$I$1141,9,0)</f>
        <v>Unit of Elins Maintenance 1</v>
      </c>
      <c r="L530" s="1" t="str">
        <f>VLOOKUP(A530,[1]Sheet1!$A$2:$J$1141,10,0)</f>
        <v>Section of Line 2/3 RKC Elins Maint.</v>
      </c>
      <c r="M530" s="2">
        <v>26728</v>
      </c>
      <c r="N530" s="1" t="s">
        <v>29</v>
      </c>
      <c r="O530" s="1" t="s">
        <v>30</v>
      </c>
      <c r="P530" s="1" t="s">
        <v>2855</v>
      </c>
      <c r="Q530" s="1" t="s">
        <v>2856</v>
      </c>
      <c r="R530" s="1" t="s">
        <v>2857</v>
      </c>
      <c r="S530" s="1" t="s">
        <v>2758</v>
      </c>
      <c r="T530" s="14">
        <v>47209</v>
      </c>
      <c r="U530" s="1" t="s">
        <v>2858</v>
      </c>
      <c r="V530" s="1" t="s">
        <v>36</v>
      </c>
      <c r="W530" s="3" t="str">
        <f t="shared" si="8"/>
        <v>53 tahun</v>
      </c>
      <c r="X530" s="1" t="s">
        <v>356</v>
      </c>
      <c r="Y530" s="1" t="s">
        <v>56</v>
      </c>
      <c r="Z530" s="2">
        <v>34897</v>
      </c>
      <c r="AA530" s="2">
        <v>35278</v>
      </c>
      <c r="AB530" s="2" t="s">
        <v>2859</v>
      </c>
    </row>
    <row r="531" spans="1:28" x14ac:dyDescent="0.35">
      <c r="A531" s="12">
        <v>5164</v>
      </c>
      <c r="B531" s="12">
        <v>7595065</v>
      </c>
      <c r="C531" s="12" t="s">
        <v>50</v>
      </c>
      <c r="D531" s="12">
        <v>50034994</v>
      </c>
      <c r="E531" s="1" t="s">
        <v>2860</v>
      </c>
      <c r="F531" s="1" t="str">
        <f>VLOOKUP(A531,[1]Sheet1!$A$2:$E$1141,5,0)</f>
        <v>Line 2/3 RKC Elins PdM&amp;PM Jr Officer</v>
      </c>
      <c r="G531" s="17" t="str">
        <f>VLOOKUP(A531,[1]Sheet1!$A$2:$F$1141,6,0)</f>
        <v>Supervisor</v>
      </c>
      <c r="H531" s="1" t="s">
        <v>2754</v>
      </c>
      <c r="I531" s="1" t="s">
        <v>1117</v>
      </c>
      <c r="J531" s="1" t="str">
        <f>VLOOKUP(A531,[1]Sheet1!$A$2:$H$1141,8,0)</f>
        <v>Dept. of Maintenance</v>
      </c>
      <c r="K531" s="1" t="str">
        <f>VLOOKUP(A531,[1]Sheet1!$A$2:$I$1141,9,0)</f>
        <v>Unit of Elins Maintenance 1</v>
      </c>
      <c r="L531" s="1" t="str">
        <f>VLOOKUP(A531,[1]Sheet1!$A$2:$J$1141,10,0)</f>
        <v>Section of Line 2/3 RKC Elins Maint.</v>
      </c>
      <c r="M531" s="2">
        <v>27674</v>
      </c>
      <c r="N531" s="1" t="s">
        <v>29</v>
      </c>
      <c r="O531" s="1" t="s">
        <v>30</v>
      </c>
      <c r="P531" s="1" t="s">
        <v>2861</v>
      </c>
      <c r="Q531" s="1" t="s">
        <v>2862</v>
      </c>
      <c r="R531" s="1" t="s">
        <v>2863</v>
      </c>
      <c r="S531" s="1" t="s">
        <v>2758</v>
      </c>
      <c r="T531" s="14">
        <v>48153</v>
      </c>
      <c r="U531" s="1" t="s">
        <v>2864</v>
      </c>
      <c r="V531" s="1" t="s">
        <v>36</v>
      </c>
      <c r="W531" s="3" t="str">
        <f t="shared" si="8"/>
        <v>50 tahun</v>
      </c>
      <c r="X531" s="1" t="s">
        <v>243</v>
      </c>
      <c r="Y531" s="1" t="s">
        <v>56</v>
      </c>
      <c r="Z531" s="2">
        <v>34897</v>
      </c>
      <c r="AA531" s="2">
        <v>35278</v>
      </c>
      <c r="AB531" s="2" t="s">
        <v>2865</v>
      </c>
    </row>
    <row r="532" spans="1:28" x14ac:dyDescent="0.35">
      <c r="A532" s="12">
        <v>6055</v>
      </c>
      <c r="B532" s="12">
        <v>8912223</v>
      </c>
      <c r="C532" s="12" t="s">
        <v>103</v>
      </c>
      <c r="D532" s="12">
        <v>50065645</v>
      </c>
      <c r="E532" s="1" t="s">
        <v>2866</v>
      </c>
      <c r="F532" s="1" t="str">
        <f>VLOOKUP(A532,[1]Sheet1!$A$2:$E$1141,5,0)</f>
        <v>Line 2/3 RKC Elins PdM&amp;PM Jr Officer</v>
      </c>
      <c r="G532" s="17" t="str">
        <f>VLOOKUP(A532,[1]Sheet1!$A$2:$F$1141,6,0)</f>
        <v>Supervisor</v>
      </c>
      <c r="H532" s="1" t="s">
        <v>2754</v>
      </c>
      <c r="I532" s="1" t="s">
        <v>1117</v>
      </c>
      <c r="J532" s="1" t="str">
        <f>VLOOKUP(A532,[1]Sheet1!$A$2:$H$1141,8,0)</f>
        <v>Dept. of Maintenance</v>
      </c>
      <c r="K532" s="1" t="str">
        <f>VLOOKUP(A532,[1]Sheet1!$A$2:$I$1141,9,0)</f>
        <v>Unit of Elins Maintenance 1</v>
      </c>
      <c r="L532" s="1" t="str">
        <f>VLOOKUP(A532,[1]Sheet1!$A$2:$J$1141,10,0)</f>
        <v>Section of Line 2/3 RKC Elins Maint.</v>
      </c>
      <c r="M532" s="2">
        <v>32793</v>
      </c>
      <c r="N532" s="1" t="s">
        <v>29</v>
      </c>
      <c r="O532" s="1" t="s">
        <v>30</v>
      </c>
      <c r="P532" s="1" t="s">
        <v>2867</v>
      </c>
      <c r="Q532" s="1" t="s">
        <v>2862</v>
      </c>
      <c r="R532" s="1" t="s">
        <v>2863</v>
      </c>
      <c r="S532" s="1" t="s">
        <v>2758</v>
      </c>
      <c r="T532" s="14">
        <v>53267</v>
      </c>
      <c r="U532" s="1" t="s">
        <v>2868</v>
      </c>
      <c r="V532" s="1" t="s">
        <v>36</v>
      </c>
      <c r="W532" s="3" t="str">
        <f t="shared" si="8"/>
        <v>36 tahun</v>
      </c>
      <c r="X532" s="1" t="s">
        <v>55</v>
      </c>
      <c r="Y532" s="1" t="s">
        <v>56</v>
      </c>
      <c r="Z532" s="2">
        <v>41275</v>
      </c>
      <c r="AA532" s="2">
        <v>41395</v>
      </c>
      <c r="AB532" s="2" t="s">
        <v>2869</v>
      </c>
    </row>
    <row r="533" spans="1:28" x14ac:dyDescent="0.35">
      <c r="A533" s="12">
        <v>5177</v>
      </c>
      <c r="B533" s="12">
        <v>7595069</v>
      </c>
      <c r="C533" s="12" t="s">
        <v>50</v>
      </c>
      <c r="D533" s="12">
        <v>50069509</v>
      </c>
      <c r="E533" s="1" t="s">
        <v>2870</v>
      </c>
      <c r="F533" s="1" t="str">
        <f>VLOOKUP(A533,[1]Sheet1!$A$2:$E$1141,5,0)</f>
        <v>Line 2/3 System Control Maint Jr Officer</v>
      </c>
      <c r="G533" s="17" t="str">
        <f>VLOOKUP(A533,[1]Sheet1!$A$2:$F$1141,6,0)</f>
        <v>Supervisor</v>
      </c>
      <c r="H533" s="1" t="s">
        <v>2754</v>
      </c>
      <c r="I533" s="1" t="s">
        <v>1117</v>
      </c>
      <c r="J533" s="1" t="str">
        <f>VLOOKUP(A533,[1]Sheet1!$A$2:$H$1141,8,0)</f>
        <v>Dept. of Maintenance</v>
      </c>
      <c r="K533" s="1" t="str">
        <f>VLOOKUP(A533,[1]Sheet1!$A$2:$I$1141,9,0)</f>
        <v>Unit of Elins Maintenance 1</v>
      </c>
      <c r="L533" s="1" t="str">
        <f>VLOOKUP(A533,[1]Sheet1!$A$2:$J$1141,10,0)</f>
        <v>Section of Line 2/3 RKC Elins Maint.</v>
      </c>
      <c r="M533" s="2">
        <v>27736</v>
      </c>
      <c r="N533" s="1" t="s">
        <v>29</v>
      </c>
      <c r="O533" s="1" t="s">
        <v>30</v>
      </c>
      <c r="P533" s="1" t="s">
        <v>2871</v>
      </c>
      <c r="Q533" s="1" t="s">
        <v>2872</v>
      </c>
      <c r="R533" s="1" t="s">
        <v>2873</v>
      </c>
      <c r="S533" s="1" t="s">
        <v>2758</v>
      </c>
      <c r="T533" s="14">
        <v>48214</v>
      </c>
      <c r="U533" s="1" t="s">
        <v>2874</v>
      </c>
      <c r="V533" s="1" t="s">
        <v>36</v>
      </c>
      <c r="W533" s="3" t="str">
        <f t="shared" si="8"/>
        <v>50 tahun</v>
      </c>
      <c r="X533" s="1" t="s">
        <v>96</v>
      </c>
      <c r="Y533" s="1" t="s">
        <v>56</v>
      </c>
      <c r="Z533" s="2">
        <v>34897</v>
      </c>
      <c r="AA533" s="2">
        <v>35278</v>
      </c>
      <c r="AB533" s="2" t="s">
        <v>2875</v>
      </c>
    </row>
    <row r="534" spans="1:28" x14ac:dyDescent="0.35">
      <c r="A534" s="12">
        <v>6159</v>
      </c>
      <c r="B534" s="12">
        <v>9112327</v>
      </c>
      <c r="C534" s="12" t="s">
        <v>103</v>
      </c>
      <c r="D534" s="12">
        <v>50069877</v>
      </c>
      <c r="E534" s="1" t="s">
        <v>2876</v>
      </c>
      <c r="F534" s="1" t="str">
        <f>VLOOKUP(A534,[1]Sheet1!$A$2:$E$1141,5,0)</f>
        <v>Line 2/3 System Control Maint Jr Officer</v>
      </c>
      <c r="G534" s="17" t="str">
        <f>VLOOKUP(A534,[1]Sheet1!$A$2:$F$1141,6,0)</f>
        <v>Supervisor</v>
      </c>
      <c r="H534" s="1" t="s">
        <v>2754</v>
      </c>
      <c r="I534" s="1" t="s">
        <v>1117</v>
      </c>
      <c r="J534" s="1" t="str">
        <f>VLOOKUP(A534,[1]Sheet1!$A$2:$H$1141,8,0)</f>
        <v>Dept. of Maintenance</v>
      </c>
      <c r="K534" s="1" t="str">
        <f>VLOOKUP(A534,[1]Sheet1!$A$2:$I$1141,9,0)</f>
        <v>Unit of Elins Maintenance 1</v>
      </c>
      <c r="L534" s="1" t="str">
        <f>VLOOKUP(A534,[1]Sheet1!$A$2:$J$1141,10,0)</f>
        <v>Section of Line 2/3 RKC Elins Maint.</v>
      </c>
      <c r="M534" s="2">
        <v>33288</v>
      </c>
      <c r="N534" s="1" t="s">
        <v>29</v>
      </c>
      <c r="O534" s="1" t="s">
        <v>30</v>
      </c>
      <c r="P534" s="1" t="s">
        <v>2877</v>
      </c>
      <c r="Q534" s="1" t="s">
        <v>2872</v>
      </c>
      <c r="R534" s="1" t="s">
        <v>2873</v>
      </c>
      <c r="S534" s="1" t="s">
        <v>2758</v>
      </c>
      <c r="T534" s="14">
        <v>53752</v>
      </c>
      <c r="U534" s="1" t="s">
        <v>2878</v>
      </c>
      <c r="V534" s="1" t="s">
        <v>36</v>
      </c>
      <c r="W534" s="3" t="str">
        <f t="shared" si="8"/>
        <v>35 tahun</v>
      </c>
      <c r="X534" s="1" t="s">
        <v>2690</v>
      </c>
      <c r="Y534" s="1" t="s">
        <v>56</v>
      </c>
      <c r="Z534" s="2">
        <v>41275</v>
      </c>
      <c r="AA534" s="2">
        <v>41456</v>
      </c>
      <c r="AB534" s="2" t="s">
        <v>2879</v>
      </c>
    </row>
    <row r="535" spans="1:28" x14ac:dyDescent="0.35">
      <c r="A535" s="12">
        <v>5384</v>
      </c>
      <c r="B535" s="12">
        <v>8610076</v>
      </c>
      <c r="C535" s="12" t="s">
        <v>139</v>
      </c>
      <c r="D535" s="12">
        <v>50052130</v>
      </c>
      <c r="E535" s="15" t="s">
        <v>2880</v>
      </c>
      <c r="F535" s="1" t="str">
        <f>VLOOKUP(A535,[1]Sheet1!$A$2:$E$1141,5,0)</f>
        <v>SM of Elins Maintenance 2</v>
      </c>
      <c r="G535" s="15" t="str">
        <f>VLOOKUP(A535,[1]Sheet1!$A$2:$F$1141,6,0)</f>
        <v>Senior Manager</v>
      </c>
      <c r="H535" s="1" t="s">
        <v>2448</v>
      </c>
      <c r="I535" s="1" t="s">
        <v>1117</v>
      </c>
      <c r="J535" s="1" t="str">
        <f>VLOOKUP(A535,[1]Sheet1!$A$2:$H$1141,8,0)</f>
        <v>Dept. of Maintenance</v>
      </c>
      <c r="K535" s="1" t="str">
        <f>VLOOKUP(A535,[1]Sheet1!$A$2:$I$1141,9,0)</f>
        <v>Unit of Elins Maintenance 2</v>
      </c>
      <c r="L535" s="1" t="e">
        <f>VLOOKUP(A535,[1]Sheet1!$A$2:$J$1141,10,0)</f>
        <v>#REF!</v>
      </c>
      <c r="M535" s="2">
        <v>31753</v>
      </c>
      <c r="N535" s="1" t="s">
        <v>29</v>
      </c>
      <c r="O535" s="1" t="s">
        <v>30</v>
      </c>
      <c r="P535" s="1" t="s">
        <v>2881</v>
      </c>
      <c r="Q535" s="1" t="s">
        <v>2882</v>
      </c>
      <c r="R535" s="1" t="s">
        <v>2883</v>
      </c>
      <c r="S535" s="1" t="s">
        <v>2452</v>
      </c>
      <c r="T535" s="14">
        <v>52232</v>
      </c>
      <c r="U535" s="1" t="s">
        <v>2884</v>
      </c>
      <c r="V535" s="1" t="s">
        <v>36</v>
      </c>
      <c r="W535" s="3" t="str">
        <f t="shared" si="8"/>
        <v>39 tahun</v>
      </c>
      <c r="X535" s="1" t="s">
        <v>2885</v>
      </c>
      <c r="Y535" s="1" t="s">
        <v>48</v>
      </c>
      <c r="Z535" s="2">
        <v>40544</v>
      </c>
      <c r="AA535" s="2">
        <v>40664</v>
      </c>
      <c r="AB535" s="2" t="s">
        <v>2886</v>
      </c>
    </row>
    <row r="536" spans="1:28" x14ac:dyDescent="0.35">
      <c r="A536" s="12">
        <v>5027</v>
      </c>
      <c r="B536" s="12">
        <v>7495029</v>
      </c>
      <c r="C536" s="12" t="s">
        <v>50</v>
      </c>
      <c r="D536" s="12">
        <v>50018554</v>
      </c>
      <c r="E536" s="16" t="s">
        <v>2887</v>
      </c>
      <c r="F536" s="1" t="str">
        <f>VLOOKUP(A536,[1]Sheet1!$A$2:$E$1141,5,0)</f>
        <v>Mgr of Line 4/5 RKC Elctr. Maint.</v>
      </c>
      <c r="G536" s="16" t="str">
        <f>VLOOKUP(A536,[1]Sheet1!$A$2:$F$1141,6,0)</f>
        <v>Manager</v>
      </c>
      <c r="H536" s="1" t="s">
        <v>2888</v>
      </c>
      <c r="I536" s="1" t="s">
        <v>1117</v>
      </c>
      <c r="J536" s="1" t="str">
        <f>VLOOKUP(A536,[1]Sheet1!$A$2:$H$1141,8,0)</f>
        <v>Dept. of Maintenance</v>
      </c>
      <c r="K536" s="1" t="str">
        <f>VLOOKUP(A536,[1]Sheet1!$A$2:$I$1141,9,0)</f>
        <v>Unit of Elins Maintenance 2</v>
      </c>
      <c r="L536" s="1" t="str">
        <f>VLOOKUP(A536,[1]Sheet1!$A$2:$J$1141,10,0)</f>
        <v>Section of Line 4/5 RKC Elctr. Maint.</v>
      </c>
      <c r="M536" s="2">
        <v>27143</v>
      </c>
      <c r="N536" s="1" t="s">
        <v>29</v>
      </c>
      <c r="O536" s="1" t="s">
        <v>30</v>
      </c>
      <c r="P536" s="1" t="s">
        <v>2889</v>
      </c>
      <c r="Q536" s="1" t="s">
        <v>2890</v>
      </c>
      <c r="R536" s="1" t="s">
        <v>2891</v>
      </c>
      <c r="S536" s="1" t="s">
        <v>2892</v>
      </c>
      <c r="T536" s="14">
        <v>47604</v>
      </c>
      <c r="U536" s="1" t="s">
        <v>2893</v>
      </c>
      <c r="V536" s="1" t="s">
        <v>36</v>
      </c>
      <c r="W536" s="3" t="str">
        <f t="shared" si="8"/>
        <v>52 tahun</v>
      </c>
      <c r="X536" s="1" t="s">
        <v>107</v>
      </c>
      <c r="Y536" s="1" t="s">
        <v>56</v>
      </c>
      <c r="Z536" s="2">
        <v>34897</v>
      </c>
      <c r="AA536" s="2">
        <v>35278</v>
      </c>
      <c r="AB536" s="2" t="s">
        <v>84</v>
      </c>
    </row>
    <row r="537" spans="1:28" x14ac:dyDescent="0.35">
      <c r="A537" s="12">
        <v>5875</v>
      </c>
      <c r="B537" s="12">
        <v>8612042</v>
      </c>
      <c r="C537" s="12" t="s">
        <v>103</v>
      </c>
      <c r="D537" s="12">
        <v>50065985</v>
      </c>
      <c r="E537" s="1" t="s">
        <v>2894</v>
      </c>
      <c r="F537" s="1" t="str">
        <f>VLOOKUP(A537,[1]Sheet1!$A$2:$E$1141,5,0)</f>
        <v>Spv of PvM AFR</v>
      </c>
      <c r="G537" s="17" t="str">
        <f>VLOOKUP(A537,[1]Sheet1!$A$2:$F$1141,6,0)</f>
        <v>Supervisor</v>
      </c>
      <c r="H537" s="1" t="s">
        <v>2888</v>
      </c>
      <c r="I537" s="1" t="s">
        <v>1117</v>
      </c>
      <c r="J537" s="1" t="str">
        <f>VLOOKUP(A537,[1]Sheet1!$A$2:$H$1141,8,0)</f>
        <v>Dept. of Maintenance</v>
      </c>
      <c r="K537" s="1" t="str">
        <f>VLOOKUP(A537,[1]Sheet1!$A$2:$I$1141,9,0)</f>
        <v>Unit of Elins Maintenance 2</v>
      </c>
      <c r="L537" s="1" t="str">
        <f>VLOOKUP(A537,[1]Sheet1!$A$2:$J$1141,10,0)</f>
        <v>Section of Line 4/5 RKC Elctr. Maint.</v>
      </c>
      <c r="M537" s="2">
        <v>31520</v>
      </c>
      <c r="N537" s="1" t="s">
        <v>29</v>
      </c>
      <c r="O537" s="1" t="s">
        <v>30</v>
      </c>
      <c r="P537" s="1" t="s">
        <v>2895</v>
      </c>
      <c r="Q537" s="1" t="s">
        <v>2896</v>
      </c>
      <c r="R537" s="1" t="s">
        <v>2897</v>
      </c>
      <c r="S537" s="1" t="s">
        <v>2892</v>
      </c>
      <c r="T537" s="14">
        <v>51987</v>
      </c>
      <c r="U537" s="1" t="s">
        <v>2898</v>
      </c>
      <c r="V537" s="1" t="s">
        <v>36</v>
      </c>
      <c r="W537" s="3" t="str">
        <f t="shared" si="8"/>
        <v>40 tahun</v>
      </c>
      <c r="X537" s="1" t="s">
        <v>55</v>
      </c>
      <c r="Y537" s="1" t="s">
        <v>56</v>
      </c>
      <c r="Z537" s="2">
        <v>41275</v>
      </c>
      <c r="AA537" s="2">
        <v>41426</v>
      </c>
      <c r="AB537" s="2" t="s">
        <v>2899</v>
      </c>
    </row>
    <row r="538" spans="1:28" x14ac:dyDescent="0.35">
      <c r="A538" s="12">
        <v>5847</v>
      </c>
      <c r="B538" s="12">
        <v>8512014</v>
      </c>
      <c r="C538" s="12" t="s">
        <v>103</v>
      </c>
      <c r="D538" s="12">
        <v>50069514</v>
      </c>
      <c r="E538" s="1" t="s">
        <v>2900</v>
      </c>
      <c r="F538" s="1" t="str">
        <f>VLOOKUP(A538,[1]Sheet1!$A$2:$E$1141,5,0)</f>
        <v>Spv of Line 4 RKC Elctr PdM &amp; PM Schdl</v>
      </c>
      <c r="G538" s="17" t="str">
        <f>VLOOKUP(A538,[1]Sheet1!$A$2:$F$1141,6,0)</f>
        <v>Supervisor</v>
      </c>
      <c r="H538" s="1" t="s">
        <v>2888</v>
      </c>
      <c r="I538" s="1" t="s">
        <v>1117</v>
      </c>
      <c r="J538" s="1" t="str">
        <f>VLOOKUP(A538,[1]Sheet1!$A$2:$H$1141,8,0)</f>
        <v>Dept. of Maintenance</v>
      </c>
      <c r="K538" s="1" t="str">
        <f>VLOOKUP(A538,[1]Sheet1!$A$2:$I$1141,9,0)</f>
        <v>Unit of Elins Maintenance 2</v>
      </c>
      <c r="L538" s="1" t="str">
        <f>VLOOKUP(A538,[1]Sheet1!$A$2:$J$1141,10,0)</f>
        <v>Section of Line 4/5 RKC Elctr. Maint.</v>
      </c>
      <c r="M538" s="2">
        <v>31241</v>
      </c>
      <c r="N538" s="1" t="s">
        <v>29</v>
      </c>
      <c r="O538" s="1" t="s">
        <v>30</v>
      </c>
      <c r="P538" s="1" t="s">
        <v>2901</v>
      </c>
      <c r="Q538" s="1" t="s">
        <v>2902</v>
      </c>
      <c r="R538" s="1" t="s">
        <v>2903</v>
      </c>
      <c r="S538" s="1" t="s">
        <v>2892</v>
      </c>
      <c r="T538" s="14">
        <v>51714</v>
      </c>
      <c r="U538" s="1" t="s">
        <v>2904</v>
      </c>
      <c r="V538" s="1" t="s">
        <v>36</v>
      </c>
      <c r="W538" s="3" t="str">
        <f t="shared" si="8"/>
        <v>41 tahun</v>
      </c>
      <c r="X538" s="1" t="s">
        <v>37</v>
      </c>
      <c r="Y538" s="1" t="s">
        <v>56</v>
      </c>
      <c r="Z538" s="2">
        <v>41275</v>
      </c>
      <c r="AA538" s="2">
        <v>41426</v>
      </c>
      <c r="AB538" s="2" t="s">
        <v>2905</v>
      </c>
    </row>
    <row r="539" spans="1:28" x14ac:dyDescent="0.35">
      <c r="A539" s="12">
        <v>5960</v>
      </c>
      <c r="B539" s="12">
        <v>8812126</v>
      </c>
      <c r="C539" s="12" t="s">
        <v>103</v>
      </c>
      <c r="D539" s="12">
        <v>50069515</v>
      </c>
      <c r="E539" s="1" t="s">
        <v>2906</v>
      </c>
      <c r="F539" s="1" t="str">
        <f>VLOOKUP(A539,[1]Sheet1!$A$2:$E$1141,5,0)</f>
        <v>Spv of Line 4 RKC Elctr PdM &amp; PM Schdl</v>
      </c>
      <c r="G539" s="17" t="str">
        <f>VLOOKUP(A539,[1]Sheet1!$A$2:$F$1141,6,0)</f>
        <v>Supervisor</v>
      </c>
      <c r="H539" s="1" t="s">
        <v>2888</v>
      </c>
      <c r="I539" s="1" t="s">
        <v>1117</v>
      </c>
      <c r="J539" s="1" t="str">
        <f>VLOOKUP(A539,[1]Sheet1!$A$2:$H$1141,8,0)</f>
        <v>Dept. of Maintenance</v>
      </c>
      <c r="K539" s="1" t="str">
        <f>VLOOKUP(A539,[1]Sheet1!$A$2:$I$1141,9,0)</f>
        <v>Unit of Elins Maintenance 2</v>
      </c>
      <c r="L539" s="1" t="str">
        <f>VLOOKUP(A539,[1]Sheet1!$A$2:$J$1141,10,0)</f>
        <v>Section of Line 4/5 RKC Elctr. Maint.</v>
      </c>
      <c r="M539" s="2">
        <v>32302</v>
      </c>
      <c r="N539" s="1" t="s">
        <v>29</v>
      </c>
      <c r="O539" s="1" t="s">
        <v>30</v>
      </c>
      <c r="P539" s="1" t="s">
        <v>2907</v>
      </c>
      <c r="Q539" s="1" t="s">
        <v>2902</v>
      </c>
      <c r="R539" s="1" t="s">
        <v>2903</v>
      </c>
      <c r="S539" s="1" t="s">
        <v>2892</v>
      </c>
      <c r="T539" s="14">
        <v>52779</v>
      </c>
      <c r="U539" s="1" t="s">
        <v>2908</v>
      </c>
      <c r="V539" s="1" t="s">
        <v>36</v>
      </c>
      <c r="W539" s="3" t="str">
        <f t="shared" si="8"/>
        <v>38 tahun</v>
      </c>
      <c r="X539" s="1" t="s">
        <v>91</v>
      </c>
      <c r="Y539" s="1" t="s">
        <v>56</v>
      </c>
      <c r="Z539" s="2">
        <v>41275</v>
      </c>
      <c r="AA539" s="2">
        <v>41426</v>
      </c>
      <c r="AB539" s="2" t="s">
        <v>2909</v>
      </c>
    </row>
    <row r="540" spans="1:28" x14ac:dyDescent="0.35">
      <c r="A540" s="12">
        <v>5896</v>
      </c>
      <c r="B540" s="12">
        <v>8612063</v>
      </c>
      <c r="C540" s="12" t="s">
        <v>103</v>
      </c>
      <c r="D540" s="12">
        <v>50069517</v>
      </c>
      <c r="E540" s="1" t="s">
        <v>2422</v>
      </c>
      <c r="F540" s="1" t="str">
        <f>VLOOKUP(A540,[1]Sheet1!$A$2:$E$1141,5,0)</f>
        <v>Spv of Line 4 RKC Elctr PvM</v>
      </c>
      <c r="G540" s="17" t="str">
        <f>VLOOKUP(A540,[1]Sheet1!$A$2:$F$1141,6,0)</f>
        <v>Supervisor</v>
      </c>
      <c r="H540" s="1" t="s">
        <v>2888</v>
      </c>
      <c r="I540" s="1" t="s">
        <v>1117</v>
      </c>
      <c r="J540" s="1" t="str">
        <f>VLOOKUP(A540,[1]Sheet1!$A$2:$H$1141,8,0)</f>
        <v>Dept. of Maintenance</v>
      </c>
      <c r="K540" s="1" t="str">
        <f>VLOOKUP(A540,[1]Sheet1!$A$2:$I$1141,9,0)</f>
        <v>Unit of Elins Maintenance 2</v>
      </c>
      <c r="L540" s="1" t="str">
        <f>VLOOKUP(A540,[1]Sheet1!$A$2:$J$1141,10,0)</f>
        <v>Section of Line 4/5 RKC Elctr. Maint.</v>
      </c>
      <c r="M540" s="2">
        <v>31753</v>
      </c>
      <c r="N540" s="1" t="s">
        <v>29</v>
      </c>
      <c r="O540" s="1" t="s">
        <v>30</v>
      </c>
      <c r="P540" s="1" t="s">
        <v>2910</v>
      </c>
      <c r="Q540" s="1" t="s">
        <v>2911</v>
      </c>
      <c r="R540" s="1" t="s">
        <v>2912</v>
      </c>
      <c r="S540" s="1" t="s">
        <v>2892</v>
      </c>
      <c r="T540" s="14">
        <v>52232</v>
      </c>
      <c r="U540" s="1" t="s">
        <v>2913</v>
      </c>
      <c r="V540" s="1" t="s">
        <v>36</v>
      </c>
      <c r="W540" s="3" t="str">
        <f t="shared" si="8"/>
        <v>39 tahun</v>
      </c>
      <c r="X540" s="1" t="s">
        <v>2914</v>
      </c>
      <c r="Y540" s="1" t="s">
        <v>56</v>
      </c>
      <c r="Z540" s="2">
        <v>41275</v>
      </c>
      <c r="AA540" s="2">
        <v>41395</v>
      </c>
      <c r="AB540" s="2" t="s">
        <v>2915</v>
      </c>
    </row>
    <row r="541" spans="1:28" x14ac:dyDescent="0.35">
      <c r="A541" s="12">
        <v>5996</v>
      </c>
      <c r="B541" s="12">
        <v>8912163</v>
      </c>
      <c r="C541" s="12" t="s">
        <v>103</v>
      </c>
      <c r="D541" s="12">
        <v>50069518</v>
      </c>
      <c r="E541" s="1" t="s">
        <v>2916</v>
      </c>
      <c r="F541" s="1" t="str">
        <f>VLOOKUP(A541,[1]Sheet1!$A$2:$E$1141,5,0)</f>
        <v>Spv of Line 4 RKC Elctr PvM</v>
      </c>
      <c r="G541" s="17" t="str">
        <f>VLOOKUP(A541,[1]Sheet1!$A$2:$F$1141,6,0)</f>
        <v>Supervisor</v>
      </c>
      <c r="H541" s="1" t="s">
        <v>2888</v>
      </c>
      <c r="I541" s="1" t="s">
        <v>1117</v>
      </c>
      <c r="J541" s="1" t="str">
        <f>VLOOKUP(A541,[1]Sheet1!$A$2:$H$1141,8,0)</f>
        <v>Dept. of Maintenance</v>
      </c>
      <c r="K541" s="1" t="str">
        <f>VLOOKUP(A541,[1]Sheet1!$A$2:$I$1141,9,0)</f>
        <v>Unit of Elins Maintenance 2</v>
      </c>
      <c r="L541" s="1" t="str">
        <f>VLOOKUP(A541,[1]Sheet1!$A$2:$J$1141,10,0)</f>
        <v>Section of Line 4/5 RKC Elctr. Maint.</v>
      </c>
      <c r="M541" s="2">
        <v>32525</v>
      </c>
      <c r="N541" s="1" t="s">
        <v>29</v>
      </c>
      <c r="O541" s="1" t="s">
        <v>30</v>
      </c>
      <c r="P541" s="1" t="s">
        <v>2917</v>
      </c>
      <c r="Q541" s="1" t="s">
        <v>2911</v>
      </c>
      <c r="R541" s="1" t="s">
        <v>2912</v>
      </c>
      <c r="S541" s="1" t="s">
        <v>2892</v>
      </c>
      <c r="T541" s="14">
        <v>52994</v>
      </c>
      <c r="U541" s="1" t="s">
        <v>2918</v>
      </c>
      <c r="V541" s="1" t="s">
        <v>36</v>
      </c>
      <c r="W541" s="3" t="str">
        <f t="shared" si="8"/>
        <v>37 tahun</v>
      </c>
      <c r="X541" s="1" t="s">
        <v>356</v>
      </c>
      <c r="Y541" s="1" t="s">
        <v>56</v>
      </c>
      <c r="Z541" s="2">
        <v>41275</v>
      </c>
      <c r="AA541" s="2">
        <v>41395</v>
      </c>
      <c r="AB541" s="2" t="s">
        <v>2919</v>
      </c>
    </row>
    <row r="542" spans="1:28" x14ac:dyDescent="0.35">
      <c r="A542" s="12">
        <v>6132</v>
      </c>
      <c r="B542" s="12">
        <v>9012301</v>
      </c>
      <c r="C542" s="12" t="s">
        <v>103</v>
      </c>
      <c r="D542" s="12">
        <v>50069519</v>
      </c>
      <c r="E542" s="1" t="s">
        <v>2920</v>
      </c>
      <c r="F542" s="1" t="str">
        <f>VLOOKUP(A542,[1]Sheet1!$A$2:$E$1141,5,0)</f>
        <v>Spv of Line 4 RKC Elctr PvM</v>
      </c>
      <c r="G542" s="17" t="str">
        <f>VLOOKUP(A542,[1]Sheet1!$A$2:$F$1141,6,0)</f>
        <v>Supervisor</v>
      </c>
      <c r="H542" s="1" t="s">
        <v>2888</v>
      </c>
      <c r="I542" s="1" t="s">
        <v>1117</v>
      </c>
      <c r="J542" s="1" t="str">
        <f>VLOOKUP(A542,[1]Sheet1!$A$2:$H$1141,8,0)</f>
        <v>Dept. of Maintenance</v>
      </c>
      <c r="K542" s="1" t="str">
        <f>VLOOKUP(A542,[1]Sheet1!$A$2:$I$1141,9,0)</f>
        <v>Unit of Elins Maintenance 2</v>
      </c>
      <c r="L542" s="1" t="str">
        <f>VLOOKUP(A542,[1]Sheet1!$A$2:$J$1141,10,0)</f>
        <v>Section of Line 4/5 RKC Elctr. Maint.</v>
      </c>
      <c r="M542" s="2">
        <v>33164</v>
      </c>
      <c r="N542" s="1" t="s">
        <v>29</v>
      </c>
      <c r="O542" s="1" t="s">
        <v>30</v>
      </c>
      <c r="P542" s="1" t="s">
        <v>2921</v>
      </c>
      <c r="Q542" s="1" t="s">
        <v>2911</v>
      </c>
      <c r="R542" s="1" t="s">
        <v>2912</v>
      </c>
      <c r="S542" s="1" t="s">
        <v>2892</v>
      </c>
      <c r="T542" s="14">
        <v>53632</v>
      </c>
      <c r="U542" s="1" t="s">
        <v>2922</v>
      </c>
      <c r="V542" s="1" t="s">
        <v>36</v>
      </c>
      <c r="W542" s="3" t="str">
        <f t="shared" si="8"/>
        <v>35 tahun</v>
      </c>
      <c r="X542" s="1" t="s">
        <v>121</v>
      </c>
      <c r="Y542" s="1" t="s">
        <v>56</v>
      </c>
      <c r="Z542" s="2">
        <v>41275</v>
      </c>
      <c r="AA542" s="2">
        <v>41426</v>
      </c>
      <c r="AB542" s="2" t="s">
        <v>2923</v>
      </c>
    </row>
    <row r="543" spans="1:28" x14ac:dyDescent="0.35">
      <c r="A543" s="12">
        <v>5932</v>
      </c>
      <c r="B543" s="12">
        <v>8712098</v>
      </c>
      <c r="C543" s="12" t="s">
        <v>103</v>
      </c>
      <c r="D543" s="12">
        <v>50069521</v>
      </c>
      <c r="E543" s="1" t="s">
        <v>2924</v>
      </c>
      <c r="F543" s="1" t="str">
        <f>VLOOKUP(A543,[1]Sheet1!$A$2:$E$1141,5,0)</f>
        <v>Spv of Line 5 RKC Elctr PdM &amp; PM Schd</v>
      </c>
      <c r="G543" s="17" t="str">
        <f>VLOOKUP(A543,[1]Sheet1!$A$2:$F$1141,6,0)</f>
        <v>Supervisor</v>
      </c>
      <c r="H543" s="1" t="s">
        <v>2888</v>
      </c>
      <c r="I543" s="1" t="s">
        <v>1117</v>
      </c>
      <c r="J543" s="1" t="str">
        <f>VLOOKUP(A543,[1]Sheet1!$A$2:$H$1141,8,0)</f>
        <v>Dept. of Maintenance</v>
      </c>
      <c r="K543" s="1" t="str">
        <f>VLOOKUP(A543,[1]Sheet1!$A$2:$I$1141,9,0)</f>
        <v>Unit of Elins Maintenance 2</v>
      </c>
      <c r="L543" s="1" t="str">
        <f>VLOOKUP(A543,[1]Sheet1!$A$2:$J$1141,10,0)</f>
        <v>Section of Line 4/5 RKC Elctr. Maint.</v>
      </c>
      <c r="M543" s="2">
        <v>32050</v>
      </c>
      <c r="N543" s="1" t="s">
        <v>29</v>
      </c>
      <c r="O543" s="1" t="s">
        <v>30</v>
      </c>
      <c r="P543" s="1" t="s">
        <v>2925</v>
      </c>
      <c r="Q543" s="1" t="s">
        <v>2926</v>
      </c>
      <c r="R543" s="1" t="s">
        <v>2927</v>
      </c>
      <c r="S543" s="1" t="s">
        <v>2892</v>
      </c>
      <c r="T543" s="14">
        <v>52505</v>
      </c>
      <c r="U543" s="1" t="s">
        <v>2928</v>
      </c>
      <c r="V543" s="1" t="s">
        <v>36</v>
      </c>
      <c r="W543" s="3" t="str">
        <f t="shared" si="8"/>
        <v>38 tahun</v>
      </c>
      <c r="X543" s="1" t="s">
        <v>112</v>
      </c>
      <c r="Y543" s="1" t="s">
        <v>56</v>
      </c>
      <c r="Z543" s="2">
        <v>41275</v>
      </c>
      <c r="AA543" s="2">
        <v>41426</v>
      </c>
      <c r="AB543" s="2" t="s">
        <v>2929</v>
      </c>
    </row>
    <row r="544" spans="1:28" x14ac:dyDescent="0.35">
      <c r="A544" s="12">
        <v>5963</v>
      </c>
      <c r="B544" s="12">
        <v>8812130</v>
      </c>
      <c r="C544" s="12" t="s">
        <v>103</v>
      </c>
      <c r="D544" s="12">
        <v>50069522</v>
      </c>
      <c r="E544" s="1" t="s">
        <v>2930</v>
      </c>
      <c r="F544" s="1" t="str">
        <f>VLOOKUP(A544,[1]Sheet1!$A$2:$E$1141,5,0)</f>
        <v>Spv of Line 5 RKC Elctr PdM &amp; PM Schd</v>
      </c>
      <c r="G544" s="17" t="str">
        <f>VLOOKUP(A544,[1]Sheet1!$A$2:$F$1141,6,0)</f>
        <v>Supervisor</v>
      </c>
      <c r="H544" s="1" t="s">
        <v>2888</v>
      </c>
      <c r="I544" s="1" t="s">
        <v>1117</v>
      </c>
      <c r="J544" s="1" t="str">
        <f>VLOOKUP(A544,[1]Sheet1!$A$2:$H$1141,8,0)</f>
        <v>Dept. of Maintenance</v>
      </c>
      <c r="K544" s="1" t="str">
        <f>VLOOKUP(A544,[1]Sheet1!$A$2:$I$1141,9,0)</f>
        <v>Unit of Elins Maintenance 2</v>
      </c>
      <c r="L544" s="1" t="str">
        <f>VLOOKUP(A544,[1]Sheet1!$A$2:$J$1141,10,0)</f>
        <v>Section of Line 4/5 RKC Elctr. Maint.</v>
      </c>
      <c r="M544" s="2">
        <v>32319</v>
      </c>
      <c r="N544" s="1" t="s">
        <v>29</v>
      </c>
      <c r="O544" s="1" t="s">
        <v>30</v>
      </c>
      <c r="P544" s="1" t="s">
        <v>2931</v>
      </c>
      <c r="Q544" s="1" t="s">
        <v>2926</v>
      </c>
      <c r="R544" s="1" t="s">
        <v>2927</v>
      </c>
      <c r="S544" s="1" t="s">
        <v>2892</v>
      </c>
      <c r="T544" s="14">
        <v>52779</v>
      </c>
      <c r="U544" s="1" t="s">
        <v>2932</v>
      </c>
      <c r="V544" s="1" t="s">
        <v>36</v>
      </c>
      <c r="W544" s="3" t="str">
        <f t="shared" si="8"/>
        <v>38 tahun</v>
      </c>
      <c r="X544" s="1" t="s">
        <v>112</v>
      </c>
      <c r="Y544" s="1" t="s">
        <v>56</v>
      </c>
      <c r="Z544" s="2">
        <v>41275</v>
      </c>
      <c r="AA544" s="2">
        <v>41395</v>
      </c>
      <c r="AB544" s="2" t="s">
        <v>2933</v>
      </c>
    </row>
    <row r="545" spans="1:28" x14ac:dyDescent="0.35">
      <c r="A545" s="12">
        <v>5840</v>
      </c>
      <c r="B545" s="12">
        <v>8512007</v>
      </c>
      <c r="C545" s="12" t="s">
        <v>103</v>
      </c>
      <c r="D545" s="12">
        <v>50069524</v>
      </c>
      <c r="E545" s="1" t="s">
        <v>2906</v>
      </c>
      <c r="F545" s="1" t="str">
        <f>VLOOKUP(A545,[1]Sheet1!$A$2:$E$1141,5,0)</f>
        <v>Spv of Line 5 RKC PvM</v>
      </c>
      <c r="G545" s="17" t="str">
        <f>VLOOKUP(A545,[1]Sheet1!$A$2:$F$1141,6,0)</f>
        <v>Supervisor</v>
      </c>
      <c r="H545" s="1" t="s">
        <v>2888</v>
      </c>
      <c r="I545" s="1" t="s">
        <v>1117</v>
      </c>
      <c r="J545" s="1" t="str">
        <f>VLOOKUP(A545,[1]Sheet1!$A$2:$H$1141,8,0)</f>
        <v>Dept. of Maintenance</v>
      </c>
      <c r="K545" s="1" t="str">
        <f>VLOOKUP(A545,[1]Sheet1!$A$2:$I$1141,9,0)</f>
        <v>Unit of Elins Maintenance 2</v>
      </c>
      <c r="L545" s="1" t="str">
        <f>VLOOKUP(A545,[1]Sheet1!$A$2:$J$1141,10,0)</f>
        <v>Section of Line 4/5 RKC Elctr. Maint.</v>
      </c>
      <c r="M545" s="2">
        <v>31152</v>
      </c>
      <c r="N545" s="1" t="s">
        <v>29</v>
      </c>
      <c r="O545" s="1" t="s">
        <v>30</v>
      </c>
      <c r="P545" s="1" t="s">
        <v>2934</v>
      </c>
      <c r="Q545" s="1" t="s">
        <v>2935</v>
      </c>
      <c r="R545" s="1" t="s">
        <v>2936</v>
      </c>
      <c r="S545" s="1" t="s">
        <v>2892</v>
      </c>
      <c r="T545" s="14">
        <v>51622</v>
      </c>
      <c r="U545" s="1" t="s">
        <v>2937</v>
      </c>
      <c r="V545" s="1" t="s">
        <v>36</v>
      </c>
      <c r="W545" s="3" t="str">
        <f t="shared" si="8"/>
        <v>41 tahun</v>
      </c>
      <c r="X545" s="1" t="s">
        <v>121</v>
      </c>
      <c r="Y545" s="1" t="s">
        <v>56</v>
      </c>
      <c r="Z545" s="2">
        <v>41275</v>
      </c>
      <c r="AA545" s="2">
        <v>41426</v>
      </c>
      <c r="AB545" s="2" t="s">
        <v>2938</v>
      </c>
    </row>
    <row r="546" spans="1:28" x14ac:dyDescent="0.35">
      <c r="A546" s="12">
        <v>5975</v>
      </c>
      <c r="B546" s="12">
        <v>8812143</v>
      </c>
      <c r="C546" s="12" t="s">
        <v>103</v>
      </c>
      <c r="D546" s="12">
        <v>50069524</v>
      </c>
      <c r="E546" s="1" t="s">
        <v>2939</v>
      </c>
      <c r="F546" s="1" t="str">
        <f>VLOOKUP(A546,[1]Sheet1!$A$2:$E$1141,5,0)</f>
        <v>Spv of Line 5 RKC PvM</v>
      </c>
      <c r="G546" s="17" t="str">
        <f>VLOOKUP(A546,[1]Sheet1!$A$2:$F$1141,6,0)</f>
        <v>Supervisor</v>
      </c>
      <c r="H546" s="1" t="s">
        <v>2888</v>
      </c>
      <c r="I546" s="1" t="s">
        <v>1117</v>
      </c>
      <c r="J546" s="1" t="str">
        <f>VLOOKUP(A546,[1]Sheet1!$A$2:$H$1141,8,0)</f>
        <v>Dept. of Maintenance</v>
      </c>
      <c r="K546" s="1" t="str">
        <f>VLOOKUP(A546,[1]Sheet1!$A$2:$I$1141,9,0)</f>
        <v>Unit of Elins Maintenance 2</v>
      </c>
      <c r="L546" s="1" t="str">
        <f>VLOOKUP(A546,[1]Sheet1!$A$2:$J$1141,10,0)</f>
        <v>Section of Line 4/5 RKC Elctr. Maint.</v>
      </c>
      <c r="M546" s="2">
        <v>32378</v>
      </c>
      <c r="N546" s="1" t="s">
        <v>29</v>
      </c>
      <c r="O546" s="1" t="s">
        <v>30</v>
      </c>
      <c r="P546" s="1" t="s">
        <v>2934</v>
      </c>
      <c r="Q546" s="1" t="s">
        <v>2935</v>
      </c>
      <c r="R546" s="1" t="s">
        <v>2936</v>
      </c>
      <c r="S546" s="1" t="s">
        <v>2892</v>
      </c>
      <c r="T546" s="14">
        <v>52841</v>
      </c>
      <c r="U546" s="1" t="s">
        <v>2940</v>
      </c>
      <c r="V546" s="1" t="s">
        <v>36</v>
      </c>
      <c r="W546" s="3" t="str">
        <f t="shared" si="8"/>
        <v>38 tahun</v>
      </c>
      <c r="X546" s="1" t="s">
        <v>595</v>
      </c>
      <c r="Y546" s="1" t="s">
        <v>68</v>
      </c>
      <c r="Z546" s="2">
        <v>41275</v>
      </c>
      <c r="AA546" s="2">
        <v>41487</v>
      </c>
      <c r="AB546" s="2" t="s">
        <v>2652</v>
      </c>
    </row>
    <row r="547" spans="1:28" x14ac:dyDescent="0.35">
      <c r="A547" s="12">
        <v>5852</v>
      </c>
      <c r="B547" s="12">
        <v>8512018</v>
      </c>
      <c r="C547" s="12" t="s">
        <v>103</v>
      </c>
      <c r="D547" s="12">
        <v>50069525</v>
      </c>
      <c r="E547" s="1" t="s">
        <v>1853</v>
      </c>
      <c r="F547" s="1" t="str">
        <f>VLOOKUP(A547,[1]Sheet1!$A$2:$E$1141,5,0)</f>
        <v>Spv of Line 5 RKC PvM</v>
      </c>
      <c r="G547" s="17" t="str">
        <f>VLOOKUP(A547,[1]Sheet1!$A$2:$F$1141,6,0)</f>
        <v>Supervisor</v>
      </c>
      <c r="H547" s="1" t="s">
        <v>2888</v>
      </c>
      <c r="I547" s="1" t="s">
        <v>1117</v>
      </c>
      <c r="J547" s="1" t="str">
        <f>VLOOKUP(A547,[1]Sheet1!$A$2:$H$1141,8,0)</f>
        <v>Dept. of Maintenance</v>
      </c>
      <c r="K547" s="1" t="str">
        <f>VLOOKUP(A547,[1]Sheet1!$A$2:$I$1141,9,0)</f>
        <v>Unit of Elins Maintenance 2</v>
      </c>
      <c r="L547" s="1" t="str">
        <f>VLOOKUP(A547,[1]Sheet1!$A$2:$J$1141,10,0)</f>
        <v>Section of Line 4/5 RKC Elctr. Maint.</v>
      </c>
      <c r="M547" s="2">
        <v>31306</v>
      </c>
      <c r="N547" s="1" t="s">
        <v>29</v>
      </c>
      <c r="O547" s="1" t="s">
        <v>30</v>
      </c>
      <c r="P547" s="1" t="s">
        <v>2941</v>
      </c>
      <c r="Q547" s="1" t="s">
        <v>2935</v>
      </c>
      <c r="R547" s="1" t="s">
        <v>2936</v>
      </c>
      <c r="S547" s="1" t="s">
        <v>2892</v>
      </c>
      <c r="T547" s="14">
        <v>51775</v>
      </c>
      <c r="U547" s="1" t="s">
        <v>2942</v>
      </c>
      <c r="V547" s="1" t="s">
        <v>36</v>
      </c>
      <c r="W547" s="3" t="str">
        <f t="shared" si="8"/>
        <v>40 tahun</v>
      </c>
      <c r="X547" s="1" t="s">
        <v>595</v>
      </c>
      <c r="Y547" s="1" t="s">
        <v>56</v>
      </c>
      <c r="Z547" s="2">
        <v>41275</v>
      </c>
      <c r="AA547" s="2">
        <v>41365</v>
      </c>
      <c r="AB547" s="2" t="s">
        <v>2943</v>
      </c>
    </row>
    <row r="548" spans="1:28" x14ac:dyDescent="0.35">
      <c r="A548" s="12">
        <v>5338</v>
      </c>
      <c r="B548" s="12">
        <v>8510030</v>
      </c>
      <c r="C548" s="12" t="s">
        <v>139</v>
      </c>
      <c r="D548" s="12">
        <v>50066435</v>
      </c>
      <c r="E548" s="16" t="s">
        <v>2944</v>
      </c>
      <c r="F548" s="1" t="str">
        <f>VLOOKUP(A548,[1]Sheet1!$A$2:$E$1141,5,0)</f>
        <v>Mgr of Line 4/5 RKC Instr. Maint.</v>
      </c>
      <c r="G548" s="16" t="str">
        <f>VLOOKUP(A548,[1]Sheet1!$A$2:$F$1141,6,0)</f>
        <v>Manager</v>
      </c>
      <c r="H548" s="1" t="s">
        <v>2945</v>
      </c>
      <c r="I548" s="1" t="s">
        <v>1117</v>
      </c>
      <c r="J548" s="1" t="str">
        <f>VLOOKUP(A548,[1]Sheet1!$A$2:$H$1141,8,0)</f>
        <v>Dept. of Maintenance</v>
      </c>
      <c r="K548" s="1" t="str">
        <f>VLOOKUP(A548,[1]Sheet1!$A$2:$I$1141,9,0)</f>
        <v>Unit of Elins Maintenance 2</v>
      </c>
      <c r="L548" s="1" t="str">
        <f>VLOOKUP(A548,[1]Sheet1!$A$2:$J$1141,10,0)</f>
        <v>Section of Line 4/5 RKC Instr. Maint.</v>
      </c>
      <c r="M548" s="2">
        <v>31152</v>
      </c>
      <c r="N548" s="1" t="s">
        <v>29</v>
      </c>
      <c r="O548" s="1" t="s">
        <v>30</v>
      </c>
      <c r="P548" s="1" t="s">
        <v>2946</v>
      </c>
      <c r="Q548" s="1" t="s">
        <v>2947</v>
      </c>
      <c r="R548" s="1" t="s">
        <v>2948</v>
      </c>
      <c r="S548" s="1" t="s">
        <v>2949</v>
      </c>
      <c r="T548" s="14">
        <v>51622</v>
      </c>
      <c r="U548" s="1" t="s">
        <v>2950</v>
      </c>
      <c r="V548" s="1" t="s">
        <v>36</v>
      </c>
      <c r="W548" s="3" t="str">
        <f t="shared" si="8"/>
        <v>41 tahun</v>
      </c>
      <c r="X548" s="1" t="s">
        <v>55</v>
      </c>
      <c r="Y548" s="1" t="s">
        <v>68</v>
      </c>
      <c r="Z548" s="2">
        <v>40544</v>
      </c>
      <c r="AA548" s="2">
        <v>40664</v>
      </c>
      <c r="AB548" s="2" t="s">
        <v>2951</v>
      </c>
    </row>
    <row r="549" spans="1:28" x14ac:dyDescent="0.35">
      <c r="A549" s="12">
        <v>8265</v>
      </c>
      <c r="B549" s="12">
        <v>9923004</v>
      </c>
      <c r="C549" s="12" t="s">
        <v>158</v>
      </c>
      <c r="D549" s="12">
        <v>50052145</v>
      </c>
      <c r="E549" s="1" t="s">
        <v>2952</v>
      </c>
      <c r="F549" s="1" t="str">
        <f>VLOOKUP(A549,[1]Sheet1!$A$2:$E$1141,5,0)</f>
        <v>Spv of Line 4 System Control Maint</v>
      </c>
      <c r="G549" s="17" t="str">
        <f>VLOOKUP(A549,[1]Sheet1!$A$2:$F$1141,6,0)</f>
        <v>Supervisor</v>
      </c>
      <c r="H549" s="1" t="s">
        <v>2945</v>
      </c>
      <c r="I549" s="1" t="s">
        <v>1117</v>
      </c>
      <c r="J549" s="1" t="str">
        <f>VLOOKUP(A549,[1]Sheet1!$A$2:$H$1141,8,0)</f>
        <v>Dept. of Maintenance</v>
      </c>
      <c r="K549" s="1" t="str">
        <f>VLOOKUP(A549,[1]Sheet1!$A$2:$I$1141,9,0)</f>
        <v>Unit of Elins Maintenance 2</v>
      </c>
      <c r="L549" s="1" t="str">
        <f>VLOOKUP(A549,[1]Sheet1!$A$2:$J$1141,10,0)</f>
        <v>Section of Line 4/5 RKC Instr. Maint.</v>
      </c>
      <c r="M549" s="2">
        <v>35457</v>
      </c>
      <c r="N549" s="1" t="s">
        <v>29</v>
      </c>
      <c r="O549" s="1" t="s">
        <v>30</v>
      </c>
      <c r="P549" s="1" t="s">
        <v>2953</v>
      </c>
      <c r="Q549" s="1" t="s">
        <v>2954</v>
      </c>
      <c r="R549" s="1" t="s">
        <v>2955</v>
      </c>
      <c r="S549" s="1" t="s">
        <v>2949</v>
      </c>
      <c r="T549" s="14">
        <v>55916</v>
      </c>
      <c r="U549" s="1" t="s">
        <v>2956</v>
      </c>
      <c r="V549" s="1" t="s">
        <v>36</v>
      </c>
      <c r="W549" s="3" t="str">
        <f t="shared" si="8"/>
        <v>29 tahun</v>
      </c>
      <c r="X549" s="1" t="s">
        <v>112</v>
      </c>
      <c r="Y549" s="1" t="s">
        <v>48</v>
      </c>
      <c r="Z549" s="2">
        <v>45200</v>
      </c>
      <c r="AA549" s="2">
        <v>45566</v>
      </c>
      <c r="AB549" s="2" t="s">
        <v>2957</v>
      </c>
    </row>
    <row r="550" spans="1:28" x14ac:dyDescent="0.35">
      <c r="A550" s="12">
        <v>6275</v>
      </c>
      <c r="B550" s="12">
        <v>9212444</v>
      </c>
      <c r="C550" s="12" t="s">
        <v>103</v>
      </c>
      <c r="D550" s="12">
        <v>50069528</v>
      </c>
      <c r="E550" s="1" t="s">
        <v>2958</v>
      </c>
      <c r="F550" s="1" t="str">
        <f>VLOOKUP(A550,[1]Sheet1!$A$2:$E$1141,5,0)</f>
        <v>Spv of Line 4 System Control Maint</v>
      </c>
      <c r="G550" s="17" t="str">
        <f>VLOOKUP(A550,[1]Sheet1!$A$2:$F$1141,6,0)</f>
        <v>Supervisor</v>
      </c>
      <c r="H550" s="1" t="s">
        <v>2945</v>
      </c>
      <c r="I550" s="1" t="s">
        <v>1117</v>
      </c>
      <c r="J550" s="1" t="str">
        <f>VLOOKUP(A550,[1]Sheet1!$A$2:$H$1141,8,0)</f>
        <v>Dept. of Maintenance</v>
      </c>
      <c r="K550" s="1" t="str">
        <f>VLOOKUP(A550,[1]Sheet1!$A$2:$I$1141,9,0)</f>
        <v>Unit of Elins Maintenance 2</v>
      </c>
      <c r="L550" s="1" t="str">
        <f>VLOOKUP(A550,[1]Sheet1!$A$2:$J$1141,10,0)</f>
        <v>Section of Line 4/5 RKC Instr. Maint.</v>
      </c>
      <c r="M550" s="2">
        <v>33959</v>
      </c>
      <c r="N550" s="1" t="s">
        <v>29</v>
      </c>
      <c r="O550" s="1" t="s">
        <v>30</v>
      </c>
      <c r="P550" s="1" t="s">
        <v>2959</v>
      </c>
      <c r="Q550" s="1" t="s">
        <v>2954</v>
      </c>
      <c r="R550" s="1" t="s">
        <v>2955</v>
      </c>
      <c r="S550" s="1" t="s">
        <v>2949</v>
      </c>
      <c r="T550" s="14">
        <v>54424</v>
      </c>
      <c r="U550" s="1" t="s">
        <v>2960</v>
      </c>
      <c r="V550" s="1" t="s">
        <v>36</v>
      </c>
      <c r="W550" s="3" t="str">
        <f t="shared" si="8"/>
        <v>33 tahun</v>
      </c>
      <c r="X550" s="1" t="s">
        <v>2961</v>
      </c>
      <c r="Y550" s="1" t="s">
        <v>56</v>
      </c>
      <c r="Z550" s="2">
        <v>41275</v>
      </c>
      <c r="AA550" s="2">
        <v>41426</v>
      </c>
      <c r="AB550" s="2" t="s">
        <v>2962</v>
      </c>
    </row>
    <row r="551" spans="1:28" x14ac:dyDescent="0.35">
      <c r="A551" s="12">
        <v>6035</v>
      </c>
      <c r="B551" s="12">
        <v>8912202</v>
      </c>
      <c r="C551" s="12" t="s">
        <v>103</v>
      </c>
      <c r="D551" s="12">
        <v>50043810</v>
      </c>
      <c r="E551" s="1" t="s">
        <v>2963</v>
      </c>
      <c r="F551" s="1" t="str">
        <f>VLOOKUP(A551,[1]Sheet1!$A$2:$E$1141,5,0)</f>
        <v>Spv of Line 5 System Control Maint</v>
      </c>
      <c r="G551" s="17" t="str">
        <f>VLOOKUP(A551,[1]Sheet1!$A$2:$F$1141,6,0)</f>
        <v>Supervisor</v>
      </c>
      <c r="H551" s="1" t="s">
        <v>2945</v>
      </c>
      <c r="I551" s="1" t="s">
        <v>1117</v>
      </c>
      <c r="J551" s="1" t="str">
        <f>VLOOKUP(A551,[1]Sheet1!$A$2:$H$1141,8,0)</f>
        <v>Dept. of Maintenance</v>
      </c>
      <c r="K551" s="1" t="str">
        <f>VLOOKUP(A551,[1]Sheet1!$A$2:$I$1141,9,0)</f>
        <v>Unit of Elins Maintenance 2</v>
      </c>
      <c r="L551" s="1" t="str">
        <f>VLOOKUP(A551,[1]Sheet1!$A$2:$J$1141,10,0)</f>
        <v>Section of Line 4/5 RKC Instr. Maint.</v>
      </c>
      <c r="M551" s="2">
        <v>32705</v>
      </c>
      <c r="N551" s="1" t="s">
        <v>29</v>
      </c>
      <c r="O551" s="1" t="s">
        <v>30</v>
      </c>
      <c r="P551" s="1" t="s">
        <v>2964</v>
      </c>
      <c r="Q551" s="1" t="s">
        <v>2965</v>
      </c>
      <c r="R551" s="1" t="s">
        <v>2966</v>
      </c>
      <c r="S551" s="1" t="s">
        <v>2949</v>
      </c>
      <c r="T551" s="14">
        <v>53175</v>
      </c>
      <c r="U551" s="1" t="s">
        <v>2967</v>
      </c>
      <c r="V551" s="1" t="s">
        <v>36</v>
      </c>
      <c r="W551" s="3" t="str">
        <f t="shared" si="8"/>
        <v>37 tahun</v>
      </c>
      <c r="X551" s="1" t="s">
        <v>816</v>
      </c>
      <c r="Y551" s="1" t="s">
        <v>56</v>
      </c>
      <c r="Z551" s="2">
        <v>41275</v>
      </c>
      <c r="AA551" s="2">
        <v>41395</v>
      </c>
      <c r="AB551" s="2" t="s">
        <v>2968</v>
      </c>
    </row>
    <row r="552" spans="1:28" x14ac:dyDescent="0.35">
      <c r="A552" s="12">
        <v>5844</v>
      </c>
      <c r="B552" s="12">
        <v>8512011</v>
      </c>
      <c r="C552" s="12" t="s">
        <v>103</v>
      </c>
      <c r="D552" s="12">
        <v>50069530</v>
      </c>
      <c r="E552" s="1" t="s">
        <v>2969</v>
      </c>
      <c r="F552" s="1" t="str">
        <f>VLOOKUP(A552,[1]Sheet1!$A$2:$E$1141,5,0)</f>
        <v>Spv of Line 5 System Control Maint</v>
      </c>
      <c r="G552" s="17" t="str">
        <f>VLOOKUP(A552,[1]Sheet1!$A$2:$F$1141,6,0)</f>
        <v>Supervisor</v>
      </c>
      <c r="H552" s="1" t="s">
        <v>2945</v>
      </c>
      <c r="I552" s="1" t="s">
        <v>1117</v>
      </c>
      <c r="J552" s="1" t="str">
        <f>VLOOKUP(A552,[1]Sheet1!$A$2:$H$1141,8,0)</f>
        <v>Dept. of Maintenance</v>
      </c>
      <c r="K552" s="1" t="str">
        <f>VLOOKUP(A552,[1]Sheet1!$A$2:$I$1141,9,0)</f>
        <v>Unit of Elins Maintenance 2</v>
      </c>
      <c r="L552" s="1" t="str">
        <f>VLOOKUP(A552,[1]Sheet1!$A$2:$J$1141,10,0)</f>
        <v>Section of Line 4/5 RKC Instr. Maint.</v>
      </c>
      <c r="M552" s="2">
        <v>31178</v>
      </c>
      <c r="N552" s="1" t="s">
        <v>29</v>
      </c>
      <c r="O552" s="1" t="s">
        <v>30</v>
      </c>
      <c r="P552" s="1" t="s">
        <v>2970</v>
      </c>
      <c r="Q552" s="1" t="s">
        <v>2965</v>
      </c>
      <c r="R552" s="1" t="s">
        <v>2966</v>
      </c>
      <c r="S552" s="1" t="s">
        <v>2949</v>
      </c>
      <c r="T552" s="14">
        <v>51653</v>
      </c>
      <c r="U552" s="1" t="s">
        <v>2971</v>
      </c>
      <c r="V552" s="1" t="s">
        <v>36</v>
      </c>
      <c r="W552" s="3" t="str">
        <f t="shared" si="8"/>
        <v>41 tahun</v>
      </c>
      <c r="X552" s="1" t="s">
        <v>2214</v>
      </c>
      <c r="Y552" s="1" t="s">
        <v>56</v>
      </c>
      <c r="Z552" s="2">
        <v>41275</v>
      </c>
      <c r="AA552" s="2">
        <v>41395</v>
      </c>
      <c r="AB552" s="2" t="e">
        <v>#N/A</v>
      </c>
    </row>
    <row r="553" spans="1:28" x14ac:dyDescent="0.35">
      <c r="A553" s="12">
        <v>5858</v>
      </c>
      <c r="B553" s="12">
        <v>8512024</v>
      </c>
      <c r="C553" s="12" t="s">
        <v>103</v>
      </c>
      <c r="D553" s="12">
        <v>50069532</v>
      </c>
      <c r="E553" s="1" t="s">
        <v>2972</v>
      </c>
      <c r="F553" s="1" t="str">
        <f>VLOOKUP(A553,[1]Sheet1!$A$2:$E$1141,5,0)</f>
        <v>Spv of Line 4 RKCM Instr PdM &amp; PM Schd</v>
      </c>
      <c r="G553" s="17" t="str">
        <f>VLOOKUP(A553,[1]Sheet1!$A$2:$F$1141,6,0)</f>
        <v>Supervisor</v>
      </c>
      <c r="H553" s="1" t="s">
        <v>2945</v>
      </c>
      <c r="I553" s="1" t="s">
        <v>1117</v>
      </c>
      <c r="J553" s="1" t="str">
        <f>VLOOKUP(A553,[1]Sheet1!$A$2:$H$1141,8,0)</f>
        <v>Dept. of Maintenance</v>
      </c>
      <c r="K553" s="1" t="str">
        <f>VLOOKUP(A553,[1]Sheet1!$A$2:$I$1141,9,0)</f>
        <v>Unit of Elins Maintenance 2</v>
      </c>
      <c r="L553" s="1" t="str">
        <f>VLOOKUP(A553,[1]Sheet1!$A$2:$J$1141,10,0)</f>
        <v>Section of Line 4/5 RKC Instr. Maint.</v>
      </c>
      <c r="M553" s="2">
        <v>31366</v>
      </c>
      <c r="N553" s="1" t="s">
        <v>29</v>
      </c>
      <c r="O553" s="1" t="s">
        <v>30</v>
      </c>
      <c r="P553" s="1" t="s">
        <v>2973</v>
      </c>
      <c r="Q553" s="1" t="s">
        <v>2974</v>
      </c>
      <c r="R553" s="1" t="s">
        <v>2975</v>
      </c>
      <c r="S553" s="1" t="s">
        <v>2949</v>
      </c>
      <c r="T553" s="14">
        <v>51836</v>
      </c>
      <c r="U553" s="1" t="s">
        <v>2976</v>
      </c>
      <c r="V553" s="1" t="s">
        <v>36</v>
      </c>
      <c r="W553" s="3" t="str">
        <f t="shared" si="8"/>
        <v>40 tahun</v>
      </c>
      <c r="X553" s="1" t="s">
        <v>361</v>
      </c>
      <c r="Y553" s="1" t="s">
        <v>48</v>
      </c>
      <c r="Z553" s="2">
        <v>41275</v>
      </c>
      <c r="AA553" s="2">
        <v>41426</v>
      </c>
      <c r="AB553" s="2" t="s">
        <v>2977</v>
      </c>
    </row>
    <row r="554" spans="1:28" x14ac:dyDescent="0.35">
      <c r="A554" s="12">
        <v>5948</v>
      </c>
      <c r="B554" s="12">
        <v>8712114</v>
      </c>
      <c r="C554" s="12" t="s">
        <v>103</v>
      </c>
      <c r="D554" s="12">
        <v>50069533</v>
      </c>
      <c r="E554" s="1" t="s">
        <v>2978</v>
      </c>
      <c r="F554" s="1" t="str">
        <f>VLOOKUP(A554,[1]Sheet1!$A$2:$E$1141,5,0)</f>
        <v>Spv of Line 4 RKCM Instr PdM &amp; PM Schd</v>
      </c>
      <c r="G554" s="17" t="str">
        <f>VLOOKUP(A554,[1]Sheet1!$A$2:$F$1141,6,0)</f>
        <v>Supervisor</v>
      </c>
      <c r="H554" s="1" t="s">
        <v>2945</v>
      </c>
      <c r="I554" s="1" t="s">
        <v>1117</v>
      </c>
      <c r="J554" s="1" t="str">
        <f>VLOOKUP(A554,[1]Sheet1!$A$2:$H$1141,8,0)</f>
        <v>Dept. of Maintenance</v>
      </c>
      <c r="K554" s="1" t="str">
        <f>VLOOKUP(A554,[1]Sheet1!$A$2:$I$1141,9,0)</f>
        <v>Unit of Elins Maintenance 2</v>
      </c>
      <c r="L554" s="1" t="str">
        <f>VLOOKUP(A554,[1]Sheet1!$A$2:$J$1141,10,0)</f>
        <v>Section of Line 4/5 RKC Instr. Maint.</v>
      </c>
      <c r="M554" s="2">
        <v>32124</v>
      </c>
      <c r="N554" s="1" t="s">
        <v>29</v>
      </c>
      <c r="O554" s="1" t="s">
        <v>30</v>
      </c>
      <c r="P554" s="1" t="s">
        <v>2979</v>
      </c>
      <c r="Q554" s="1" t="s">
        <v>2974</v>
      </c>
      <c r="R554" s="1" t="s">
        <v>2975</v>
      </c>
      <c r="S554" s="1" t="s">
        <v>2949</v>
      </c>
      <c r="T554" s="14">
        <v>52597</v>
      </c>
      <c r="U554" s="1" t="s">
        <v>2980</v>
      </c>
      <c r="V554" s="1" t="s">
        <v>36</v>
      </c>
      <c r="W554" s="3" t="str">
        <f t="shared" si="8"/>
        <v>38 tahun</v>
      </c>
      <c r="X554" s="1" t="s">
        <v>55</v>
      </c>
      <c r="Y554" s="1" t="s">
        <v>56</v>
      </c>
      <c r="Z554" s="2">
        <v>41275</v>
      </c>
      <c r="AA554" s="2">
        <v>41426</v>
      </c>
      <c r="AB554" s="2" t="s">
        <v>2981</v>
      </c>
    </row>
    <row r="555" spans="1:28" x14ac:dyDescent="0.35">
      <c r="A555" s="12">
        <v>6003</v>
      </c>
      <c r="B555" s="12">
        <v>8912170</v>
      </c>
      <c r="C555" s="12" t="s">
        <v>103</v>
      </c>
      <c r="D555" s="12">
        <v>50069535</v>
      </c>
      <c r="E555" s="1" t="s">
        <v>2982</v>
      </c>
      <c r="F555" s="1" t="str">
        <f>VLOOKUP(A555,[1]Sheet1!$A$2:$E$1141,5,0)</f>
        <v>Spv of Line 4 RKCM Instr PvM</v>
      </c>
      <c r="G555" s="17" t="str">
        <f>VLOOKUP(A555,[1]Sheet1!$A$2:$F$1141,6,0)</f>
        <v>Supervisor</v>
      </c>
      <c r="H555" s="1" t="s">
        <v>2945</v>
      </c>
      <c r="I555" s="1" t="s">
        <v>1117</v>
      </c>
      <c r="J555" s="1" t="str">
        <f>VLOOKUP(A555,[1]Sheet1!$A$2:$H$1141,8,0)</f>
        <v>Dept. of Maintenance</v>
      </c>
      <c r="K555" s="1" t="str">
        <f>VLOOKUP(A555,[1]Sheet1!$A$2:$I$1141,9,0)</f>
        <v>Unit of Elins Maintenance 2</v>
      </c>
      <c r="L555" s="1" t="str">
        <f>VLOOKUP(A555,[1]Sheet1!$A$2:$J$1141,10,0)</f>
        <v>Section of Line 4/5 RKC Instr. Maint.</v>
      </c>
      <c r="M555" s="2">
        <v>32559</v>
      </c>
      <c r="N555" s="1" t="s">
        <v>29</v>
      </c>
      <c r="O555" s="1" t="s">
        <v>30</v>
      </c>
      <c r="P555" s="1" t="s">
        <v>2983</v>
      </c>
      <c r="Q555" s="1" t="s">
        <v>2984</v>
      </c>
      <c r="R555" s="1" t="s">
        <v>2985</v>
      </c>
      <c r="S555" s="1" t="s">
        <v>2949</v>
      </c>
      <c r="T555" s="14">
        <v>53022</v>
      </c>
      <c r="U555" s="1" t="s">
        <v>2986</v>
      </c>
      <c r="V555" s="1" t="s">
        <v>36</v>
      </c>
      <c r="W555" s="3" t="str">
        <f t="shared" si="8"/>
        <v>37 tahun</v>
      </c>
      <c r="X555" s="1" t="s">
        <v>595</v>
      </c>
      <c r="Y555" s="1" t="s">
        <v>56</v>
      </c>
      <c r="Z555" s="2">
        <v>41275</v>
      </c>
      <c r="AA555" s="2">
        <v>41426</v>
      </c>
      <c r="AB555" s="2" t="s">
        <v>2987</v>
      </c>
    </row>
    <row r="556" spans="1:28" x14ac:dyDescent="0.35">
      <c r="A556" s="12">
        <v>6062</v>
      </c>
      <c r="B556" s="12">
        <v>8912229</v>
      </c>
      <c r="C556" s="12" t="s">
        <v>103</v>
      </c>
      <c r="D556" s="12">
        <v>50069536</v>
      </c>
      <c r="E556" s="1" t="s">
        <v>2988</v>
      </c>
      <c r="F556" s="1" t="str">
        <f>VLOOKUP(A556,[1]Sheet1!$A$2:$E$1141,5,0)</f>
        <v>Spv of Line 4 RKCM Instr PvM</v>
      </c>
      <c r="G556" s="17" t="str">
        <f>VLOOKUP(A556,[1]Sheet1!$A$2:$F$1141,6,0)</f>
        <v>Supervisor</v>
      </c>
      <c r="H556" s="1" t="s">
        <v>2945</v>
      </c>
      <c r="I556" s="1" t="s">
        <v>1117</v>
      </c>
      <c r="J556" s="1" t="str">
        <f>VLOOKUP(A556,[1]Sheet1!$A$2:$H$1141,8,0)</f>
        <v>Dept. of Maintenance</v>
      </c>
      <c r="K556" s="1" t="str">
        <f>VLOOKUP(A556,[1]Sheet1!$A$2:$I$1141,9,0)</f>
        <v>Unit of Elins Maintenance 2</v>
      </c>
      <c r="L556" s="1" t="str">
        <f>VLOOKUP(A556,[1]Sheet1!$A$2:$J$1141,10,0)</f>
        <v>Section of Line 4/5 RKC Instr. Maint.</v>
      </c>
      <c r="M556" s="2">
        <v>32853</v>
      </c>
      <c r="N556" s="1" t="s">
        <v>29</v>
      </c>
      <c r="O556" s="1" t="s">
        <v>30</v>
      </c>
      <c r="P556" s="1" t="s">
        <v>2989</v>
      </c>
      <c r="Q556" s="1" t="s">
        <v>2984</v>
      </c>
      <c r="R556" s="1" t="s">
        <v>2985</v>
      </c>
      <c r="S556" s="1" t="s">
        <v>2949</v>
      </c>
      <c r="T556" s="14">
        <v>53328</v>
      </c>
      <c r="U556" s="18" t="s">
        <v>2990</v>
      </c>
      <c r="V556" s="1" t="s">
        <v>36</v>
      </c>
      <c r="W556" s="3" t="str">
        <f t="shared" si="8"/>
        <v>36 tahun</v>
      </c>
      <c r="X556" s="1" t="s">
        <v>173</v>
      </c>
      <c r="Y556" s="1" t="s">
        <v>56</v>
      </c>
      <c r="Z556" s="2">
        <v>41275</v>
      </c>
      <c r="AA556" s="2">
        <v>41426</v>
      </c>
      <c r="AB556" s="2" t="s">
        <v>2991</v>
      </c>
    </row>
    <row r="557" spans="1:28" x14ac:dyDescent="0.35">
      <c r="A557" s="12">
        <v>6134</v>
      </c>
      <c r="B557" s="12">
        <v>9012303</v>
      </c>
      <c r="C557" s="12" t="s">
        <v>103</v>
      </c>
      <c r="D557" s="12">
        <v>50069537</v>
      </c>
      <c r="E557" s="1" t="s">
        <v>2992</v>
      </c>
      <c r="F557" s="1" t="str">
        <f>VLOOKUP(A557,[1]Sheet1!$A$2:$E$1141,5,0)</f>
        <v>Spv of Line 4 RKCM Instr PvM</v>
      </c>
      <c r="G557" s="17" t="str">
        <f>VLOOKUP(A557,[1]Sheet1!$A$2:$F$1141,6,0)</f>
        <v>Supervisor</v>
      </c>
      <c r="H557" s="1" t="s">
        <v>2945</v>
      </c>
      <c r="I557" s="1" t="s">
        <v>1117</v>
      </c>
      <c r="J557" s="1" t="str">
        <f>VLOOKUP(A557,[1]Sheet1!$A$2:$H$1141,8,0)</f>
        <v>Dept. of Maintenance</v>
      </c>
      <c r="K557" s="1" t="str">
        <f>VLOOKUP(A557,[1]Sheet1!$A$2:$I$1141,9,0)</f>
        <v>Unit of Elins Maintenance 2</v>
      </c>
      <c r="L557" s="1" t="str">
        <f>VLOOKUP(A557,[1]Sheet1!$A$2:$J$1141,10,0)</f>
        <v>Section of Line 4/5 RKC Instr. Maint.</v>
      </c>
      <c r="M557" s="2">
        <v>33173</v>
      </c>
      <c r="N557" s="1" t="s">
        <v>29</v>
      </c>
      <c r="O557" s="1" t="s">
        <v>30</v>
      </c>
      <c r="P557" s="1" t="s">
        <v>2993</v>
      </c>
      <c r="Q557" s="1" t="s">
        <v>2984</v>
      </c>
      <c r="R557" s="1" t="s">
        <v>2985</v>
      </c>
      <c r="S557" s="1" t="s">
        <v>2949</v>
      </c>
      <c r="T557" s="14">
        <v>53632</v>
      </c>
      <c r="U557" s="1" t="s">
        <v>2994</v>
      </c>
      <c r="V557" s="1" t="s">
        <v>36</v>
      </c>
      <c r="W557" s="3" t="str">
        <f t="shared" si="8"/>
        <v>35 tahun</v>
      </c>
      <c r="X557" s="1" t="s">
        <v>55</v>
      </c>
      <c r="Y557" s="1" t="s">
        <v>56</v>
      </c>
      <c r="Z557" s="2">
        <v>41275</v>
      </c>
      <c r="AA557" s="2">
        <v>41456</v>
      </c>
      <c r="AB557" s="2" t="s">
        <v>2995</v>
      </c>
    </row>
    <row r="558" spans="1:28" x14ac:dyDescent="0.35">
      <c r="A558" s="12">
        <v>5075</v>
      </c>
      <c r="B558" s="12">
        <v>7495040</v>
      </c>
      <c r="C558" s="12" t="s">
        <v>50</v>
      </c>
      <c r="D558" s="12">
        <v>50069540</v>
      </c>
      <c r="E558" s="1" t="s">
        <v>2996</v>
      </c>
      <c r="F558" s="1" t="str">
        <f>VLOOKUP(A558,[1]Sheet1!$A$2:$E$1141,5,0)</f>
        <v>Spv of Line 5 RKCM Instr PdM &amp; PM Schd</v>
      </c>
      <c r="G558" s="17" t="str">
        <f>VLOOKUP(A558,[1]Sheet1!$A$2:$F$1141,6,0)</f>
        <v>Supervisor</v>
      </c>
      <c r="H558" s="1" t="s">
        <v>2945</v>
      </c>
      <c r="I558" s="1" t="s">
        <v>1117</v>
      </c>
      <c r="J558" s="1" t="str">
        <f>VLOOKUP(A558,[1]Sheet1!$A$2:$H$1141,8,0)</f>
        <v>Dept. of Maintenance</v>
      </c>
      <c r="K558" s="1" t="str">
        <f>VLOOKUP(A558,[1]Sheet1!$A$2:$I$1141,9,0)</f>
        <v>Unit of Elins Maintenance 2</v>
      </c>
      <c r="L558" s="1" t="str">
        <f>VLOOKUP(A558,[1]Sheet1!$A$2:$J$1141,10,0)</f>
        <v>Section of Line 4/5 RKC Instr. Maint.</v>
      </c>
      <c r="M558" s="2">
        <v>27291</v>
      </c>
      <c r="N558" s="1" t="s">
        <v>29</v>
      </c>
      <c r="O558" s="1" t="s">
        <v>30</v>
      </c>
      <c r="P558" s="1" t="s">
        <v>2997</v>
      </c>
      <c r="Q558" s="1" t="s">
        <v>2998</v>
      </c>
      <c r="R558" s="1" t="s">
        <v>2999</v>
      </c>
      <c r="S558" s="1" t="s">
        <v>2949</v>
      </c>
      <c r="T558" s="14">
        <v>47757</v>
      </c>
      <c r="U558" s="1" t="s">
        <v>3000</v>
      </c>
      <c r="V558" s="1" t="s">
        <v>36</v>
      </c>
      <c r="W558" s="3" t="str">
        <f t="shared" si="8"/>
        <v>51 tahun</v>
      </c>
      <c r="X558" s="1" t="s">
        <v>600</v>
      </c>
      <c r="Y558" s="1" t="s">
        <v>56</v>
      </c>
      <c r="Z558" s="2">
        <v>34897</v>
      </c>
      <c r="AA558" s="2">
        <v>35278</v>
      </c>
      <c r="AB558" s="2" t="s">
        <v>84</v>
      </c>
    </row>
    <row r="559" spans="1:28" x14ac:dyDescent="0.35">
      <c r="A559" s="12">
        <v>5916</v>
      </c>
      <c r="B559" s="12">
        <v>8712083</v>
      </c>
      <c r="C559" s="12" t="s">
        <v>103</v>
      </c>
      <c r="D559" s="12">
        <v>50069540</v>
      </c>
      <c r="E559" s="1" t="s">
        <v>3001</v>
      </c>
      <c r="F559" s="1" t="str">
        <f>VLOOKUP(A559,[1]Sheet1!$A$2:$E$1141,5,0)</f>
        <v>Spv of Line 5 RKCM Instr PdM &amp; PM Schd</v>
      </c>
      <c r="G559" s="17" t="str">
        <f>VLOOKUP(A559,[1]Sheet1!$A$2:$F$1141,6,0)</f>
        <v>Supervisor</v>
      </c>
      <c r="H559" s="1" t="s">
        <v>2945</v>
      </c>
      <c r="I559" s="1" t="s">
        <v>1117</v>
      </c>
      <c r="J559" s="1" t="str">
        <f>VLOOKUP(A559,[1]Sheet1!$A$2:$H$1141,8,0)</f>
        <v>Dept. of Maintenance</v>
      </c>
      <c r="K559" s="1" t="str">
        <f>VLOOKUP(A559,[1]Sheet1!$A$2:$I$1141,9,0)</f>
        <v>Unit of Elins Maintenance 2</v>
      </c>
      <c r="L559" s="1" t="str">
        <f>VLOOKUP(A559,[1]Sheet1!$A$2:$J$1141,10,0)</f>
        <v>Section of Line 4/5 RKC Instr. Maint.</v>
      </c>
      <c r="M559" s="2">
        <v>31917</v>
      </c>
      <c r="N559" s="1" t="s">
        <v>29</v>
      </c>
      <c r="O559" s="1" t="s">
        <v>30</v>
      </c>
      <c r="P559" s="1" t="s">
        <v>2997</v>
      </c>
      <c r="Q559" s="1" t="s">
        <v>2998</v>
      </c>
      <c r="R559" s="1" t="s">
        <v>2999</v>
      </c>
      <c r="S559" s="1" t="s">
        <v>2949</v>
      </c>
      <c r="T559" s="14">
        <v>52383</v>
      </c>
      <c r="U559" s="1" t="s">
        <v>3002</v>
      </c>
      <c r="V559" s="1" t="s">
        <v>36</v>
      </c>
      <c r="W559" s="3" t="str">
        <f t="shared" si="8"/>
        <v>39 tahun</v>
      </c>
      <c r="X559" s="1" t="s">
        <v>107</v>
      </c>
      <c r="Y559" s="1" t="s">
        <v>48</v>
      </c>
      <c r="Z559" s="2">
        <v>41275</v>
      </c>
      <c r="AA559" s="2">
        <v>41426</v>
      </c>
      <c r="AB559" s="2" t="s">
        <v>3003</v>
      </c>
    </row>
    <row r="560" spans="1:28" x14ac:dyDescent="0.35">
      <c r="A560" s="12">
        <v>5958</v>
      </c>
      <c r="B560" s="12">
        <v>8812123</v>
      </c>
      <c r="C560" s="12" t="s">
        <v>103</v>
      </c>
      <c r="D560" s="12">
        <v>50069543</v>
      </c>
      <c r="E560" s="1" t="s">
        <v>3004</v>
      </c>
      <c r="F560" s="1" t="str">
        <f>VLOOKUP(A560,[1]Sheet1!$A$2:$E$1141,5,0)</f>
        <v>Spv of Line 5 RKCM Instr PvM</v>
      </c>
      <c r="G560" s="17" t="str">
        <f>VLOOKUP(A560,[1]Sheet1!$A$2:$F$1141,6,0)</f>
        <v>Supervisor</v>
      </c>
      <c r="H560" s="1" t="s">
        <v>2945</v>
      </c>
      <c r="I560" s="1" t="s">
        <v>1117</v>
      </c>
      <c r="J560" s="1" t="str">
        <f>VLOOKUP(A560,[1]Sheet1!$A$2:$H$1141,8,0)</f>
        <v>Dept. of Maintenance</v>
      </c>
      <c r="K560" s="1" t="str">
        <f>VLOOKUP(A560,[1]Sheet1!$A$2:$I$1141,9,0)</f>
        <v>Unit of Elins Maintenance 2</v>
      </c>
      <c r="L560" s="1" t="str">
        <f>VLOOKUP(A560,[1]Sheet1!$A$2:$J$1141,10,0)</f>
        <v>Section of Line 4/5 RKC Instr. Maint.</v>
      </c>
      <c r="M560" s="2">
        <v>32253</v>
      </c>
      <c r="N560" s="1" t="s">
        <v>29</v>
      </c>
      <c r="O560" s="1" t="s">
        <v>30</v>
      </c>
      <c r="P560" s="1" t="s">
        <v>3005</v>
      </c>
      <c r="Q560" s="1" t="s">
        <v>3006</v>
      </c>
      <c r="R560" s="1" t="s">
        <v>3007</v>
      </c>
      <c r="S560" s="1" t="s">
        <v>2949</v>
      </c>
      <c r="T560" s="14">
        <v>52718</v>
      </c>
      <c r="U560" s="1" t="s">
        <v>3008</v>
      </c>
      <c r="V560" s="1" t="s">
        <v>36</v>
      </c>
      <c r="W560" s="3" t="str">
        <f t="shared" si="8"/>
        <v>38 tahun</v>
      </c>
      <c r="X560" s="1" t="s">
        <v>55</v>
      </c>
      <c r="Y560" s="1" t="s">
        <v>56</v>
      </c>
      <c r="Z560" s="2">
        <v>41275</v>
      </c>
      <c r="AA560" s="2">
        <v>41395</v>
      </c>
      <c r="AB560" s="2" t="s">
        <v>3009</v>
      </c>
    </row>
    <row r="561" spans="1:28" x14ac:dyDescent="0.35">
      <c r="A561" s="12">
        <v>5848</v>
      </c>
      <c r="B561" s="12">
        <v>8512015</v>
      </c>
      <c r="C561" s="12" t="s">
        <v>103</v>
      </c>
      <c r="D561" s="12">
        <v>50069544</v>
      </c>
      <c r="E561" s="1" t="s">
        <v>3010</v>
      </c>
      <c r="F561" s="1" t="str">
        <f>VLOOKUP(A561,[1]Sheet1!$A$2:$E$1141,5,0)</f>
        <v>Spv of Line 5 RKCM Instr PvM</v>
      </c>
      <c r="G561" s="17" t="str">
        <f>VLOOKUP(A561,[1]Sheet1!$A$2:$F$1141,6,0)</f>
        <v>Supervisor</v>
      </c>
      <c r="H561" s="1" t="s">
        <v>2945</v>
      </c>
      <c r="I561" s="1" t="s">
        <v>1117</v>
      </c>
      <c r="J561" s="1" t="str">
        <f>VLOOKUP(A561,[1]Sheet1!$A$2:$H$1141,8,0)</f>
        <v>Dept. of Maintenance</v>
      </c>
      <c r="K561" s="1" t="str">
        <f>VLOOKUP(A561,[1]Sheet1!$A$2:$I$1141,9,0)</f>
        <v>Unit of Elins Maintenance 2</v>
      </c>
      <c r="L561" s="1" t="str">
        <f>VLOOKUP(A561,[1]Sheet1!$A$2:$J$1141,10,0)</f>
        <v>Section of Line 4/5 RKC Instr. Maint.</v>
      </c>
      <c r="M561" s="2">
        <v>31249</v>
      </c>
      <c r="N561" s="1" t="s">
        <v>29</v>
      </c>
      <c r="O561" s="1" t="s">
        <v>30</v>
      </c>
      <c r="P561" s="1" t="s">
        <v>3011</v>
      </c>
      <c r="Q561" s="1" t="s">
        <v>3006</v>
      </c>
      <c r="R561" s="1" t="s">
        <v>3007</v>
      </c>
      <c r="S561" s="1" t="s">
        <v>2949</v>
      </c>
      <c r="T561" s="14">
        <v>51714</v>
      </c>
      <c r="U561" s="1" t="s">
        <v>3012</v>
      </c>
      <c r="V561" s="1" t="s">
        <v>36</v>
      </c>
      <c r="W561" s="3" t="str">
        <f t="shared" si="8"/>
        <v>41 tahun</v>
      </c>
      <c r="X561" s="1" t="s">
        <v>121</v>
      </c>
      <c r="Y561" s="1" t="s">
        <v>56</v>
      </c>
      <c r="Z561" s="2">
        <v>41275</v>
      </c>
      <c r="AA561" s="2">
        <v>41456</v>
      </c>
      <c r="AB561" s="2" t="e">
        <v>#N/A</v>
      </c>
    </row>
    <row r="562" spans="1:28" x14ac:dyDescent="0.35">
      <c r="A562" s="12">
        <v>5860</v>
      </c>
      <c r="B562" s="12">
        <v>8512026</v>
      </c>
      <c r="C562" s="12" t="s">
        <v>103</v>
      </c>
      <c r="D562" s="12">
        <v>50069545</v>
      </c>
      <c r="E562" s="1" t="s">
        <v>3013</v>
      </c>
      <c r="F562" s="1" t="str">
        <f>VLOOKUP(A562,[1]Sheet1!$A$2:$E$1141,5,0)</f>
        <v>Spv of Line 5 RKCM Instr PvM</v>
      </c>
      <c r="G562" s="17" t="str">
        <f>VLOOKUP(A562,[1]Sheet1!$A$2:$F$1141,6,0)</f>
        <v>Supervisor</v>
      </c>
      <c r="H562" s="1" t="s">
        <v>2945</v>
      </c>
      <c r="I562" s="1" t="s">
        <v>1117</v>
      </c>
      <c r="J562" s="1" t="str">
        <f>VLOOKUP(A562,[1]Sheet1!$A$2:$H$1141,8,0)</f>
        <v>Dept. of Maintenance</v>
      </c>
      <c r="K562" s="1" t="str">
        <f>VLOOKUP(A562,[1]Sheet1!$A$2:$I$1141,9,0)</f>
        <v>Unit of Elins Maintenance 2</v>
      </c>
      <c r="L562" s="1" t="str">
        <f>VLOOKUP(A562,[1]Sheet1!$A$2:$J$1141,10,0)</f>
        <v>Section of Line 4/5 RKC Instr. Maint.</v>
      </c>
      <c r="M562" s="2">
        <v>31369</v>
      </c>
      <c r="N562" s="1" t="s">
        <v>29</v>
      </c>
      <c r="O562" s="1" t="s">
        <v>30</v>
      </c>
      <c r="P562" s="1" t="s">
        <v>3014</v>
      </c>
      <c r="Q562" s="1" t="s">
        <v>3006</v>
      </c>
      <c r="R562" s="1" t="s">
        <v>3007</v>
      </c>
      <c r="S562" s="1" t="s">
        <v>2949</v>
      </c>
      <c r="T562" s="14">
        <v>51836</v>
      </c>
      <c r="U562" s="1" t="s">
        <v>3015</v>
      </c>
      <c r="V562" s="1" t="s">
        <v>36</v>
      </c>
      <c r="W562" s="3" t="str">
        <f t="shared" si="8"/>
        <v>40 tahun</v>
      </c>
      <c r="X562" s="1" t="s">
        <v>595</v>
      </c>
      <c r="Y562" s="1" t="s">
        <v>56</v>
      </c>
      <c r="Z562" s="2">
        <v>41275</v>
      </c>
      <c r="AA562" s="2">
        <v>41426</v>
      </c>
      <c r="AB562" s="2" t="s">
        <v>3016</v>
      </c>
    </row>
    <row r="563" spans="1:28" x14ac:dyDescent="0.35">
      <c r="A563" s="12">
        <v>5385</v>
      </c>
      <c r="B563" s="12">
        <v>8610077</v>
      </c>
      <c r="C563" s="12" t="s">
        <v>139</v>
      </c>
      <c r="D563" s="12">
        <v>50007929</v>
      </c>
      <c r="E563" s="16" t="s">
        <v>3017</v>
      </c>
      <c r="F563" s="1" t="str">
        <f>VLOOKUP(A563,[1]Sheet1!$A$2:$E$1141,5,0)</f>
        <v>Mgr of Line 4/5 FM Elins Maint</v>
      </c>
      <c r="G563" s="16" t="str">
        <f>VLOOKUP(A563,[1]Sheet1!$A$2:$F$1141,6,0)</f>
        <v>Manager</v>
      </c>
      <c r="H563" s="1" t="s">
        <v>3018</v>
      </c>
      <c r="I563" s="1" t="s">
        <v>1117</v>
      </c>
      <c r="J563" s="1" t="str">
        <f>VLOOKUP(A563,[1]Sheet1!$A$2:$H$1141,8,0)</f>
        <v>Dept. of Maintenance</v>
      </c>
      <c r="K563" s="1" t="str">
        <f>VLOOKUP(A563,[1]Sheet1!$A$2:$I$1141,9,0)</f>
        <v>Unit of Elins Maintenance 2</v>
      </c>
      <c r="L563" s="1" t="str">
        <f>VLOOKUP(A563,[1]Sheet1!$A$2:$J$1141,10,0)</f>
        <v>Section of Line 4/5 FM Elins Maint</v>
      </c>
      <c r="M563" s="2">
        <v>31776</v>
      </c>
      <c r="N563" s="1" t="s">
        <v>29</v>
      </c>
      <c r="O563" s="1" t="s">
        <v>30</v>
      </c>
      <c r="P563" s="1" t="s">
        <v>3019</v>
      </c>
      <c r="Q563" s="1" t="s">
        <v>3020</v>
      </c>
      <c r="R563" s="1" t="s">
        <v>3021</v>
      </c>
      <c r="S563" s="1" t="s">
        <v>2892</v>
      </c>
      <c r="T563" s="14">
        <v>52232</v>
      </c>
      <c r="U563" s="1" t="s">
        <v>3022</v>
      </c>
      <c r="V563" s="1" t="s">
        <v>36</v>
      </c>
      <c r="W563" s="3" t="str">
        <f t="shared" si="8"/>
        <v>39 tahun</v>
      </c>
      <c r="X563" s="1" t="s">
        <v>3023</v>
      </c>
      <c r="Y563" s="1" t="s">
        <v>48</v>
      </c>
      <c r="Z563" s="2">
        <v>40544</v>
      </c>
      <c r="AA563" s="2">
        <v>40695</v>
      </c>
      <c r="AB563" s="2" t="s">
        <v>3024</v>
      </c>
    </row>
    <row r="564" spans="1:28" x14ac:dyDescent="0.35">
      <c r="A564" s="12">
        <v>5926</v>
      </c>
      <c r="B564" s="12">
        <v>8712092</v>
      </c>
      <c r="C564" s="12" t="s">
        <v>103</v>
      </c>
      <c r="D564" s="12">
        <v>50007895</v>
      </c>
      <c r="E564" s="1" t="s">
        <v>3025</v>
      </c>
      <c r="F564" s="1" t="str">
        <f>VLOOKUP(A564,[1]Sheet1!$A$2:$E$1141,5,0)</f>
        <v>Spv of Line 4 FM Elins PvM</v>
      </c>
      <c r="G564" s="17" t="str">
        <f>VLOOKUP(A564,[1]Sheet1!$A$2:$F$1141,6,0)</f>
        <v>Supervisor</v>
      </c>
      <c r="H564" s="1" t="s">
        <v>3018</v>
      </c>
      <c r="I564" s="1" t="s">
        <v>1117</v>
      </c>
      <c r="J564" s="1" t="str">
        <f>VLOOKUP(A564,[1]Sheet1!$A$2:$H$1141,8,0)</f>
        <v>Dept. of Maintenance</v>
      </c>
      <c r="K564" s="1" t="str">
        <f>VLOOKUP(A564,[1]Sheet1!$A$2:$I$1141,9,0)</f>
        <v>Unit of Elins Maintenance 2</v>
      </c>
      <c r="L564" s="1" t="str">
        <f>VLOOKUP(A564,[1]Sheet1!$A$2:$J$1141,10,0)</f>
        <v>Section of Line 4/5 FM Elins Maint</v>
      </c>
      <c r="M564" s="2">
        <v>31991</v>
      </c>
      <c r="N564" s="1" t="s">
        <v>29</v>
      </c>
      <c r="O564" s="1" t="s">
        <v>30</v>
      </c>
      <c r="P564" s="1" t="s">
        <v>3026</v>
      </c>
      <c r="Q564" s="1" t="s">
        <v>3027</v>
      </c>
      <c r="R564" s="1" t="s">
        <v>3028</v>
      </c>
      <c r="S564" s="1" t="s">
        <v>2892</v>
      </c>
      <c r="T564" s="14">
        <v>52475</v>
      </c>
      <c r="U564" s="1" t="s">
        <v>3029</v>
      </c>
      <c r="V564" s="1" t="s">
        <v>36</v>
      </c>
      <c r="W564" s="3" t="str">
        <f t="shared" si="8"/>
        <v>39 tahun</v>
      </c>
      <c r="X564" s="1" t="s">
        <v>2961</v>
      </c>
      <c r="Y564" s="1" t="s">
        <v>56</v>
      </c>
      <c r="Z564" s="2">
        <v>41275</v>
      </c>
      <c r="AA564" s="2">
        <v>41365</v>
      </c>
      <c r="AB564" s="2" t="s">
        <v>3030</v>
      </c>
    </row>
    <row r="565" spans="1:28" x14ac:dyDescent="0.35">
      <c r="A565" s="12">
        <v>6056</v>
      </c>
      <c r="B565" s="12">
        <v>8912224</v>
      </c>
      <c r="C565" s="12" t="s">
        <v>103</v>
      </c>
      <c r="D565" s="12">
        <v>50069548</v>
      </c>
      <c r="E565" s="1" t="s">
        <v>3031</v>
      </c>
      <c r="F565" s="1" t="str">
        <f>VLOOKUP(A565,[1]Sheet1!$A$2:$E$1141,5,0)</f>
        <v>Spv of Line 4 FM Elins PvM</v>
      </c>
      <c r="G565" s="17" t="str">
        <f>VLOOKUP(A565,[1]Sheet1!$A$2:$F$1141,6,0)</f>
        <v>Supervisor</v>
      </c>
      <c r="H565" s="1" t="s">
        <v>3018</v>
      </c>
      <c r="I565" s="1" t="s">
        <v>1117</v>
      </c>
      <c r="J565" s="1" t="str">
        <f>VLOOKUP(A565,[1]Sheet1!$A$2:$H$1141,8,0)</f>
        <v>Dept. of Maintenance</v>
      </c>
      <c r="K565" s="1" t="str">
        <f>VLOOKUP(A565,[1]Sheet1!$A$2:$I$1141,9,0)</f>
        <v>Unit of Elins Maintenance 2</v>
      </c>
      <c r="L565" s="1" t="str">
        <f>VLOOKUP(A565,[1]Sheet1!$A$2:$J$1141,10,0)</f>
        <v>Section of Line 4/5 FM Elins Maint</v>
      </c>
      <c r="M565" s="2">
        <v>32796</v>
      </c>
      <c r="N565" s="1" t="s">
        <v>29</v>
      </c>
      <c r="O565" s="1" t="s">
        <v>30</v>
      </c>
      <c r="P565" s="1" t="s">
        <v>3032</v>
      </c>
      <c r="Q565" s="1" t="s">
        <v>3027</v>
      </c>
      <c r="R565" s="1" t="s">
        <v>3028</v>
      </c>
      <c r="S565" s="1" t="s">
        <v>2892</v>
      </c>
      <c r="T565" s="14">
        <v>53267</v>
      </c>
      <c r="U565" s="1" t="s">
        <v>3033</v>
      </c>
      <c r="V565" s="1" t="s">
        <v>36</v>
      </c>
      <c r="W565" s="3" t="str">
        <f t="shared" si="8"/>
        <v>36 tahun</v>
      </c>
      <c r="X565" s="1" t="s">
        <v>121</v>
      </c>
      <c r="Y565" s="1" t="s">
        <v>48</v>
      </c>
      <c r="Z565" s="2">
        <v>41275</v>
      </c>
      <c r="AA565" s="2">
        <v>41395</v>
      </c>
      <c r="AB565" s="2" t="s">
        <v>3034</v>
      </c>
    </row>
    <row r="566" spans="1:28" x14ac:dyDescent="0.35">
      <c r="A566" s="12">
        <v>5876</v>
      </c>
      <c r="B566" s="12">
        <v>8612043</v>
      </c>
      <c r="C566" s="12" t="s">
        <v>103</v>
      </c>
      <c r="D566" s="12">
        <v>50043798</v>
      </c>
      <c r="E566" s="1" t="s">
        <v>3035</v>
      </c>
      <c r="F566" s="1" t="str">
        <f>VLOOKUP(A566,[1]Sheet1!$A$2:$E$1141,5,0)</f>
        <v>Spv of Line 5 FM Elins PvM</v>
      </c>
      <c r="G566" s="17" t="str">
        <f>VLOOKUP(A566,[1]Sheet1!$A$2:$F$1141,6,0)</f>
        <v>Supervisor</v>
      </c>
      <c r="H566" s="1" t="s">
        <v>3018</v>
      </c>
      <c r="I566" s="1" t="s">
        <v>1117</v>
      </c>
      <c r="J566" s="1" t="str">
        <f>VLOOKUP(A566,[1]Sheet1!$A$2:$H$1141,8,0)</f>
        <v>Dept. of Maintenance</v>
      </c>
      <c r="K566" s="1" t="str">
        <f>VLOOKUP(A566,[1]Sheet1!$A$2:$I$1141,9,0)</f>
        <v>Unit of Elins Maintenance 2</v>
      </c>
      <c r="L566" s="1" t="str">
        <f>VLOOKUP(A566,[1]Sheet1!$A$2:$J$1141,10,0)</f>
        <v>Section of Line 4/5 FM Elins Maint</v>
      </c>
      <c r="M566" s="2">
        <v>31549</v>
      </c>
      <c r="N566" s="1" t="s">
        <v>29</v>
      </c>
      <c r="O566" s="1" t="s">
        <v>30</v>
      </c>
      <c r="P566" s="1" t="s">
        <v>3036</v>
      </c>
      <c r="Q566" s="1" t="s">
        <v>3037</v>
      </c>
      <c r="R566" s="1" t="s">
        <v>3038</v>
      </c>
      <c r="S566" s="1" t="s">
        <v>2892</v>
      </c>
      <c r="T566" s="14">
        <v>52018</v>
      </c>
      <c r="U566" s="1" t="s">
        <v>3039</v>
      </c>
      <c r="V566" s="1" t="s">
        <v>36</v>
      </c>
      <c r="W566" s="3" t="str">
        <f t="shared" si="8"/>
        <v>40 tahun</v>
      </c>
      <c r="X566" s="1" t="s">
        <v>112</v>
      </c>
      <c r="Y566" s="1" t="s">
        <v>56</v>
      </c>
      <c r="Z566" s="2">
        <v>41275</v>
      </c>
      <c r="AA566" s="2">
        <v>41395</v>
      </c>
      <c r="AB566" s="2" t="s">
        <v>3040</v>
      </c>
    </row>
    <row r="567" spans="1:28" x14ac:dyDescent="0.35">
      <c r="A567" s="12">
        <v>6220</v>
      </c>
      <c r="B567" s="12">
        <v>9112386</v>
      </c>
      <c r="C567" s="12" t="s">
        <v>103</v>
      </c>
      <c r="D567" s="12">
        <v>50069549</v>
      </c>
      <c r="E567" s="1" t="s">
        <v>3041</v>
      </c>
      <c r="F567" s="1" t="str">
        <f>VLOOKUP(A567,[1]Sheet1!$A$2:$E$1141,5,0)</f>
        <v>Spv of Line 5 FM Elins PvM</v>
      </c>
      <c r="G567" s="17" t="str">
        <f>VLOOKUP(A567,[1]Sheet1!$A$2:$F$1141,6,0)</f>
        <v>Supervisor</v>
      </c>
      <c r="H567" s="1" t="s">
        <v>3018</v>
      </c>
      <c r="I567" s="1" t="s">
        <v>1117</v>
      </c>
      <c r="J567" s="1" t="str">
        <f>VLOOKUP(A567,[1]Sheet1!$A$2:$H$1141,8,0)</f>
        <v>Dept. of Maintenance</v>
      </c>
      <c r="K567" s="1" t="str">
        <f>VLOOKUP(A567,[1]Sheet1!$A$2:$I$1141,9,0)</f>
        <v>Unit of Elins Maintenance 2</v>
      </c>
      <c r="L567" s="1" t="str">
        <f>VLOOKUP(A567,[1]Sheet1!$A$2:$J$1141,10,0)</f>
        <v>Section of Line 4/5 FM Elins Maint</v>
      </c>
      <c r="M567" s="2">
        <v>33554</v>
      </c>
      <c r="N567" s="1" t="s">
        <v>29</v>
      </c>
      <c r="O567" s="1" t="s">
        <v>30</v>
      </c>
      <c r="P567" s="1" t="s">
        <v>3042</v>
      </c>
      <c r="Q567" s="1" t="s">
        <v>3037</v>
      </c>
      <c r="R567" s="1" t="s">
        <v>3038</v>
      </c>
      <c r="S567" s="1" t="s">
        <v>2892</v>
      </c>
      <c r="T567" s="14">
        <v>54027</v>
      </c>
      <c r="U567" s="1" t="s">
        <v>3043</v>
      </c>
      <c r="V567" s="1" t="s">
        <v>36</v>
      </c>
      <c r="W567" s="3" t="str">
        <f t="shared" si="8"/>
        <v>34 tahun</v>
      </c>
      <c r="X567" s="1" t="s">
        <v>55</v>
      </c>
      <c r="Y567" s="1" t="s">
        <v>56</v>
      </c>
      <c r="Z567" s="2">
        <v>41275</v>
      </c>
      <c r="AA567" s="2">
        <v>41456</v>
      </c>
      <c r="AB567" s="2" t="s">
        <v>3044</v>
      </c>
    </row>
    <row r="568" spans="1:28" x14ac:dyDescent="0.35">
      <c r="A568" s="12">
        <v>5165</v>
      </c>
      <c r="B568" s="12">
        <v>7595066</v>
      </c>
      <c r="C568" s="12" t="s">
        <v>50</v>
      </c>
      <c r="D568" s="12">
        <v>50061227</v>
      </c>
      <c r="E568" s="1" t="s">
        <v>3045</v>
      </c>
      <c r="F568" s="1" t="str">
        <f>VLOOKUP(A568,[1]Sheet1!$A$2:$E$1141,5,0)</f>
        <v>Spv of Line 4 Elins Trass Mill PvM</v>
      </c>
      <c r="G568" s="17" t="str">
        <f>VLOOKUP(A568,[1]Sheet1!$A$2:$F$1141,6,0)</f>
        <v>Supervisor</v>
      </c>
      <c r="H568" s="1" t="s">
        <v>3018</v>
      </c>
      <c r="I568" s="1" t="s">
        <v>1117</v>
      </c>
      <c r="J568" s="1" t="str">
        <f>VLOOKUP(A568,[1]Sheet1!$A$2:$H$1141,8,0)</f>
        <v>Dept. of Maintenance</v>
      </c>
      <c r="K568" s="1" t="str">
        <f>VLOOKUP(A568,[1]Sheet1!$A$2:$I$1141,9,0)</f>
        <v>Unit of Elins Maintenance 2</v>
      </c>
      <c r="L568" s="1" t="str">
        <f>VLOOKUP(A568,[1]Sheet1!$A$2:$J$1141,10,0)</f>
        <v>Section of Line 4/5 FM Elins Maint</v>
      </c>
      <c r="M568" s="2">
        <v>27682</v>
      </c>
      <c r="N568" s="1" t="s">
        <v>29</v>
      </c>
      <c r="O568" s="1" t="s">
        <v>30</v>
      </c>
      <c r="P568" s="1" t="s">
        <v>3046</v>
      </c>
      <c r="Q568" s="1" t="s">
        <v>3047</v>
      </c>
      <c r="R568" s="1" t="s">
        <v>3048</v>
      </c>
      <c r="S568" s="1" t="s">
        <v>2892</v>
      </c>
      <c r="T568" s="14">
        <v>48153</v>
      </c>
      <c r="U568" s="1" t="s">
        <v>3049</v>
      </c>
      <c r="V568" s="1" t="s">
        <v>186</v>
      </c>
      <c r="W568" s="3" t="str">
        <f t="shared" si="8"/>
        <v>50 tahun</v>
      </c>
      <c r="X568" s="1" t="s">
        <v>55</v>
      </c>
      <c r="Y568" s="1" t="s">
        <v>56</v>
      </c>
      <c r="Z568" s="2">
        <v>34897</v>
      </c>
      <c r="AA568" s="2">
        <v>35278</v>
      </c>
      <c r="AB568" s="2" t="s">
        <v>84</v>
      </c>
    </row>
    <row r="569" spans="1:28" x14ac:dyDescent="0.35">
      <c r="A569" s="12">
        <v>5834</v>
      </c>
      <c r="B569" s="12">
        <v>8512001</v>
      </c>
      <c r="C569" s="12" t="s">
        <v>103</v>
      </c>
      <c r="D569" s="12">
        <v>50069547</v>
      </c>
      <c r="E569" s="1" t="s">
        <v>3050</v>
      </c>
      <c r="F569" s="1" t="str">
        <f>VLOOKUP(A569,[1]Sheet1!$A$2:$E$1141,5,0)</f>
        <v>Spv of Line 4 FM Elins PdM &amp; PM Schdl</v>
      </c>
      <c r="G569" s="17" t="str">
        <f>VLOOKUP(A569,[1]Sheet1!$A$2:$F$1141,6,0)</f>
        <v>Supervisor</v>
      </c>
      <c r="H569" s="1" t="s">
        <v>3018</v>
      </c>
      <c r="I569" s="1" t="s">
        <v>1117</v>
      </c>
      <c r="J569" s="1" t="str">
        <f>VLOOKUP(A569,[1]Sheet1!$A$2:$H$1141,8,0)</f>
        <v>Dept. of Maintenance</v>
      </c>
      <c r="K569" s="1" t="str">
        <f>VLOOKUP(A569,[1]Sheet1!$A$2:$I$1141,9,0)</f>
        <v>Unit of Elins Maintenance 2</v>
      </c>
      <c r="L569" s="1" t="str">
        <f>VLOOKUP(A569,[1]Sheet1!$A$2:$J$1141,10,0)</f>
        <v>Section of Line 4/5 FM Elins Maint</v>
      </c>
      <c r="M569" s="2">
        <v>31058</v>
      </c>
      <c r="N569" s="1" t="s">
        <v>29</v>
      </c>
      <c r="O569" s="1" t="s">
        <v>30</v>
      </c>
      <c r="P569" s="1" t="s">
        <v>3051</v>
      </c>
      <c r="Q569" s="1" t="s">
        <v>3052</v>
      </c>
      <c r="R569" s="1" t="s">
        <v>3053</v>
      </c>
      <c r="S569" s="1" t="s">
        <v>2892</v>
      </c>
      <c r="T569" s="14">
        <v>51533</v>
      </c>
      <c r="U569" s="1" t="s">
        <v>3054</v>
      </c>
      <c r="V569" s="1" t="s">
        <v>36</v>
      </c>
      <c r="W569" s="3" t="str">
        <f t="shared" si="8"/>
        <v>41 tahun</v>
      </c>
      <c r="X569" s="1" t="s">
        <v>55</v>
      </c>
      <c r="Y569" s="1" t="s">
        <v>48</v>
      </c>
      <c r="Z569" s="2">
        <v>41275</v>
      </c>
      <c r="AA569" s="2">
        <v>41395</v>
      </c>
      <c r="AB569" s="2" t="s">
        <v>3055</v>
      </c>
    </row>
    <row r="570" spans="1:28" x14ac:dyDescent="0.35">
      <c r="A570" s="12">
        <v>5993</v>
      </c>
      <c r="B570" s="12">
        <v>8812160</v>
      </c>
      <c r="C570" s="12" t="s">
        <v>103</v>
      </c>
      <c r="D570" s="12">
        <v>50069551</v>
      </c>
      <c r="E570" s="1" t="s">
        <v>3056</v>
      </c>
      <c r="F570" s="1" t="str">
        <f>VLOOKUP(A570,[1]Sheet1!$A$2:$E$1141,5,0)</f>
        <v>Spv of Line 5 FM Elins PdM &amp; PM Schd</v>
      </c>
      <c r="G570" s="17" t="str">
        <f>VLOOKUP(A570,[1]Sheet1!$A$2:$F$1141,6,0)</f>
        <v>Supervisor</v>
      </c>
      <c r="H570" s="1" t="s">
        <v>3018</v>
      </c>
      <c r="I570" s="1" t="s">
        <v>1117</v>
      </c>
      <c r="J570" s="1" t="str">
        <f>VLOOKUP(A570,[1]Sheet1!$A$2:$H$1141,8,0)</f>
        <v>Dept. of Maintenance</v>
      </c>
      <c r="K570" s="1" t="str">
        <f>VLOOKUP(A570,[1]Sheet1!$A$2:$I$1141,9,0)</f>
        <v>Unit of Elins Maintenance 2</v>
      </c>
      <c r="L570" s="1" t="str">
        <f>VLOOKUP(A570,[1]Sheet1!$A$2:$J$1141,10,0)</f>
        <v>Section of Line 4/5 FM Elins Maint</v>
      </c>
      <c r="M570" s="2">
        <v>32492</v>
      </c>
      <c r="N570" s="1" t="s">
        <v>29</v>
      </c>
      <c r="O570" s="1" t="s">
        <v>30</v>
      </c>
      <c r="P570" s="1" t="s">
        <v>3057</v>
      </c>
      <c r="Q570" s="1" t="s">
        <v>3058</v>
      </c>
      <c r="R570" s="1" t="s">
        <v>3059</v>
      </c>
      <c r="S570" s="1" t="s">
        <v>2892</v>
      </c>
      <c r="T570" s="14">
        <v>52963</v>
      </c>
      <c r="U570" s="1" t="s">
        <v>3060</v>
      </c>
      <c r="V570" s="1" t="s">
        <v>36</v>
      </c>
      <c r="W570" s="3" t="str">
        <f t="shared" si="8"/>
        <v>37 tahun</v>
      </c>
      <c r="X570" s="1" t="s">
        <v>121</v>
      </c>
      <c r="Y570" s="1" t="s">
        <v>56</v>
      </c>
      <c r="Z570" s="2">
        <v>41275</v>
      </c>
      <c r="AA570" s="2">
        <v>41426</v>
      </c>
      <c r="AB570" s="2" t="s">
        <v>3061</v>
      </c>
    </row>
    <row r="571" spans="1:28" x14ac:dyDescent="0.35">
      <c r="A571" s="12">
        <v>6020</v>
      </c>
      <c r="B571" s="12">
        <v>8912187</v>
      </c>
      <c r="C571" s="12" t="s">
        <v>103</v>
      </c>
      <c r="D571" s="12">
        <v>50069554</v>
      </c>
      <c r="E571" s="1" t="s">
        <v>3062</v>
      </c>
      <c r="F571" s="1" t="str">
        <f>VLOOKUP(A571,[1]Sheet1!$A$2:$E$1141,5,0)</f>
        <v>Spv of Line 4/5 FM System Control Main</v>
      </c>
      <c r="G571" s="17" t="str">
        <f>VLOOKUP(A571,[1]Sheet1!$A$2:$F$1141,6,0)</f>
        <v>Supervisor</v>
      </c>
      <c r="H571" s="1" t="s">
        <v>3018</v>
      </c>
      <c r="I571" s="1" t="s">
        <v>1117</v>
      </c>
      <c r="J571" s="1" t="str">
        <f>VLOOKUP(A571,[1]Sheet1!$A$2:$H$1141,8,0)</f>
        <v>Dept. of Maintenance</v>
      </c>
      <c r="K571" s="1" t="str">
        <f>VLOOKUP(A571,[1]Sheet1!$A$2:$I$1141,9,0)</f>
        <v>Unit of Elins Maintenance 2</v>
      </c>
      <c r="L571" s="1" t="str">
        <f>VLOOKUP(A571,[1]Sheet1!$A$2:$J$1141,10,0)</f>
        <v>Section of Line 4/5 FM Elins Maint</v>
      </c>
      <c r="M571" s="2">
        <v>32630</v>
      </c>
      <c r="N571" s="1" t="s">
        <v>29</v>
      </c>
      <c r="O571" s="1" t="s">
        <v>30</v>
      </c>
      <c r="P571" s="1" t="s">
        <v>3063</v>
      </c>
      <c r="Q571" s="1" t="s">
        <v>3064</v>
      </c>
      <c r="R571" s="1" t="s">
        <v>3065</v>
      </c>
      <c r="S571" s="1" t="s">
        <v>2892</v>
      </c>
      <c r="T571" s="14">
        <v>53114</v>
      </c>
      <c r="U571" s="1" t="s">
        <v>3066</v>
      </c>
      <c r="V571" s="1" t="s">
        <v>36</v>
      </c>
      <c r="W571" s="3" t="str">
        <f t="shared" si="8"/>
        <v>37 tahun</v>
      </c>
      <c r="X571" s="1" t="s">
        <v>55</v>
      </c>
      <c r="Y571" s="1" t="s">
        <v>56</v>
      </c>
      <c r="Z571" s="2">
        <v>41275</v>
      </c>
      <c r="AA571" s="2">
        <v>41395</v>
      </c>
      <c r="AB571" s="2" t="s">
        <v>3067</v>
      </c>
    </row>
    <row r="572" spans="1:28" x14ac:dyDescent="0.35">
      <c r="A572" s="12">
        <v>4916</v>
      </c>
      <c r="B572" s="12">
        <v>7395097</v>
      </c>
      <c r="C572" s="12" t="s">
        <v>50</v>
      </c>
      <c r="D572" s="12">
        <v>50008163</v>
      </c>
      <c r="E572" s="16" t="s">
        <v>3068</v>
      </c>
      <c r="F572" s="1" t="str">
        <f>VLOOKUP(A572,[1]Sheet1!$A$2:$E$1141,5,0)</f>
        <v>Mgr of EP/DC Maintenance</v>
      </c>
      <c r="G572" s="16" t="str">
        <f>VLOOKUP(A572,[1]Sheet1!$A$2:$F$1141,6,0)</f>
        <v>Manager</v>
      </c>
      <c r="H572" s="1" t="s">
        <v>3069</v>
      </c>
      <c r="I572" s="1" t="s">
        <v>1117</v>
      </c>
      <c r="J572" s="1" t="str">
        <f>VLOOKUP(A572,[1]Sheet1!$A$2:$H$1141,8,0)</f>
        <v>Dept. of Maintenance</v>
      </c>
      <c r="K572" s="1" t="str">
        <f>VLOOKUP(A572,[1]Sheet1!$A$2:$I$1141,9,0)</f>
        <v>Unit of Elins Maintenance 2</v>
      </c>
      <c r="L572" s="1" t="str">
        <f>VLOOKUP(A572,[1]Sheet1!$A$2:$J$1141,10,0)</f>
        <v>Section of EP/DC Maintenance</v>
      </c>
      <c r="M572" s="2">
        <v>26737</v>
      </c>
      <c r="N572" s="1" t="s">
        <v>29</v>
      </c>
      <c r="O572" s="1" t="s">
        <v>30</v>
      </c>
      <c r="P572" s="1" t="s">
        <v>3070</v>
      </c>
      <c r="Q572" s="1" t="s">
        <v>3071</v>
      </c>
      <c r="R572" s="1" t="s">
        <v>3072</v>
      </c>
      <c r="S572" s="1" t="s">
        <v>3073</v>
      </c>
      <c r="T572" s="14">
        <v>47209</v>
      </c>
      <c r="U572" s="1" t="s">
        <v>3074</v>
      </c>
      <c r="V572" s="1" t="s">
        <v>36</v>
      </c>
      <c r="W572" s="3" t="str">
        <f t="shared" si="8"/>
        <v>53 tahun</v>
      </c>
      <c r="X572" s="1" t="s">
        <v>585</v>
      </c>
      <c r="Y572" s="1" t="s">
        <v>48</v>
      </c>
      <c r="Z572" s="2">
        <v>34932</v>
      </c>
      <c r="AA572" s="2">
        <v>35309</v>
      </c>
      <c r="AB572" s="2" t="s">
        <v>3075</v>
      </c>
    </row>
    <row r="573" spans="1:28" x14ac:dyDescent="0.35">
      <c r="A573" s="12">
        <v>5866</v>
      </c>
      <c r="B573" s="12">
        <v>8612033</v>
      </c>
      <c r="C573" s="12" t="s">
        <v>103</v>
      </c>
      <c r="D573" s="12">
        <v>50052325</v>
      </c>
      <c r="E573" s="1" t="s">
        <v>3076</v>
      </c>
      <c r="F573" s="1" t="str">
        <f>VLOOKUP(A573,[1]Sheet1!$A$2:$E$1141,5,0)</f>
        <v>Spv of CEMS Maintenance</v>
      </c>
      <c r="G573" s="17" t="str">
        <f>VLOOKUP(A573,[1]Sheet1!$A$2:$F$1141,6,0)</f>
        <v>Supervisor</v>
      </c>
      <c r="H573" s="1" t="s">
        <v>3069</v>
      </c>
      <c r="I573" s="1" t="s">
        <v>1117</v>
      </c>
      <c r="J573" s="1" t="str">
        <f>VLOOKUP(A573,[1]Sheet1!$A$2:$H$1141,8,0)</f>
        <v>Dept. of Maintenance</v>
      </c>
      <c r="K573" s="1" t="str">
        <f>VLOOKUP(A573,[1]Sheet1!$A$2:$I$1141,9,0)</f>
        <v>Unit of Elins Maintenance 2</v>
      </c>
      <c r="L573" s="1" t="str">
        <f>VLOOKUP(A573,[1]Sheet1!$A$2:$J$1141,10,0)</f>
        <v>Section of EP/DC Maintenance</v>
      </c>
      <c r="M573" s="2">
        <v>31441</v>
      </c>
      <c r="N573" s="1" t="s">
        <v>29</v>
      </c>
      <c r="O573" s="1" t="s">
        <v>30</v>
      </c>
      <c r="P573" s="1" t="s">
        <v>3077</v>
      </c>
      <c r="Q573" s="1" t="s">
        <v>3078</v>
      </c>
      <c r="R573" s="1" t="s">
        <v>3079</v>
      </c>
      <c r="S573" s="1" t="s">
        <v>3073</v>
      </c>
      <c r="T573" s="14">
        <v>51898</v>
      </c>
      <c r="U573" s="1" t="s">
        <v>3080</v>
      </c>
      <c r="V573" s="1" t="s">
        <v>36</v>
      </c>
      <c r="W573" s="3" t="str">
        <f t="shared" si="8"/>
        <v>40 tahun</v>
      </c>
      <c r="X573" s="1" t="s">
        <v>121</v>
      </c>
      <c r="Y573" s="1" t="s">
        <v>56</v>
      </c>
      <c r="Z573" s="2">
        <v>41275</v>
      </c>
      <c r="AA573" s="2">
        <v>41456</v>
      </c>
      <c r="AB573" s="2" t="s">
        <v>3081</v>
      </c>
    </row>
    <row r="574" spans="1:28" x14ac:dyDescent="0.35">
      <c r="A574" s="12">
        <v>5367</v>
      </c>
      <c r="B574" s="12">
        <v>8610043</v>
      </c>
      <c r="C574" s="12" t="s">
        <v>139</v>
      </c>
      <c r="D574" s="12">
        <v>50039009</v>
      </c>
      <c r="E574" s="1" t="s">
        <v>3082</v>
      </c>
      <c r="F574" s="1" t="str">
        <f>VLOOKUP(A574,[1]Sheet1!$A$2:$E$1141,5,0)</f>
        <v>Jr of PDM EPDC</v>
      </c>
      <c r="G574" s="17" t="str">
        <f>VLOOKUP(A574,[1]Sheet1!$A$2:$F$1141,6,0)</f>
        <v>Supervisor</v>
      </c>
      <c r="H574" s="1" t="s">
        <v>3069</v>
      </c>
      <c r="I574" s="1" t="s">
        <v>1117</v>
      </c>
      <c r="J574" s="1" t="str">
        <f>VLOOKUP(A574,[1]Sheet1!$A$2:$H$1141,8,0)</f>
        <v>Dept. of Maintenance</v>
      </c>
      <c r="K574" s="1" t="str">
        <f>VLOOKUP(A574,[1]Sheet1!$A$2:$I$1141,9,0)</f>
        <v>Unit of Elins Maintenance 2</v>
      </c>
      <c r="L574" s="1" t="str">
        <f>VLOOKUP(A574,[1]Sheet1!$A$2:$J$1141,10,0)</f>
        <v>Section of EP/DC Maintenance</v>
      </c>
      <c r="M574" s="2">
        <v>31531</v>
      </c>
      <c r="N574" s="1" t="s">
        <v>29</v>
      </c>
      <c r="O574" s="1" t="s">
        <v>30</v>
      </c>
      <c r="P574" s="1" t="s">
        <v>3083</v>
      </c>
      <c r="Q574" s="1" t="s">
        <v>3084</v>
      </c>
      <c r="R574" s="1" t="s">
        <v>3085</v>
      </c>
      <c r="S574" s="1" t="s">
        <v>3073</v>
      </c>
      <c r="T574" s="14">
        <v>51987</v>
      </c>
      <c r="U574" s="1" t="s">
        <v>3086</v>
      </c>
      <c r="V574" s="1" t="s">
        <v>410</v>
      </c>
      <c r="W574" s="3" t="str">
        <f t="shared" si="8"/>
        <v>40 tahun</v>
      </c>
      <c r="X574" s="1" t="s">
        <v>3087</v>
      </c>
      <c r="Y574" s="1" t="s">
        <v>68</v>
      </c>
      <c r="Z574" s="2">
        <v>40544</v>
      </c>
      <c r="AA574" s="2">
        <v>40695</v>
      </c>
      <c r="AB574" s="2" t="s">
        <v>3088</v>
      </c>
    </row>
    <row r="575" spans="1:28" x14ac:dyDescent="0.35">
      <c r="A575" s="12">
        <v>4915</v>
      </c>
      <c r="B575" s="12">
        <v>7395096</v>
      </c>
      <c r="C575" s="12" t="s">
        <v>50</v>
      </c>
      <c r="D575" s="12">
        <v>50069556</v>
      </c>
      <c r="E575" s="1" t="s">
        <v>3089</v>
      </c>
      <c r="F575" s="1" t="str">
        <f>VLOOKUP(A575,[1]Sheet1!$A$2:$E$1141,5,0)</f>
        <v>Spv of 2/3 EP/DC PvM</v>
      </c>
      <c r="G575" s="17" t="str">
        <f>VLOOKUP(A575,[1]Sheet1!$A$2:$F$1141,6,0)</f>
        <v>Supervisor</v>
      </c>
      <c r="H575" s="1" t="s">
        <v>3069</v>
      </c>
      <c r="I575" s="1" t="s">
        <v>1117</v>
      </c>
      <c r="J575" s="1" t="str">
        <f>VLOOKUP(A575,[1]Sheet1!$A$2:$H$1141,8,0)</f>
        <v>Dept. of Maintenance</v>
      </c>
      <c r="K575" s="1" t="str">
        <f>VLOOKUP(A575,[1]Sheet1!$A$2:$I$1141,9,0)</f>
        <v>Unit of Elins Maintenance 2</v>
      </c>
      <c r="L575" s="1" t="str">
        <f>VLOOKUP(A575,[1]Sheet1!$A$2:$J$1141,10,0)</f>
        <v>Section of EP/DC Maintenance</v>
      </c>
      <c r="M575" s="2">
        <v>26733</v>
      </c>
      <c r="N575" s="1" t="s">
        <v>29</v>
      </c>
      <c r="O575" s="1" t="s">
        <v>30</v>
      </c>
      <c r="P575" s="1" t="s">
        <v>3090</v>
      </c>
      <c r="Q575" s="1" t="s">
        <v>3091</v>
      </c>
      <c r="R575" s="1" t="s">
        <v>3092</v>
      </c>
      <c r="S575" s="1" t="s">
        <v>3073</v>
      </c>
      <c r="T575" s="14">
        <v>47209</v>
      </c>
      <c r="U575" s="1" t="s">
        <v>3093</v>
      </c>
      <c r="V575" s="1" t="s">
        <v>36</v>
      </c>
      <c r="W575" s="3" t="str">
        <f t="shared" si="8"/>
        <v>53 tahun</v>
      </c>
      <c r="X575" s="1" t="s">
        <v>2065</v>
      </c>
      <c r="Y575" s="1" t="s">
        <v>56</v>
      </c>
      <c r="Z575" s="2">
        <v>34932</v>
      </c>
      <c r="AA575" s="2">
        <v>35309</v>
      </c>
      <c r="AB575" s="2" t="s">
        <v>3094</v>
      </c>
    </row>
    <row r="576" spans="1:28" x14ac:dyDescent="0.35">
      <c r="A576" s="12">
        <v>5048</v>
      </c>
      <c r="B576" s="12">
        <v>7495112</v>
      </c>
      <c r="C576" s="12" t="s">
        <v>50</v>
      </c>
      <c r="D576" s="12">
        <v>50069558</v>
      </c>
      <c r="E576" s="1" t="s">
        <v>3095</v>
      </c>
      <c r="F576" s="1" t="str">
        <f>VLOOKUP(A576,[1]Sheet1!$A$2:$E$1141,5,0)</f>
        <v>Spv of 4 EP/DC Pvm</v>
      </c>
      <c r="G576" s="17" t="str">
        <f>VLOOKUP(A576,[1]Sheet1!$A$2:$F$1141,6,0)</f>
        <v>Supervisor</v>
      </c>
      <c r="H576" s="1" t="s">
        <v>3069</v>
      </c>
      <c r="I576" s="1" t="s">
        <v>1117</v>
      </c>
      <c r="J576" s="1" t="str">
        <f>VLOOKUP(A576,[1]Sheet1!$A$2:$H$1141,8,0)</f>
        <v>Dept. of Maintenance</v>
      </c>
      <c r="K576" s="1" t="str">
        <f>VLOOKUP(A576,[1]Sheet1!$A$2:$I$1141,9,0)</f>
        <v>Unit of Elins Maintenance 2</v>
      </c>
      <c r="L576" s="1" t="str">
        <f>VLOOKUP(A576,[1]Sheet1!$A$2:$J$1141,10,0)</f>
        <v>Section of EP/DC Maintenance</v>
      </c>
      <c r="M576" s="2">
        <v>27193</v>
      </c>
      <c r="N576" s="1" t="s">
        <v>29</v>
      </c>
      <c r="O576" s="1" t="s">
        <v>30</v>
      </c>
      <c r="P576" s="1" t="s">
        <v>3096</v>
      </c>
      <c r="Q576" s="1" t="s">
        <v>3097</v>
      </c>
      <c r="R576" s="1" t="s">
        <v>3098</v>
      </c>
      <c r="S576" s="1" t="s">
        <v>3073</v>
      </c>
      <c r="T576" s="14">
        <v>47665</v>
      </c>
      <c r="U576" s="1" t="s">
        <v>3099</v>
      </c>
      <c r="V576" s="1" t="s">
        <v>36</v>
      </c>
      <c r="W576" s="3" t="str">
        <f t="shared" si="8"/>
        <v>52 tahun</v>
      </c>
      <c r="X576" s="1" t="s">
        <v>55</v>
      </c>
      <c r="Y576" s="1" t="s">
        <v>56</v>
      </c>
      <c r="Z576" s="2">
        <v>34932</v>
      </c>
      <c r="AA576" s="2">
        <v>35309</v>
      </c>
      <c r="AB576" s="2" t="s">
        <v>3100</v>
      </c>
    </row>
    <row r="577" spans="1:28" x14ac:dyDescent="0.35">
      <c r="A577" s="12">
        <v>5950</v>
      </c>
      <c r="B577" s="12">
        <v>8712116</v>
      </c>
      <c r="C577" s="12" t="s">
        <v>103</v>
      </c>
      <c r="D577" s="12">
        <v>50069560</v>
      </c>
      <c r="E577" s="1" t="s">
        <v>3101</v>
      </c>
      <c r="F577" s="1" t="str">
        <f>VLOOKUP(A577,[1]Sheet1!$A$2:$E$1141,5,0)</f>
        <v>Spv of 5 EP/DC PvM</v>
      </c>
      <c r="G577" s="17" t="str">
        <f>VLOOKUP(A577,[1]Sheet1!$A$2:$F$1141,6,0)</f>
        <v>Supervisor</v>
      </c>
      <c r="H577" s="1" t="s">
        <v>3069</v>
      </c>
      <c r="I577" s="1" t="s">
        <v>1117</v>
      </c>
      <c r="J577" s="1" t="str">
        <f>VLOOKUP(A577,[1]Sheet1!$A$2:$H$1141,8,0)</f>
        <v>Dept. of Maintenance</v>
      </c>
      <c r="K577" s="1" t="str">
        <f>VLOOKUP(A577,[1]Sheet1!$A$2:$I$1141,9,0)</f>
        <v>Unit of Elins Maintenance 2</v>
      </c>
      <c r="L577" s="1" t="str">
        <f>VLOOKUP(A577,[1]Sheet1!$A$2:$J$1141,10,0)</f>
        <v>Section of EP/DC Maintenance</v>
      </c>
      <c r="M577" s="2">
        <v>32129</v>
      </c>
      <c r="N577" s="1" t="s">
        <v>29</v>
      </c>
      <c r="O577" s="1" t="s">
        <v>30</v>
      </c>
      <c r="P577" s="1" t="s">
        <v>3102</v>
      </c>
      <c r="Q577" s="1" t="s">
        <v>3103</v>
      </c>
      <c r="R577" s="1" t="s">
        <v>3104</v>
      </c>
      <c r="S577" s="1" t="s">
        <v>3073</v>
      </c>
      <c r="T577" s="14">
        <v>52597</v>
      </c>
      <c r="U577" s="1" t="s">
        <v>3105</v>
      </c>
      <c r="V577" s="1" t="s">
        <v>36</v>
      </c>
      <c r="W577" s="3" t="str">
        <f t="shared" si="8"/>
        <v>38 tahun</v>
      </c>
      <c r="X577" s="1" t="s">
        <v>37</v>
      </c>
      <c r="Y577" s="1" t="s">
        <v>56</v>
      </c>
      <c r="Z577" s="2">
        <v>41275</v>
      </c>
      <c r="AA577" s="2">
        <v>41365</v>
      </c>
      <c r="AB577" s="2" t="s">
        <v>3106</v>
      </c>
    </row>
    <row r="578" spans="1:28" x14ac:dyDescent="0.35">
      <c r="A578" s="12">
        <v>5111</v>
      </c>
      <c r="B578" s="12">
        <v>7595050</v>
      </c>
      <c r="C578" s="12" t="s">
        <v>50</v>
      </c>
      <c r="D578" s="12">
        <v>50008136</v>
      </c>
      <c r="E578" s="15" t="s">
        <v>3107</v>
      </c>
      <c r="F578" s="1" t="str">
        <f>VLOOKUP(A578,[1]Sheet1!$A$2:$E$1141,5,0)</f>
        <v>SM of Reliability Maintenance</v>
      </c>
      <c r="G578" s="15" t="str">
        <f>VLOOKUP(A578,[1]Sheet1!$A$2:$F$1141,6,0)</f>
        <v>Senior Manager</v>
      </c>
      <c r="H578" s="1" t="s">
        <v>3108</v>
      </c>
      <c r="I578" s="1" t="s">
        <v>1117</v>
      </c>
      <c r="J578" s="1" t="str">
        <f>VLOOKUP(A578,[1]Sheet1!$A$2:$H$1141,8,0)</f>
        <v>Dept. of Maintenance</v>
      </c>
      <c r="K578" s="1" t="str">
        <f>VLOOKUP(A578,[1]Sheet1!$A$2:$I$1141,9,0)</f>
        <v>Unit of Reliability Maintenance</v>
      </c>
      <c r="L578" s="1" t="e">
        <f>VLOOKUP(A578,[1]Sheet1!$A$2:$J$1141,10,0)</f>
        <v>#REF!</v>
      </c>
      <c r="M578" s="2">
        <v>27440</v>
      </c>
      <c r="N578" s="1" t="s">
        <v>29</v>
      </c>
      <c r="O578" s="1" t="s">
        <v>30</v>
      </c>
      <c r="P578" s="1" t="s">
        <v>3109</v>
      </c>
      <c r="Q578" s="1" t="s">
        <v>3110</v>
      </c>
      <c r="R578" s="1" t="s">
        <v>3111</v>
      </c>
      <c r="S578" s="1" t="s">
        <v>3112</v>
      </c>
      <c r="T578" s="14">
        <v>47908</v>
      </c>
      <c r="U578" s="1" t="s">
        <v>3113</v>
      </c>
      <c r="V578" s="1" t="s">
        <v>36</v>
      </c>
      <c r="W578" s="3" t="str">
        <f t="shared" si="8"/>
        <v>51 tahun</v>
      </c>
      <c r="X578" s="1" t="s">
        <v>580</v>
      </c>
      <c r="Y578" s="1" t="s">
        <v>48</v>
      </c>
      <c r="Z578" s="2">
        <v>34897</v>
      </c>
      <c r="AA578" s="2">
        <v>35278</v>
      </c>
      <c r="AB578" s="2" t="s">
        <v>3114</v>
      </c>
    </row>
    <row r="579" spans="1:28" x14ac:dyDescent="0.35">
      <c r="A579" s="12">
        <v>5168</v>
      </c>
      <c r="B579" s="12">
        <v>7595242</v>
      </c>
      <c r="C579" s="12" t="s">
        <v>50</v>
      </c>
      <c r="D579" s="12">
        <v>50008216</v>
      </c>
      <c r="E579" s="16" t="s">
        <v>3115</v>
      </c>
      <c r="F579" s="1" t="str">
        <f>VLOOKUP(A579,[1]Sheet1!$A$2:$E$1141,5,0)</f>
        <v>Maintenance Inspection Officer</v>
      </c>
      <c r="G579" s="16" t="str">
        <f>VLOOKUP(A579,[1]Sheet1!$A$2:$F$1141,6,0)</f>
        <v>Manager</v>
      </c>
      <c r="H579" s="1" t="s">
        <v>3116</v>
      </c>
      <c r="I579" s="1" t="s">
        <v>1117</v>
      </c>
      <c r="J579" s="1" t="str">
        <f>VLOOKUP(A579,[1]Sheet1!$A$2:$H$1141,8,0)</f>
        <v>Dept. of Maintenance</v>
      </c>
      <c r="K579" s="1" t="str">
        <f>VLOOKUP(A579,[1]Sheet1!$A$2:$I$1141,9,0)</f>
        <v>Unit of Reliability Maintenance</v>
      </c>
      <c r="L579" s="1" t="str">
        <f>VLOOKUP(A579,[1]Sheet1!$A$2:$J$1141,10,0)</f>
        <v>Staff of Maintenance Inspection</v>
      </c>
      <c r="M579" s="2">
        <v>27672</v>
      </c>
      <c r="N579" s="1" t="s">
        <v>29</v>
      </c>
      <c r="O579" s="1" t="s">
        <v>30</v>
      </c>
      <c r="P579" s="1" t="s">
        <v>3117</v>
      </c>
      <c r="Q579" s="1" t="s">
        <v>3118</v>
      </c>
      <c r="R579" s="1" t="s">
        <v>3119</v>
      </c>
      <c r="S579" s="1" t="s">
        <v>3120</v>
      </c>
      <c r="T579" s="14">
        <v>48153</v>
      </c>
      <c r="U579" s="1" t="s">
        <v>3121</v>
      </c>
      <c r="V579" s="1" t="s">
        <v>36</v>
      </c>
      <c r="W579" s="3" t="str">
        <f t="shared" ref="W579:W642" si="9">DATEDIF(M579,$W$1,"Y")&amp;" "&amp;"tahun"</f>
        <v>50 tahun</v>
      </c>
      <c r="X579" s="1" t="s">
        <v>91</v>
      </c>
      <c r="Y579" s="1" t="s">
        <v>48</v>
      </c>
      <c r="Z579" s="2">
        <v>35002</v>
      </c>
      <c r="AA579" s="2">
        <v>35370</v>
      </c>
      <c r="AB579" s="2" t="s">
        <v>3122</v>
      </c>
    </row>
    <row r="580" spans="1:28" x14ac:dyDescent="0.35">
      <c r="A580" s="12">
        <v>5050</v>
      </c>
      <c r="B580" s="12">
        <v>7495219</v>
      </c>
      <c r="C580" s="12" t="s">
        <v>50</v>
      </c>
      <c r="D580" s="12">
        <v>50052135</v>
      </c>
      <c r="E580" s="16" t="s">
        <v>3123</v>
      </c>
      <c r="F580" s="1" t="str">
        <f>VLOOKUP(A580,[1]Sheet1!$A$2:$E$1141,5,0)</f>
        <v>Maintenance Inspection Officer</v>
      </c>
      <c r="G580" s="16" t="str">
        <f>VLOOKUP(A580,[1]Sheet1!$A$2:$F$1141,6,0)</f>
        <v>Manager</v>
      </c>
      <c r="H580" s="1" t="s">
        <v>3116</v>
      </c>
      <c r="I580" s="1" t="s">
        <v>1117</v>
      </c>
      <c r="J580" s="1" t="str">
        <f>VLOOKUP(A580,[1]Sheet1!$A$2:$H$1141,8,0)</f>
        <v>Dept. of Maintenance</v>
      </c>
      <c r="K580" s="1" t="str">
        <f>VLOOKUP(A580,[1]Sheet1!$A$2:$I$1141,9,0)</f>
        <v>Unit of Reliability Maintenance</v>
      </c>
      <c r="L580" s="1" t="str">
        <f>VLOOKUP(A580,[1]Sheet1!$A$2:$J$1141,10,0)</f>
        <v>Staff of Maintenance Inspection</v>
      </c>
      <c r="M580" s="2">
        <v>27186</v>
      </c>
      <c r="N580" s="1" t="s">
        <v>29</v>
      </c>
      <c r="O580" s="1" t="s">
        <v>30</v>
      </c>
      <c r="P580" s="1" t="s">
        <v>3124</v>
      </c>
      <c r="Q580" s="1" t="s">
        <v>3118</v>
      </c>
      <c r="R580" s="1" t="s">
        <v>3119</v>
      </c>
      <c r="S580" s="1" t="s">
        <v>3120</v>
      </c>
      <c r="T580" s="14">
        <v>47665</v>
      </c>
      <c r="U580" s="1" t="s">
        <v>3125</v>
      </c>
      <c r="V580" s="1" t="s">
        <v>36</v>
      </c>
      <c r="W580" s="3" t="str">
        <f t="shared" si="9"/>
        <v>52 tahun</v>
      </c>
      <c r="X580" s="1" t="s">
        <v>3126</v>
      </c>
      <c r="Y580" s="1" t="s">
        <v>48</v>
      </c>
      <c r="Z580" s="2">
        <v>35002</v>
      </c>
      <c r="AA580" s="2">
        <v>35370</v>
      </c>
      <c r="AB580" s="2" t="s">
        <v>3127</v>
      </c>
    </row>
    <row r="581" spans="1:28" x14ac:dyDescent="0.35">
      <c r="A581" s="12">
        <v>4933</v>
      </c>
      <c r="B581" s="12">
        <v>7395016</v>
      </c>
      <c r="C581" s="12" t="s">
        <v>50</v>
      </c>
      <c r="D581" s="12">
        <v>50055751</v>
      </c>
      <c r="E581" s="16" t="s">
        <v>3128</v>
      </c>
      <c r="F581" s="1" t="str">
        <f>VLOOKUP(A581,[1]Sheet1!$A$2:$E$1141,5,0)</f>
        <v>Maintenance Inspection Officer</v>
      </c>
      <c r="G581" s="16" t="str">
        <f>VLOOKUP(A581,[1]Sheet1!$A$2:$F$1141,6,0)</f>
        <v>Manager</v>
      </c>
      <c r="H581" s="1" t="s">
        <v>3116</v>
      </c>
      <c r="I581" s="1" t="s">
        <v>1117</v>
      </c>
      <c r="J581" s="1" t="str">
        <f>VLOOKUP(A581,[1]Sheet1!$A$2:$H$1141,8,0)</f>
        <v>Dept. of Maintenance</v>
      </c>
      <c r="K581" s="1" t="str">
        <f>VLOOKUP(A581,[1]Sheet1!$A$2:$I$1141,9,0)</f>
        <v>Unit of Reliability Maintenance</v>
      </c>
      <c r="L581" s="1" t="str">
        <f>VLOOKUP(A581,[1]Sheet1!$A$2:$J$1141,10,0)</f>
        <v>Staff of Maintenance Inspection</v>
      </c>
      <c r="M581" s="2">
        <v>26850</v>
      </c>
      <c r="N581" s="1" t="s">
        <v>29</v>
      </c>
      <c r="O581" s="1" t="s">
        <v>30</v>
      </c>
      <c r="P581" s="1" t="s">
        <v>3129</v>
      </c>
      <c r="Q581" s="1" t="s">
        <v>3118</v>
      </c>
      <c r="R581" s="1" t="s">
        <v>3119</v>
      </c>
      <c r="S581" s="1" t="s">
        <v>3120</v>
      </c>
      <c r="T581" s="14">
        <v>47331</v>
      </c>
      <c r="U581" s="1" t="s">
        <v>3130</v>
      </c>
      <c r="V581" s="1" t="s">
        <v>36</v>
      </c>
      <c r="W581" s="3" t="str">
        <f t="shared" si="9"/>
        <v>53 tahun</v>
      </c>
      <c r="X581" s="1" t="s">
        <v>55</v>
      </c>
      <c r="Y581" s="1" t="s">
        <v>56</v>
      </c>
      <c r="Z581" s="2">
        <v>34897</v>
      </c>
      <c r="AA581" s="2">
        <v>35278</v>
      </c>
      <c r="AB581" s="2" t="s">
        <v>3131</v>
      </c>
    </row>
    <row r="582" spans="1:28" x14ac:dyDescent="0.35">
      <c r="A582" s="12">
        <v>5143</v>
      </c>
      <c r="B582" s="12">
        <v>7595058</v>
      </c>
      <c r="C582" s="12" t="s">
        <v>50</v>
      </c>
      <c r="D582" s="12">
        <v>50062556</v>
      </c>
      <c r="E582" s="16" t="s">
        <v>3132</v>
      </c>
      <c r="F582" s="1" t="str">
        <f>VLOOKUP(A582,[1]Sheet1!$A$2:$E$1141,5,0)</f>
        <v>Maintenance Inspection Officer</v>
      </c>
      <c r="G582" s="16" t="str">
        <f>VLOOKUP(A582,[1]Sheet1!$A$2:$F$1141,6,0)</f>
        <v>Manager</v>
      </c>
      <c r="H582" s="1" t="s">
        <v>3116</v>
      </c>
      <c r="I582" s="1" t="s">
        <v>1117</v>
      </c>
      <c r="J582" s="1" t="str">
        <f>VLOOKUP(A582,[1]Sheet1!$A$2:$H$1141,8,0)</f>
        <v>Dept. of Maintenance</v>
      </c>
      <c r="K582" s="1" t="str">
        <f>VLOOKUP(A582,[1]Sheet1!$A$2:$I$1141,9,0)</f>
        <v>Unit of Reliability Maintenance</v>
      </c>
      <c r="L582" s="1" t="str">
        <f>VLOOKUP(A582,[1]Sheet1!$A$2:$J$1141,10,0)</f>
        <v>Staff of Maintenance Inspection</v>
      </c>
      <c r="M582" s="2">
        <v>27551</v>
      </c>
      <c r="N582" s="1" t="s">
        <v>29</v>
      </c>
      <c r="O582" s="1" t="s">
        <v>30</v>
      </c>
      <c r="P582" s="1" t="s">
        <v>3133</v>
      </c>
      <c r="Q582" s="1" t="s">
        <v>3118</v>
      </c>
      <c r="R582" s="1" t="s">
        <v>3119</v>
      </c>
      <c r="S582" s="1" t="s">
        <v>3120</v>
      </c>
      <c r="T582" s="14">
        <v>48030</v>
      </c>
      <c r="U582" s="1" t="s">
        <v>3134</v>
      </c>
      <c r="V582" s="1" t="s">
        <v>36</v>
      </c>
      <c r="W582" s="3" t="str">
        <f t="shared" si="9"/>
        <v>51 tahun</v>
      </c>
      <c r="X582" s="1" t="s">
        <v>67</v>
      </c>
      <c r="Y582" s="1" t="s">
        <v>48</v>
      </c>
      <c r="Z582" s="2">
        <v>34897</v>
      </c>
      <c r="AA582" s="2">
        <v>35278</v>
      </c>
      <c r="AB582" s="2" t="s">
        <v>84</v>
      </c>
    </row>
    <row r="583" spans="1:28" x14ac:dyDescent="0.35">
      <c r="A583" s="12">
        <v>5085</v>
      </c>
      <c r="B583" s="12">
        <v>7495230</v>
      </c>
      <c r="C583" s="12" t="s">
        <v>50</v>
      </c>
      <c r="D583" s="12">
        <v>50008221</v>
      </c>
      <c r="E583" s="1" t="s">
        <v>3135</v>
      </c>
      <c r="F583" s="1" t="str">
        <f>VLOOKUP(A583,[1]Sheet1!$A$2:$E$1141,5,0)</f>
        <v>Maintenance Inspection Jr Officer</v>
      </c>
      <c r="G583" s="17" t="str">
        <f>VLOOKUP(A583,[1]Sheet1!$A$2:$F$1141,6,0)</f>
        <v>Supervisor</v>
      </c>
      <c r="H583" s="1" t="s">
        <v>3116</v>
      </c>
      <c r="I583" s="1" t="s">
        <v>1117</v>
      </c>
      <c r="J583" s="1" t="str">
        <f>VLOOKUP(A583,[1]Sheet1!$A$2:$H$1141,8,0)</f>
        <v>Dept. of Maintenance</v>
      </c>
      <c r="K583" s="1" t="str">
        <f>VLOOKUP(A583,[1]Sheet1!$A$2:$I$1141,9,0)</f>
        <v>Unit of Reliability Maintenance</v>
      </c>
      <c r="L583" s="1" t="str">
        <f>VLOOKUP(A583,[1]Sheet1!$A$2:$J$1141,10,0)</f>
        <v>Staff of Maintenance Inspection</v>
      </c>
      <c r="M583" s="2">
        <v>27319</v>
      </c>
      <c r="N583" s="1" t="s">
        <v>29</v>
      </c>
      <c r="O583" s="1" t="s">
        <v>30</v>
      </c>
      <c r="P583" s="1" t="s">
        <v>3136</v>
      </c>
      <c r="Q583" s="1" t="s">
        <v>3118</v>
      </c>
      <c r="R583" s="1" t="s">
        <v>3119</v>
      </c>
      <c r="S583" s="1" t="s">
        <v>3120</v>
      </c>
      <c r="T583" s="14">
        <v>47788</v>
      </c>
      <c r="U583" s="1" t="s">
        <v>3137</v>
      </c>
      <c r="V583" s="1" t="s">
        <v>186</v>
      </c>
      <c r="W583" s="3" t="str">
        <f t="shared" si="9"/>
        <v>51 tahun</v>
      </c>
      <c r="X583" s="1" t="s">
        <v>55</v>
      </c>
      <c r="Y583" s="1" t="s">
        <v>56</v>
      </c>
      <c r="Z583" s="2">
        <v>35002</v>
      </c>
      <c r="AA583" s="2">
        <v>35370</v>
      </c>
      <c r="AB583" s="2" t="s">
        <v>3138</v>
      </c>
    </row>
    <row r="584" spans="1:28" x14ac:dyDescent="0.35">
      <c r="A584" s="12">
        <v>4800</v>
      </c>
      <c r="B584" s="12">
        <v>7306378</v>
      </c>
      <c r="C584" s="12" t="s">
        <v>219</v>
      </c>
      <c r="D584" s="12">
        <v>50053876</v>
      </c>
      <c r="E584" s="1" t="s">
        <v>3139</v>
      </c>
      <c r="F584" s="1" t="str">
        <f>VLOOKUP(A584,[1]Sheet1!$A$2:$E$1141,5,0)</f>
        <v>Maintenance Inspection Jr Officer</v>
      </c>
      <c r="G584" s="17" t="str">
        <f>VLOOKUP(A584,[1]Sheet1!$A$2:$F$1141,6,0)</f>
        <v>Supervisor</v>
      </c>
      <c r="H584" s="1" t="s">
        <v>3116</v>
      </c>
      <c r="I584" s="1" t="s">
        <v>1117</v>
      </c>
      <c r="J584" s="1" t="str">
        <f>VLOOKUP(A584,[1]Sheet1!$A$2:$H$1141,8,0)</f>
        <v>Dept. of Maintenance</v>
      </c>
      <c r="K584" s="1" t="str">
        <f>VLOOKUP(A584,[1]Sheet1!$A$2:$I$1141,9,0)</f>
        <v>Unit of Reliability Maintenance</v>
      </c>
      <c r="L584" s="1" t="str">
        <f>VLOOKUP(A584,[1]Sheet1!$A$2:$J$1141,10,0)</f>
        <v>Staff of Maintenance Inspection</v>
      </c>
      <c r="M584" s="2">
        <v>26684</v>
      </c>
      <c r="N584" s="1" t="s">
        <v>29</v>
      </c>
      <c r="O584" s="1" t="s">
        <v>30</v>
      </c>
      <c r="P584" s="1" t="s">
        <v>3140</v>
      </c>
      <c r="Q584" s="1" t="s">
        <v>3118</v>
      </c>
      <c r="R584" s="1" t="s">
        <v>3119</v>
      </c>
      <c r="S584" s="1" t="s">
        <v>3120</v>
      </c>
      <c r="T584" s="14">
        <v>47150</v>
      </c>
      <c r="U584" s="1" t="s">
        <v>3141</v>
      </c>
      <c r="V584" s="1" t="s">
        <v>36</v>
      </c>
      <c r="W584" s="3" t="str">
        <f t="shared" si="9"/>
        <v>53 tahun</v>
      </c>
      <c r="X584" s="1" t="s">
        <v>248</v>
      </c>
      <c r="Y584" s="1" t="s">
        <v>56</v>
      </c>
      <c r="Z584" s="2">
        <v>38718</v>
      </c>
      <c r="AA584" s="2">
        <v>41030</v>
      </c>
      <c r="AB584" s="2" t="s">
        <v>3142</v>
      </c>
    </row>
    <row r="585" spans="1:28" x14ac:dyDescent="0.35">
      <c r="A585" s="12">
        <v>5997</v>
      </c>
      <c r="B585" s="12">
        <v>8912164</v>
      </c>
      <c r="C585" s="12" t="s">
        <v>103</v>
      </c>
      <c r="D585" s="12">
        <v>50065357</v>
      </c>
      <c r="E585" s="1" t="s">
        <v>3143</v>
      </c>
      <c r="F585" s="1" t="str">
        <f>VLOOKUP(A585,[1]Sheet1!$A$2:$E$1141,5,0)</f>
        <v>Maintenance Inspection Jr Officer</v>
      </c>
      <c r="G585" s="17" t="str">
        <f>VLOOKUP(A585,[1]Sheet1!$A$2:$F$1141,6,0)</f>
        <v>Supervisor</v>
      </c>
      <c r="H585" s="1" t="s">
        <v>3116</v>
      </c>
      <c r="I585" s="1" t="s">
        <v>1117</v>
      </c>
      <c r="J585" s="1" t="str">
        <f>VLOOKUP(A585,[1]Sheet1!$A$2:$H$1141,8,0)</f>
        <v>Dept. of Maintenance</v>
      </c>
      <c r="K585" s="1" t="str">
        <f>VLOOKUP(A585,[1]Sheet1!$A$2:$I$1141,9,0)</f>
        <v>Unit of Reliability Maintenance</v>
      </c>
      <c r="L585" s="1" t="str">
        <f>VLOOKUP(A585,[1]Sheet1!$A$2:$J$1141,10,0)</f>
        <v>Staff of Maintenance Inspection</v>
      </c>
      <c r="M585" s="2">
        <v>32538</v>
      </c>
      <c r="N585" s="1" t="s">
        <v>29</v>
      </c>
      <c r="O585" s="1" t="s">
        <v>30</v>
      </c>
      <c r="P585" s="1" t="s">
        <v>3144</v>
      </c>
      <c r="Q585" s="1" t="s">
        <v>3118</v>
      </c>
      <c r="R585" s="1" t="s">
        <v>3119</v>
      </c>
      <c r="S585" s="1" t="s">
        <v>3120</v>
      </c>
      <c r="T585" s="14">
        <v>52994</v>
      </c>
      <c r="U585" s="1" t="s">
        <v>3145</v>
      </c>
      <c r="V585" s="1" t="s">
        <v>36</v>
      </c>
      <c r="W585" s="3" t="str">
        <f t="shared" si="9"/>
        <v>37 tahun</v>
      </c>
      <c r="X585" s="1" t="s">
        <v>2475</v>
      </c>
      <c r="Y585" s="1" t="s">
        <v>56</v>
      </c>
      <c r="Z585" s="2">
        <v>41275</v>
      </c>
      <c r="AA585" s="2">
        <v>41426</v>
      </c>
      <c r="AB585" s="2" t="s">
        <v>3146</v>
      </c>
    </row>
    <row r="586" spans="1:28" x14ac:dyDescent="0.35">
      <c r="A586" s="12">
        <v>4821</v>
      </c>
      <c r="B586" s="12">
        <v>7295084</v>
      </c>
      <c r="C586" s="12" t="s">
        <v>50</v>
      </c>
      <c r="D586" s="12">
        <v>50035036</v>
      </c>
      <c r="E586" s="1" t="s">
        <v>3147</v>
      </c>
      <c r="F586" s="1" t="str">
        <f>VLOOKUP(A586,[1]Sheet1!$A$2:$E$1141,5,0)</f>
        <v>Maintenance Inspection Jr Officer</v>
      </c>
      <c r="G586" s="17" t="str">
        <f>VLOOKUP(A586,[1]Sheet1!$A$2:$F$1141,6,0)</f>
        <v>Supervisor</v>
      </c>
      <c r="H586" s="1" t="s">
        <v>3116</v>
      </c>
      <c r="I586" s="1" t="s">
        <v>1117</v>
      </c>
      <c r="J586" s="1" t="str">
        <f>VLOOKUP(A586,[1]Sheet1!$A$2:$H$1141,8,0)</f>
        <v>Dept. of Maintenance</v>
      </c>
      <c r="K586" s="1" t="str">
        <f>VLOOKUP(A586,[1]Sheet1!$A$2:$I$1141,9,0)</f>
        <v>Unit of Reliability Maintenance</v>
      </c>
      <c r="L586" s="1" t="str">
        <f>VLOOKUP(A586,[1]Sheet1!$A$2:$J$1141,10,0)</f>
        <v>Staff of Maintenance Inspection</v>
      </c>
      <c r="M586" s="2">
        <v>26394</v>
      </c>
      <c r="N586" s="1" t="s">
        <v>29</v>
      </c>
      <c r="O586" s="1" t="s">
        <v>30</v>
      </c>
      <c r="P586" s="1" t="s">
        <v>3148</v>
      </c>
      <c r="Q586" s="1" t="s">
        <v>3118</v>
      </c>
      <c r="R586" s="1" t="s">
        <v>3119</v>
      </c>
      <c r="S586" s="1" t="s">
        <v>3120</v>
      </c>
      <c r="T586" s="14">
        <v>46874</v>
      </c>
      <c r="U586" s="1" t="s">
        <v>3149</v>
      </c>
      <c r="V586" s="1" t="s">
        <v>36</v>
      </c>
      <c r="W586" s="3" t="str">
        <f t="shared" si="9"/>
        <v>54 tahun</v>
      </c>
      <c r="X586" s="1" t="s">
        <v>55</v>
      </c>
      <c r="Y586" s="1" t="s">
        <v>56</v>
      </c>
      <c r="Z586" s="2">
        <v>34932</v>
      </c>
      <c r="AA586" s="2">
        <v>35309</v>
      </c>
      <c r="AB586" s="2" t="s">
        <v>84</v>
      </c>
    </row>
    <row r="587" spans="1:28" x14ac:dyDescent="0.35">
      <c r="A587" s="12">
        <v>6053</v>
      </c>
      <c r="B587" s="12">
        <v>8912221</v>
      </c>
      <c r="C587" s="12" t="s">
        <v>103</v>
      </c>
      <c r="D587" s="12">
        <v>50024422</v>
      </c>
      <c r="E587" s="1" t="s">
        <v>3150</v>
      </c>
      <c r="F587" s="1" t="str">
        <f>VLOOKUP(A587,[1]Sheet1!$A$2:$E$1141,5,0)</f>
        <v>Maintenance Inspection Jr Officer</v>
      </c>
      <c r="G587" s="17" t="str">
        <f>VLOOKUP(A587,[1]Sheet1!$A$2:$F$1141,6,0)</f>
        <v>Supervisor</v>
      </c>
      <c r="H587" s="1" t="s">
        <v>3116</v>
      </c>
      <c r="I587" s="1" t="s">
        <v>1117</v>
      </c>
      <c r="J587" s="1" t="str">
        <f>VLOOKUP(A587,[1]Sheet1!$A$2:$H$1141,8,0)</f>
        <v>Dept. of Maintenance</v>
      </c>
      <c r="K587" s="1" t="str">
        <f>VLOOKUP(A587,[1]Sheet1!$A$2:$I$1141,9,0)</f>
        <v>Unit of Reliability Maintenance</v>
      </c>
      <c r="L587" s="1" t="str">
        <f>VLOOKUP(A587,[1]Sheet1!$A$2:$J$1141,10,0)</f>
        <v>Staff of Maintenance Inspection</v>
      </c>
      <c r="M587" s="2">
        <v>32787</v>
      </c>
      <c r="N587" s="1" t="s">
        <v>29</v>
      </c>
      <c r="O587" s="1" t="s">
        <v>30</v>
      </c>
      <c r="P587" s="1" t="s">
        <v>3151</v>
      </c>
      <c r="Q587" s="1" t="s">
        <v>3118</v>
      </c>
      <c r="R587" s="1" t="s">
        <v>3119</v>
      </c>
      <c r="S587" s="1" t="s">
        <v>3120</v>
      </c>
      <c r="T587" s="14">
        <v>53267</v>
      </c>
      <c r="U587" s="1" t="s">
        <v>3152</v>
      </c>
      <c r="V587" s="1" t="s">
        <v>36</v>
      </c>
      <c r="W587" s="3" t="str">
        <f t="shared" si="9"/>
        <v>36 tahun</v>
      </c>
      <c r="X587" s="1" t="s">
        <v>107</v>
      </c>
      <c r="Y587" s="1" t="s">
        <v>48</v>
      </c>
      <c r="Z587" s="2">
        <v>41275</v>
      </c>
      <c r="AA587" s="2">
        <v>41395</v>
      </c>
      <c r="AB587" s="2" t="s">
        <v>3153</v>
      </c>
    </row>
    <row r="588" spans="1:28" x14ac:dyDescent="0.35">
      <c r="A588" s="12">
        <v>5219</v>
      </c>
      <c r="B588" s="12">
        <v>7695249</v>
      </c>
      <c r="C588" s="12" t="s">
        <v>50</v>
      </c>
      <c r="D588" s="12">
        <v>50024418</v>
      </c>
      <c r="E588" s="1" t="s">
        <v>3154</v>
      </c>
      <c r="F588" s="1" t="str">
        <f>VLOOKUP(A588,[1]Sheet1!$A$2:$E$1141,5,0)</f>
        <v>Maintenance Inspection Jr Officer</v>
      </c>
      <c r="G588" s="17" t="str">
        <f>VLOOKUP(A588,[1]Sheet1!$A$2:$F$1141,6,0)</f>
        <v>Supervisor</v>
      </c>
      <c r="H588" s="1" t="s">
        <v>3116</v>
      </c>
      <c r="I588" s="1" t="s">
        <v>1117</v>
      </c>
      <c r="J588" s="1" t="str">
        <f>VLOOKUP(A588,[1]Sheet1!$A$2:$H$1141,8,0)</f>
        <v>Dept. of Maintenance</v>
      </c>
      <c r="K588" s="1" t="str">
        <f>VLOOKUP(A588,[1]Sheet1!$A$2:$I$1141,9,0)</f>
        <v>Unit of Reliability Maintenance</v>
      </c>
      <c r="L588" s="1" t="str">
        <f>VLOOKUP(A588,[1]Sheet1!$A$2:$J$1141,10,0)</f>
        <v>Staff of Maintenance Inspection</v>
      </c>
      <c r="M588" s="2">
        <v>27892</v>
      </c>
      <c r="N588" s="1" t="s">
        <v>29</v>
      </c>
      <c r="O588" s="1" t="s">
        <v>30</v>
      </c>
      <c r="P588" s="1" t="s">
        <v>3155</v>
      </c>
      <c r="Q588" s="1" t="s">
        <v>3118</v>
      </c>
      <c r="R588" s="1" t="s">
        <v>3119</v>
      </c>
      <c r="S588" s="1" t="s">
        <v>3120</v>
      </c>
      <c r="T588" s="14">
        <v>48366</v>
      </c>
      <c r="U588" s="1" t="s">
        <v>3156</v>
      </c>
      <c r="V588" s="1" t="s">
        <v>186</v>
      </c>
      <c r="W588" s="3" t="str">
        <f t="shared" si="9"/>
        <v>50 tahun</v>
      </c>
      <c r="X588" s="1" t="s">
        <v>55</v>
      </c>
      <c r="Y588" s="1" t="s">
        <v>56</v>
      </c>
      <c r="Z588" s="2">
        <v>35002</v>
      </c>
      <c r="AA588" s="2">
        <v>35370</v>
      </c>
      <c r="AB588" s="2" t="s">
        <v>3157</v>
      </c>
    </row>
    <row r="589" spans="1:28" x14ac:dyDescent="0.35">
      <c r="A589" s="12">
        <v>5863</v>
      </c>
      <c r="B589" s="12">
        <v>8512030</v>
      </c>
      <c r="C589" s="12" t="s">
        <v>103</v>
      </c>
      <c r="D589" s="12">
        <v>50069579</v>
      </c>
      <c r="E589" s="1" t="s">
        <v>3158</v>
      </c>
      <c r="F589" s="1" t="str">
        <f>VLOOKUP(A589,[1]Sheet1!$A$2:$E$1141,5,0)</f>
        <v>Maintenance Inspection Jr Officer</v>
      </c>
      <c r="G589" s="17" t="str">
        <f>VLOOKUP(A589,[1]Sheet1!$A$2:$F$1141,6,0)</f>
        <v>Supervisor</v>
      </c>
      <c r="H589" s="1" t="s">
        <v>3116</v>
      </c>
      <c r="I589" s="1" t="s">
        <v>1117</v>
      </c>
      <c r="J589" s="1" t="str">
        <f>VLOOKUP(A589,[1]Sheet1!$A$2:$H$1141,8,0)</f>
        <v>Dept. of Maintenance</v>
      </c>
      <c r="K589" s="1" t="str">
        <f>VLOOKUP(A589,[1]Sheet1!$A$2:$I$1141,9,0)</f>
        <v>Unit of Reliability Maintenance</v>
      </c>
      <c r="L589" s="1" t="str">
        <f>VLOOKUP(A589,[1]Sheet1!$A$2:$J$1141,10,0)</f>
        <v>Staff of Maintenance Inspection</v>
      </c>
      <c r="M589" s="2">
        <v>31412</v>
      </c>
      <c r="N589" s="1" t="s">
        <v>29</v>
      </c>
      <c r="O589" s="1" t="s">
        <v>30</v>
      </c>
      <c r="P589" s="1" t="s">
        <v>3159</v>
      </c>
      <c r="Q589" s="1" t="s">
        <v>3118</v>
      </c>
      <c r="R589" s="1" t="s">
        <v>3119</v>
      </c>
      <c r="S589" s="1" t="s">
        <v>3120</v>
      </c>
      <c r="T589" s="14">
        <v>51867</v>
      </c>
      <c r="U589" s="1" t="s">
        <v>3160</v>
      </c>
      <c r="V589" s="1" t="s">
        <v>36</v>
      </c>
      <c r="W589" s="3" t="str">
        <f t="shared" si="9"/>
        <v>40 tahun</v>
      </c>
      <c r="X589" s="1" t="s">
        <v>882</v>
      </c>
      <c r="Y589" s="1" t="s">
        <v>56</v>
      </c>
      <c r="Z589" s="2">
        <v>41275</v>
      </c>
      <c r="AA589" s="2">
        <v>41426</v>
      </c>
      <c r="AB589" s="2" t="s">
        <v>3161</v>
      </c>
    </row>
    <row r="590" spans="1:28" x14ac:dyDescent="0.35">
      <c r="A590" s="12">
        <v>6141</v>
      </c>
      <c r="B590" s="12">
        <v>9012309</v>
      </c>
      <c r="C590" s="12" t="s">
        <v>103</v>
      </c>
      <c r="D590" s="12">
        <v>50069580</v>
      </c>
      <c r="E590" s="1" t="s">
        <v>3162</v>
      </c>
      <c r="F590" s="1" t="str">
        <f>VLOOKUP(A590,[1]Sheet1!$A$2:$E$1141,5,0)</f>
        <v>Maintenance Inspection Jr Officer</v>
      </c>
      <c r="G590" s="17" t="str">
        <f>VLOOKUP(A590,[1]Sheet1!$A$2:$F$1141,6,0)</f>
        <v>Supervisor</v>
      </c>
      <c r="H590" s="1" t="s">
        <v>3116</v>
      </c>
      <c r="I590" s="1" t="s">
        <v>1117</v>
      </c>
      <c r="J590" s="1" t="str">
        <f>VLOOKUP(A590,[1]Sheet1!$A$2:$H$1141,8,0)</f>
        <v>Dept. of Maintenance</v>
      </c>
      <c r="K590" s="1" t="str">
        <f>VLOOKUP(A590,[1]Sheet1!$A$2:$I$1141,9,0)</f>
        <v>Unit of Reliability Maintenance</v>
      </c>
      <c r="L590" s="1" t="str">
        <f>VLOOKUP(A590,[1]Sheet1!$A$2:$J$1141,10,0)</f>
        <v>Staff of Maintenance Inspection</v>
      </c>
      <c r="M590" s="2">
        <v>33206</v>
      </c>
      <c r="N590" s="1" t="s">
        <v>29</v>
      </c>
      <c r="O590" s="1" t="s">
        <v>30</v>
      </c>
      <c r="P590" s="1" t="s">
        <v>3163</v>
      </c>
      <c r="Q590" s="1" t="s">
        <v>3118</v>
      </c>
      <c r="R590" s="1" t="s">
        <v>3119</v>
      </c>
      <c r="S590" s="1" t="s">
        <v>3120</v>
      </c>
      <c r="T590" s="14">
        <v>53662</v>
      </c>
      <c r="U590" s="1" t="s">
        <v>3164</v>
      </c>
      <c r="V590" s="1" t="s">
        <v>36</v>
      </c>
      <c r="W590" s="3" t="str">
        <f t="shared" si="9"/>
        <v>35 tahun</v>
      </c>
      <c r="X590" s="1" t="s">
        <v>3165</v>
      </c>
      <c r="Y590" s="1" t="s">
        <v>56</v>
      </c>
      <c r="Z590" s="2">
        <v>41275</v>
      </c>
      <c r="AA590" s="2">
        <v>41456</v>
      </c>
      <c r="AB590" s="2" t="s">
        <v>3166</v>
      </c>
    </row>
    <row r="591" spans="1:28" x14ac:dyDescent="0.35">
      <c r="A591" s="12">
        <v>5103</v>
      </c>
      <c r="B591" s="12">
        <v>7595049</v>
      </c>
      <c r="C591" s="12" t="s">
        <v>50</v>
      </c>
      <c r="D591" s="12">
        <v>50062555</v>
      </c>
      <c r="E591" s="16" t="s">
        <v>3167</v>
      </c>
      <c r="F591" s="1" t="str">
        <f>VLOOKUP(A591,[1]Sheet1!$A$2:$E$1141,5,0)</f>
        <v>Troubleshooting Officer</v>
      </c>
      <c r="G591" s="16" t="str">
        <f>VLOOKUP(A591,[1]Sheet1!$A$2:$F$1141,6,0)</f>
        <v>Manager</v>
      </c>
      <c r="H591" s="1" t="s">
        <v>3168</v>
      </c>
      <c r="I591" s="1" t="s">
        <v>1117</v>
      </c>
      <c r="J591" s="1" t="str">
        <f>VLOOKUP(A591,[1]Sheet1!$A$2:$H$1141,8,0)</f>
        <v>Dept. of Maintenance</v>
      </c>
      <c r="K591" s="1" t="str">
        <f>VLOOKUP(A591,[1]Sheet1!$A$2:$I$1141,9,0)</f>
        <v>Unit of Reliability Maintenance</v>
      </c>
      <c r="L591" s="1" t="str">
        <f>VLOOKUP(A591,[1]Sheet1!$A$2:$J$1141,10,0)</f>
        <v>Staff of Troubleshooting</v>
      </c>
      <c r="M591" s="2">
        <v>27395</v>
      </c>
      <c r="N591" s="1" t="s">
        <v>29</v>
      </c>
      <c r="O591" s="1" t="s">
        <v>30</v>
      </c>
      <c r="P591" s="1" t="s">
        <v>3169</v>
      </c>
      <c r="Q591" s="1" t="s">
        <v>3170</v>
      </c>
      <c r="R591" s="1" t="s">
        <v>3171</v>
      </c>
      <c r="S591" s="1" t="s">
        <v>3172</v>
      </c>
      <c r="T591" s="14">
        <v>47880</v>
      </c>
      <c r="U591" s="18" t="s">
        <v>3173</v>
      </c>
      <c r="V591" s="1" t="s">
        <v>36</v>
      </c>
      <c r="W591" s="3" t="str">
        <f t="shared" si="9"/>
        <v>51 tahun</v>
      </c>
      <c r="X591" s="1" t="s">
        <v>356</v>
      </c>
      <c r="Y591" s="1" t="s">
        <v>56</v>
      </c>
      <c r="Z591" s="2">
        <v>34897</v>
      </c>
      <c r="AA591" s="2">
        <v>35278</v>
      </c>
      <c r="AB591" s="2" t="s">
        <v>3174</v>
      </c>
    </row>
    <row r="592" spans="1:28" x14ac:dyDescent="0.35">
      <c r="A592" s="12">
        <v>4976</v>
      </c>
      <c r="B592" s="12">
        <v>7395019</v>
      </c>
      <c r="C592" s="12" t="s">
        <v>50</v>
      </c>
      <c r="D592" s="12">
        <v>50066818</v>
      </c>
      <c r="E592" s="16" t="s">
        <v>3175</v>
      </c>
      <c r="F592" s="1" t="str">
        <f>VLOOKUP(A592,[1]Sheet1!$A$2:$E$1141,5,0)</f>
        <v>Troubleshooting Officer</v>
      </c>
      <c r="G592" s="16" t="str">
        <f>VLOOKUP(A592,[1]Sheet1!$A$2:$F$1141,6,0)</f>
        <v>Manager</v>
      </c>
      <c r="H592" s="1" t="s">
        <v>3168</v>
      </c>
      <c r="I592" s="1" t="s">
        <v>1117</v>
      </c>
      <c r="J592" s="1" t="str">
        <f>VLOOKUP(A592,[1]Sheet1!$A$2:$H$1141,8,0)</f>
        <v>Dept. of Maintenance</v>
      </c>
      <c r="K592" s="1" t="str">
        <f>VLOOKUP(A592,[1]Sheet1!$A$2:$I$1141,9,0)</f>
        <v>Unit of Reliability Maintenance</v>
      </c>
      <c r="L592" s="1" t="str">
        <f>VLOOKUP(A592,[1]Sheet1!$A$2:$J$1141,10,0)</f>
        <v>Staff of Troubleshooting</v>
      </c>
      <c r="M592" s="2">
        <v>26963</v>
      </c>
      <c r="N592" s="1" t="s">
        <v>29</v>
      </c>
      <c r="O592" s="1" t="s">
        <v>30</v>
      </c>
      <c r="P592" s="1" t="s">
        <v>3176</v>
      </c>
      <c r="Q592" s="1" t="s">
        <v>3170</v>
      </c>
      <c r="R592" s="1" t="s">
        <v>3171</v>
      </c>
      <c r="S592" s="1" t="s">
        <v>3172</v>
      </c>
      <c r="T592" s="14">
        <v>47423</v>
      </c>
      <c r="U592" s="1" t="s">
        <v>3177</v>
      </c>
      <c r="V592" s="1" t="s">
        <v>36</v>
      </c>
      <c r="W592" s="3" t="str">
        <f t="shared" si="9"/>
        <v>52 tahun</v>
      </c>
      <c r="X592" s="1" t="s">
        <v>356</v>
      </c>
      <c r="Y592" s="1" t="s">
        <v>56</v>
      </c>
      <c r="Z592" s="2">
        <v>34897</v>
      </c>
      <c r="AA592" s="2">
        <v>35278</v>
      </c>
      <c r="AB592" s="2" t="s">
        <v>84</v>
      </c>
    </row>
    <row r="593" spans="1:28" x14ac:dyDescent="0.35">
      <c r="A593" s="12">
        <v>4958</v>
      </c>
      <c r="B593" s="12">
        <v>7302222</v>
      </c>
      <c r="C593" s="12" t="s">
        <v>164</v>
      </c>
      <c r="D593" s="12">
        <v>50046169</v>
      </c>
      <c r="E593" s="1" t="s">
        <v>3178</v>
      </c>
      <c r="F593" s="1" t="str">
        <f>VLOOKUP(A593,[1]Sheet1!$A$2:$E$1141,5,0)</f>
        <v>Troubleshooting Jr Officer</v>
      </c>
      <c r="G593" s="17" t="str">
        <f>VLOOKUP(A593,[1]Sheet1!$A$2:$F$1141,6,0)</f>
        <v>Supervisor</v>
      </c>
      <c r="H593" s="1" t="s">
        <v>3168</v>
      </c>
      <c r="I593" s="1" t="s">
        <v>1117</v>
      </c>
      <c r="J593" s="1" t="str">
        <f>VLOOKUP(A593,[1]Sheet1!$A$2:$H$1141,8,0)</f>
        <v>Dept. of Maintenance</v>
      </c>
      <c r="K593" s="1" t="str">
        <f>VLOOKUP(A593,[1]Sheet1!$A$2:$I$1141,9,0)</f>
        <v>Unit of Reliability Maintenance</v>
      </c>
      <c r="L593" s="1" t="str">
        <f>VLOOKUP(A593,[1]Sheet1!$A$2:$J$1141,10,0)</f>
        <v>Staff of Troubleshooting</v>
      </c>
      <c r="M593" s="2">
        <v>26923</v>
      </c>
      <c r="N593" s="1" t="s">
        <v>29</v>
      </c>
      <c r="O593" s="1" t="s">
        <v>30</v>
      </c>
      <c r="P593" s="1" t="s">
        <v>3179</v>
      </c>
      <c r="Q593" s="1" t="s">
        <v>3170</v>
      </c>
      <c r="R593" s="1" t="s">
        <v>3171</v>
      </c>
      <c r="S593" s="1" t="s">
        <v>3172</v>
      </c>
      <c r="T593" s="14">
        <v>47392</v>
      </c>
      <c r="U593" s="1" t="s">
        <v>3180</v>
      </c>
      <c r="V593" s="1" t="s">
        <v>36</v>
      </c>
      <c r="W593" s="3" t="str">
        <f t="shared" si="9"/>
        <v>52 tahun</v>
      </c>
      <c r="X593" s="1" t="s">
        <v>585</v>
      </c>
      <c r="Y593" s="1" t="s">
        <v>56</v>
      </c>
      <c r="Z593" s="2">
        <v>37469</v>
      </c>
      <c r="AA593" s="2">
        <v>38718</v>
      </c>
      <c r="AB593" s="2" t="s">
        <v>3181</v>
      </c>
    </row>
    <row r="594" spans="1:28" x14ac:dyDescent="0.35">
      <c r="A594" s="12">
        <v>4862</v>
      </c>
      <c r="B594" s="12">
        <v>7202198</v>
      </c>
      <c r="C594" s="12" t="s">
        <v>164</v>
      </c>
      <c r="D594" s="12">
        <v>50046173</v>
      </c>
      <c r="E594" s="1" t="s">
        <v>3182</v>
      </c>
      <c r="F594" s="1" t="str">
        <f>VLOOKUP(A594,[1]Sheet1!$A$2:$E$1141,5,0)</f>
        <v>Troubleshooting Jr Officer</v>
      </c>
      <c r="G594" s="17" t="str">
        <f>VLOOKUP(A594,[1]Sheet1!$A$2:$F$1141,6,0)</f>
        <v>Supervisor</v>
      </c>
      <c r="H594" s="1" t="s">
        <v>3168</v>
      </c>
      <c r="I594" s="1" t="s">
        <v>1117</v>
      </c>
      <c r="J594" s="1" t="str">
        <f>VLOOKUP(A594,[1]Sheet1!$A$2:$H$1141,8,0)</f>
        <v>Dept. of Maintenance</v>
      </c>
      <c r="K594" s="1" t="str">
        <f>VLOOKUP(A594,[1]Sheet1!$A$2:$I$1141,9,0)</f>
        <v>Unit of Reliability Maintenance</v>
      </c>
      <c r="L594" s="1" t="str">
        <f>VLOOKUP(A594,[1]Sheet1!$A$2:$J$1141,10,0)</f>
        <v>Staff of Troubleshooting</v>
      </c>
      <c r="M594" s="2">
        <v>26527</v>
      </c>
      <c r="N594" s="1" t="s">
        <v>29</v>
      </c>
      <c r="O594" s="1" t="s">
        <v>30</v>
      </c>
      <c r="P594" s="1" t="s">
        <v>3183</v>
      </c>
      <c r="Q594" s="1" t="s">
        <v>3170</v>
      </c>
      <c r="R594" s="1" t="s">
        <v>3171</v>
      </c>
      <c r="S594" s="1" t="s">
        <v>3172</v>
      </c>
      <c r="T594" s="14">
        <v>46997</v>
      </c>
      <c r="U594" s="1" t="s">
        <v>3184</v>
      </c>
      <c r="V594" s="1" t="s">
        <v>410</v>
      </c>
      <c r="W594" s="3" t="str">
        <f t="shared" si="9"/>
        <v>54 tahun</v>
      </c>
      <c r="X594" s="1" t="s">
        <v>1146</v>
      </c>
      <c r="Y594" s="1" t="s">
        <v>56</v>
      </c>
      <c r="Z594" s="2">
        <v>37469</v>
      </c>
      <c r="AA594" s="2">
        <v>38718</v>
      </c>
      <c r="AB594" s="2" t="s">
        <v>3185</v>
      </c>
    </row>
    <row r="595" spans="1:28" x14ac:dyDescent="0.35">
      <c r="A595" s="12">
        <v>5189</v>
      </c>
      <c r="B595" s="12">
        <v>7695071</v>
      </c>
      <c r="C595" s="12" t="s">
        <v>50</v>
      </c>
      <c r="D595" s="12">
        <v>50046256</v>
      </c>
      <c r="E595" s="1" t="s">
        <v>3186</v>
      </c>
      <c r="F595" s="1" t="str">
        <f>VLOOKUP(A595,[1]Sheet1!$A$2:$E$1141,5,0)</f>
        <v>Troubleshooting Jr Officer</v>
      </c>
      <c r="G595" s="17" t="str">
        <f>VLOOKUP(A595,[1]Sheet1!$A$2:$F$1141,6,0)</f>
        <v>Supervisor</v>
      </c>
      <c r="H595" s="1" t="s">
        <v>3168</v>
      </c>
      <c r="I595" s="1" t="s">
        <v>1117</v>
      </c>
      <c r="J595" s="1" t="str">
        <f>VLOOKUP(A595,[1]Sheet1!$A$2:$H$1141,8,0)</f>
        <v>Dept. of Maintenance</v>
      </c>
      <c r="K595" s="1" t="str">
        <f>VLOOKUP(A595,[1]Sheet1!$A$2:$I$1141,9,0)</f>
        <v>Unit of Reliability Maintenance</v>
      </c>
      <c r="L595" s="1" t="str">
        <f>VLOOKUP(A595,[1]Sheet1!$A$2:$J$1141,10,0)</f>
        <v>Staff of Troubleshooting</v>
      </c>
      <c r="M595" s="2">
        <v>27834</v>
      </c>
      <c r="N595" s="1" t="s">
        <v>29</v>
      </c>
      <c r="O595" s="1" t="s">
        <v>30</v>
      </c>
      <c r="P595" s="1" t="s">
        <v>3187</v>
      </c>
      <c r="Q595" s="1" t="s">
        <v>3170</v>
      </c>
      <c r="R595" s="1" t="s">
        <v>3171</v>
      </c>
      <c r="S595" s="1" t="s">
        <v>3172</v>
      </c>
      <c r="T595" s="14">
        <v>48305</v>
      </c>
      <c r="U595" s="1" t="s">
        <v>3188</v>
      </c>
      <c r="V595" s="1" t="s">
        <v>36</v>
      </c>
      <c r="W595" s="3" t="str">
        <f t="shared" si="9"/>
        <v>50 tahun</v>
      </c>
      <c r="X595" s="1" t="s">
        <v>55</v>
      </c>
      <c r="Y595" s="1" t="s">
        <v>56</v>
      </c>
      <c r="Z595" s="2">
        <v>34897</v>
      </c>
      <c r="AA595" s="2">
        <v>35278</v>
      </c>
      <c r="AB595" s="2" t="s">
        <v>3189</v>
      </c>
    </row>
    <row r="596" spans="1:28" x14ac:dyDescent="0.35">
      <c r="A596" s="12">
        <v>4959</v>
      </c>
      <c r="B596" s="12">
        <v>7302223</v>
      </c>
      <c r="C596" s="12" t="s">
        <v>164</v>
      </c>
      <c r="D596" s="12">
        <v>50047083</v>
      </c>
      <c r="E596" s="1" t="s">
        <v>3190</v>
      </c>
      <c r="F596" s="1" t="str">
        <f>VLOOKUP(A596,[1]Sheet1!$A$2:$E$1141,5,0)</f>
        <v>Troubleshooting Jr Officer</v>
      </c>
      <c r="G596" s="17" t="str">
        <f>VLOOKUP(A596,[1]Sheet1!$A$2:$F$1141,6,0)</f>
        <v>Supervisor</v>
      </c>
      <c r="H596" s="1" t="s">
        <v>3168</v>
      </c>
      <c r="I596" s="1" t="s">
        <v>1117</v>
      </c>
      <c r="J596" s="1" t="str">
        <f>VLOOKUP(A596,[1]Sheet1!$A$2:$H$1141,8,0)</f>
        <v>Dept. of Maintenance</v>
      </c>
      <c r="K596" s="1" t="str">
        <f>VLOOKUP(A596,[1]Sheet1!$A$2:$I$1141,9,0)</f>
        <v>Unit of Reliability Maintenance</v>
      </c>
      <c r="L596" s="1" t="str">
        <f>VLOOKUP(A596,[1]Sheet1!$A$2:$J$1141,10,0)</f>
        <v>Staff of Troubleshooting</v>
      </c>
      <c r="M596" s="2">
        <v>26924</v>
      </c>
      <c r="N596" s="1" t="s">
        <v>29</v>
      </c>
      <c r="O596" s="1" t="s">
        <v>30</v>
      </c>
      <c r="P596" s="1" t="s">
        <v>3191</v>
      </c>
      <c r="Q596" s="1" t="s">
        <v>3170</v>
      </c>
      <c r="R596" s="1" t="s">
        <v>3171</v>
      </c>
      <c r="S596" s="1" t="s">
        <v>3172</v>
      </c>
      <c r="T596" s="14">
        <v>47392</v>
      </c>
      <c r="U596" s="1" t="s">
        <v>3192</v>
      </c>
      <c r="V596" s="1" t="s">
        <v>36</v>
      </c>
      <c r="W596" s="3" t="str">
        <f t="shared" si="9"/>
        <v>52 tahun</v>
      </c>
      <c r="X596" s="1" t="s">
        <v>121</v>
      </c>
      <c r="Y596" s="1" t="s">
        <v>56</v>
      </c>
      <c r="Z596" s="2">
        <v>37469</v>
      </c>
      <c r="AA596" s="2">
        <v>38718</v>
      </c>
      <c r="AB596" s="2" t="s">
        <v>84</v>
      </c>
    </row>
    <row r="597" spans="1:28" x14ac:dyDescent="0.35">
      <c r="A597" s="12">
        <v>4991</v>
      </c>
      <c r="B597" s="12">
        <v>7395205</v>
      </c>
      <c r="C597" s="12" t="s">
        <v>50</v>
      </c>
      <c r="D597" s="12">
        <v>50047085</v>
      </c>
      <c r="E597" s="1" t="s">
        <v>3193</v>
      </c>
      <c r="F597" s="1" t="str">
        <f>VLOOKUP(A597,[1]Sheet1!$A$2:$E$1141,5,0)</f>
        <v>Troubleshooting Jr Officer</v>
      </c>
      <c r="G597" s="17" t="str">
        <f>VLOOKUP(A597,[1]Sheet1!$A$2:$F$1141,6,0)</f>
        <v>Supervisor</v>
      </c>
      <c r="H597" s="1" t="s">
        <v>3168</v>
      </c>
      <c r="I597" s="1" t="s">
        <v>1117</v>
      </c>
      <c r="J597" s="1" t="str">
        <f>VLOOKUP(A597,[1]Sheet1!$A$2:$H$1141,8,0)</f>
        <v>Dept. of Maintenance</v>
      </c>
      <c r="K597" s="1" t="str">
        <f>VLOOKUP(A597,[1]Sheet1!$A$2:$I$1141,9,0)</f>
        <v>Unit of Reliability Maintenance</v>
      </c>
      <c r="L597" s="1" t="str">
        <f>VLOOKUP(A597,[1]Sheet1!$A$2:$J$1141,10,0)</f>
        <v>Staff of Troubleshooting</v>
      </c>
      <c r="M597" s="2">
        <v>27020</v>
      </c>
      <c r="N597" s="1" t="s">
        <v>29</v>
      </c>
      <c r="O597" s="1" t="s">
        <v>30</v>
      </c>
      <c r="P597" s="1" t="s">
        <v>3194</v>
      </c>
      <c r="Q597" s="1" t="s">
        <v>3170</v>
      </c>
      <c r="R597" s="1" t="s">
        <v>3171</v>
      </c>
      <c r="S597" s="1" t="s">
        <v>3172</v>
      </c>
      <c r="T597" s="14">
        <v>47484</v>
      </c>
      <c r="U597" s="1" t="s">
        <v>3195</v>
      </c>
      <c r="V597" s="1" t="s">
        <v>36</v>
      </c>
      <c r="W597" s="3" t="str">
        <f t="shared" si="9"/>
        <v>52 tahun</v>
      </c>
      <c r="X597" s="1" t="s">
        <v>846</v>
      </c>
      <c r="Y597" s="1" t="s">
        <v>48</v>
      </c>
      <c r="Z597" s="2">
        <v>35002</v>
      </c>
      <c r="AA597" s="2">
        <v>35370</v>
      </c>
      <c r="AB597" s="2" t="s">
        <v>3196</v>
      </c>
    </row>
    <row r="598" spans="1:28" x14ac:dyDescent="0.35">
      <c r="A598" s="12">
        <v>5086</v>
      </c>
      <c r="B598" s="12">
        <v>7495042</v>
      </c>
      <c r="C598" s="12" t="s">
        <v>50</v>
      </c>
      <c r="D598" s="12">
        <v>50047087</v>
      </c>
      <c r="E598" s="1" t="s">
        <v>3197</v>
      </c>
      <c r="F598" s="1" t="str">
        <f>VLOOKUP(A598,[1]Sheet1!$A$2:$E$1141,5,0)</f>
        <v>Troubleshooting Jr Officer</v>
      </c>
      <c r="G598" s="17" t="str">
        <f>VLOOKUP(A598,[1]Sheet1!$A$2:$F$1141,6,0)</f>
        <v>Supervisor</v>
      </c>
      <c r="H598" s="1" t="s">
        <v>3168</v>
      </c>
      <c r="I598" s="1" t="s">
        <v>1117</v>
      </c>
      <c r="J598" s="1" t="str">
        <f>VLOOKUP(A598,[1]Sheet1!$A$2:$H$1141,8,0)</f>
        <v>Dept. of Maintenance</v>
      </c>
      <c r="K598" s="1" t="str">
        <f>VLOOKUP(A598,[1]Sheet1!$A$2:$I$1141,9,0)</f>
        <v>Unit of Reliability Maintenance</v>
      </c>
      <c r="L598" s="1" t="str">
        <f>VLOOKUP(A598,[1]Sheet1!$A$2:$J$1141,10,0)</f>
        <v>Staff of Troubleshooting</v>
      </c>
      <c r="M598" s="2">
        <v>27355</v>
      </c>
      <c r="N598" s="1" t="s">
        <v>29</v>
      </c>
      <c r="O598" s="1" t="s">
        <v>30</v>
      </c>
      <c r="P598" s="1" t="s">
        <v>3198</v>
      </c>
      <c r="Q598" s="1" t="s">
        <v>3170</v>
      </c>
      <c r="R598" s="1" t="s">
        <v>3171</v>
      </c>
      <c r="S598" s="1" t="s">
        <v>3172</v>
      </c>
      <c r="T598" s="14">
        <v>47818</v>
      </c>
      <c r="U598" s="1" t="s">
        <v>3199</v>
      </c>
      <c r="V598" s="1" t="s">
        <v>186</v>
      </c>
      <c r="W598" s="3" t="str">
        <f t="shared" si="9"/>
        <v>51 tahun</v>
      </c>
      <c r="X598" s="1" t="s">
        <v>55</v>
      </c>
      <c r="Y598" s="1" t="s">
        <v>48</v>
      </c>
      <c r="Z598" s="2">
        <v>34897</v>
      </c>
      <c r="AA598" s="2">
        <v>35278</v>
      </c>
      <c r="AB598" s="2" t="s">
        <v>84</v>
      </c>
    </row>
    <row r="599" spans="1:28" x14ac:dyDescent="0.35">
      <c r="A599" s="12">
        <v>4909</v>
      </c>
      <c r="B599" s="12">
        <v>7302208</v>
      </c>
      <c r="C599" s="12" t="s">
        <v>164</v>
      </c>
      <c r="D599" s="12">
        <v>50047214</v>
      </c>
      <c r="E599" s="1" t="s">
        <v>3200</v>
      </c>
      <c r="F599" s="1" t="str">
        <f>VLOOKUP(A599,[1]Sheet1!$A$2:$E$1141,5,0)</f>
        <v>Troubleshooting Jr Officer</v>
      </c>
      <c r="G599" s="17" t="str">
        <f>VLOOKUP(A599,[1]Sheet1!$A$2:$F$1141,6,0)</f>
        <v>Supervisor</v>
      </c>
      <c r="H599" s="1" t="s">
        <v>3168</v>
      </c>
      <c r="I599" s="1" t="s">
        <v>1117</v>
      </c>
      <c r="J599" s="1" t="str">
        <f>VLOOKUP(A599,[1]Sheet1!$A$2:$H$1141,8,0)</f>
        <v>Dept. of Maintenance</v>
      </c>
      <c r="K599" s="1" t="str">
        <f>VLOOKUP(A599,[1]Sheet1!$A$2:$I$1141,9,0)</f>
        <v>Unit of Reliability Maintenance</v>
      </c>
      <c r="L599" s="1" t="str">
        <f>VLOOKUP(A599,[1]Sheet1!$A$2:$J$1141,10,0)</f>
        <v>Staff of Troubleshooting</v>
      </c>
      <c r="M599" s="2">
        <v>26741</v>
      </c>
      <c r="N599" s="1" t="s">
        <v>29</v>
      </c>
      <c r="O599" s="1" t="s">
        <v>30</v>
      </c>
      <c r="P599" s="1" t="s">
        <v>3201</v>
      </c>
      <c r="Q599" s="1" t="s">
        <v>3170</v>
      </c>
      <c r="R599" s="1" t="s">
        <v>3171</v>
      </c>
      <c r="S599" s="1" t="s">
        <v>3172</v>
      </c>
      <c r="T599" s="14">
        <v>47209</v>
      </c>
      <c r="U599" s="1" t="s">
        <v>3202</v>
      </c>
      <c r="V599" s="1" t="s">
        <v>36</v>
      </c>
      <c r="W599" s="3" t="str">
        <f t="shared" si="9"/>
        <v>53 tahun</v>
      </c>
      <c r="X599" s="1" t="s">
        <v>248</v>
      </c>
      <c r="Y599" s="1" t="s">
        <v>56</v>
      </c>
      <c r="Z599" s="2">
        <v>37469</v>
      </c>
      <c r="AA599" s="2">
        <v>38718</v>
      </c>
      <c r="AB599" s="2" t="s">
        <v>3203</v>
      </c>
    </row>
    <row r="600" spans="1:28" x14ac:dyDescent="0.35">
      <c r="A600" s="12">
        <v>5003</v>
      </c>
      <c r="B600" s="12">
        <v>7506484</v>
      </c>
      <c r="C600" s="12" t="s">
        <v>219</v>
      </c>
      <c r="D600" s="12">
        <v>50047221</v>
      </c>
      <c r="E600" s="1" t="s">
        <v>3204</v>
      </c>
      <c r="F600" s="1" t="str">
        <f>VLOOKUP(A600,[1]Sheet1!$A$2:$E$1141,5,0)</f>
        <v>Troubleshooting Jr Officer</v>
      </c>
      <c r="G600" s="17" t="str">
        <f>VLOOKUP(A600,[1]Sheet1!$A$2:$F$1141,6,0)</f>
        <v>Supervisor</v>
      </c>
      <c r="H600" s="1" t="s">
        <v>3168</v>
      </c>
      <c r="I600" s="1" t="s">
        <v>1117</v>
      </c>
      <c r="J600" s="1" t="str">
        <f>VLOOKUP(A600,[1]Sheet1!$A$2:$H$1141,8,0)</f>
        <v>Dept. of Maintenance</v>
      </c>
      <c r="K600" s="1" t="str">
        <f>VLOOKUP(A600,[1]Sheet1!$A$2:$I$1141,9,0)</f>
        <v>Unit of Reliability Maintenance</v>
      </c>
      <c r="L600" s="1" t="str">
        <f>VLOOKUP(A600,[1]Sheet1!$A$2:$J$1141,10,0)</f>
        <v>Staff of Troubleshooting</v>
      </c>
      <c r="M600" s="2">
        <v>27740</v>
      </c>
      <c r="N600" s="1" t="s">
        <v>29</v>
      </c>
      <c r="O600" s="1" t="s">
        <v>30</v>
      </c>
      <c r="P600" s="1" t="s">
        <v>3205</v>
      </c>
      <c r="Q600" s="1" t="s">
        <v>3170</v>
      </c>
      <c r="R600" s="1" t="s">
        <v>3171</v>
      </c>
      <c r="S600" s="1" t="s">
        <v>3172</v>
      </c>
      <c r="T600" s="14">
        <v>48214</v>
      </c>
      <c r="U600" s="1" t="s">
        <v>3206</v>
      </c>
      <c r="V600" s="1" t="s">
        <v>36</v>
      </c>
      <c r="W600" s="3" t="str">
        <f t="shared" si="9"/>
        <v>50 tahun</v>
      </c>
      <c r="X600" s="1" t="s">
        <v>595</v>
      </c>
      <c r="Y600" s="1" t="s">
        <v>56</v>
      </c>
      <c r="Z600" s="2">
        <v>38718</v>
      </c>
      <c r="AA600" s="2">
        <v>41030</v>
      </c>
      <c r="AB600" s="2" t="s">
        <v>3207</v>
      </c>
    </row>
    <row r="601" spans="1:28" x14ac:dyDescent="0.35">
      <c r="A601" s="12">
        <v>5190</v>
      </c>
      <c r="B601" s="12">
        <v>7695072</v>
      </c>
      <c r="C601" s="12" t="s">
        <v>50</v>
      </c>
      <c r="D601" s="12">
        <v>50047251</v>
      </c>
      <c r="E601" s="1" t="s">
        <v>3208</v>
      </c>
      <c r="F601" s="1" t="str">
        <f>VLOOKUP(A601,[1]Sheet1!$A$2:$E$1141,5,0)</f>
        <v>Troubleshooting Jr Officer</v>
      </c>
      <c r="G601" s="17" t="str">
        <f>VLOOKUP(A601,[1]Sheet1!$A$2:$F$1141,6,0)</f>
        <v>Supervisor</v>
      </c>
      <c r="H601" s="1" t="s">
        <v>3168</v>
      </c>
      <c r="I601" s="1" t="s">
        <v>1117</v>
      </c>
      <c r="J601" s="1" t="str">
        <f>VLOOKUP(A601,[1]Sheet1!$A$2:$H$1141,8,0)</f>
        <v>Dept. of Maintenance</v>
      </c>
      <c r="K601" s="1" t="str">
        <f>VLOOKUP(A601,[1]Sheet1!$A$2:$I$1141,9,0)</f>
        <v>Unit of Reliability Maintenance</v>
      </c>
      <c r="L601" s="1" t="str">
        <f>VLOOKUP(A601,[1]Sheet1!$A$2:$J$1141,10,0)</f>
        <v>Staff of Troubleshooting</v>
      </c>
      <c r="M601" s="2">
        <v>27841</v>
      </c>
      <c r="N601" s="1" t="s">
        <v>29</v>
      </c>
      <c r="O601" s="1" t="s">
        <v>30</v>
      </c>
      <c r="P601" s="1" t="s">
        <v>3209</v>
      </c>
      <c r="Q601" s="1" t="s">
        <v>3170</v>
      </c>
      <c r="R601" s="1" t="s">
        <v>3171</v>
      </c>
      <c r="S601" s="1" t="s">
        <v>3172</v>
      </c>
      <c r="T601" s="14">
        <v>48305</v>
      </c>
      <c r="U601" s="1" t="s">
        <v>3210</v>
      </c>
      <c r="V601" s="1" t="s">
        <v>186</v>
      </c>
      <c r="W601" s="3" t="str">
        <f t="shared" si="9"/>
        <v>50 tahun</v>
      </c>
      <c r="X601" s="1" t="s">
        <v>55</v>
      </c>
      <c r="Y601" s="1" t="s">
        <v>56</v>
      </c>
      <c r="Z601" s="2">
        <v>34897</v>
      </c>
      <c r="AA601" s="2">
        <v>35278</v>
      </c>
      <c r="AB601" s="2" t="s">
        <v>3211</v>
      </c>
    </row>
    <row r="602" spans="1:28" x14ac:dyDescent="0.35">
      <c r="A602" s="12">
        <v>5172</v>
      </c>
      <c r="B602" s="12">
        <v>7595068</v>
      </c>
      <c r="C602" s="12" t="s">
        <v>50</v>
      </c>
      <c r="D602" s="12">
        <v>50047254</v>
      </c>
      <c r="E602" s="1" t="s">
        <v>3212</v>
      </c>
      <c r="F602" s="1" t="str">
        <f>VLOOKUP(A602,[1]Sheet1!$A$2:$E$1141,5,0)</f>
        <v>Troubleshooting Jr Officer</v>
      </c>
      <c r="G602" s="17" t="str">
        <f>VLOOKUP(A602,[1]Sheet1!$A$2:$F$1141,6,0)</f>
        <v>Supervisor</v>
      </c>
      <c r="H602" s="1" t="s">
        <v>3168</v>
      </c>
      <c r="I602" s="1" t="s">
        <v>1117</v>
      </c>
      <c r="J602" s="1" t="str">
        <f>VLOOKUP(A602,[1]Sheet1!$A$2:$H$1141,8,0)</f>
        <v>Dept. of Maintenance</v>
      </c>
      <c r="K602" s="1" t="str">
        <f>VLOOKUP(A602,[1]Sheet1!$A$2:$I$1141,9,0)</f>
        <v>Unit of Reliability Maintenance</v>
      </c>
      <c r="L602" s="1" t="str">
        <f>VLOOKUP(A602,[1]Sheet1!$A$2:$J$1141,10,0)</f>
        <v>Staff of Troubleshooting</v>
      </c>
      <c r="M602" s="2">
        <v>27724</v>
      </c>
      <c r="N602" s="1" t="s">
        <v>29</v>
      </c>
      <c r="O602" s="1" t="s">
        <v>30</v>
      </c>
      <c r="P602" s="1" t="s">
        <v>3213</v>
      </c>
      <c r="Q602" s="1" t="s">
        <v>3170</v>
      </c>
      <c r="R602" s="1" t="s">
        <v>3171</v>
      </c>
      <c r="S602" s="1" t="s">
        <v>3172</v>
      </c>
      <c r="T602" s="14">
        <v>48183</v>
      </c>
      <c r="U602" s="1" t="s">
        <v>3214</v>
      </c>
      <c r="V602" s="1" t="s">
        <v>186</v>
      </c>
      <c r="W602" s="3" t="str">
        <f t="shared" si="9"/>
        <v>50 tahun</v>
      </c>
      <c r="X602" s="1" t="s">
        <v>3215</v>
      </c>
      <c r="Y602" s="1" t="s">
        <v>48</v>
      </c>
      <c r="Z602" s="2">
        <v>34897</v>
      </c>
      <c r="AA602" s="2">
        <v>35278</v>
      </c>
      <c r="AB602" s="2" t="s">
        <v>3216</v>
      </c>
    </row>
    <row r="603" spans="1:28" x14ac:dyDescent="0.35">
      <c r="A603" s="12">
        <v>4820</v>
      </c>
      <c r="B603" s="12">
        <v>7295083</v>
      </c>
      <c r="C603" s="12" t="s">
        <v>50</v>
      </c>
      <c r="D603" s="12">
        <v>50047833</v>
      </c>
      <c r="E603" s="1" t="s">
        <v>3217</v>
      </c>
      <c r="F603" s="1" t="str">
        <f>VLOOKUP(A603,[1]Sheet1!$A$2:$E$1141,5,0)</f>
        <v>Troubleshooting Jr Officer</v>
      </c>
      <c r="G603" s="17" t="str">
        <f>VLOOKUP(A603,[1]Sheet1!$A$2:$F$1141,6,0)</f>
        <v>Supervisor</v>
      </c>
      <c r="H603" s="1" t="s">
        <v>3168</v>
      </c>
      <c r="I603" s="1" t="s">
        <v>1117</v>
      </c>
      <c r="J603" s="1" t="str">
        <f>VLOOKUP(A603,[1]Sheet1!$A$2:$H$1141,8,0)</f>
        <v>Dept. of Maintenance</v>
      </c>
      <c r="K603" s="1" t="str">
        <f>VLOOKUP(A603,[1]Sheet1!$A$2:$I$1141,9,0)</f>
        <v>Unit of Reliability Maintenance</v>
      </c>
      <c r="L603" s="1" t="str">
        <f>VLOOKUP(A603,[1]Sheet1!$A$2:$J$1141,10,0)</f>
        <v>Staff of Troubleshooting</v>
      </c>
      <c r="M603" s="2">
        <v>26399</v>
      </c>
      <c r="N603" s="1" t="s">
        <v>29</v>
      </c>
      <c r="O603" s="1" t="s">
        <v>30</v>
      </c>
      <c r="P603" s="1" t="s">
        <v>3218</v>
      </c>
      <c r="Q603" s="1" t="s">
        <v>3170</v>
      </c>
      <c r="R603" s="1" t="s">
        <v>3171</v>
      </c>
      <c r="S603" s="1" t="s">
        <v>3172</v>
      </c>
      <c r="T603" s="14">
        <v>46874</v>
      </c>
      <c r="U603" s="1" t="s">
        <v>3219</v>
      </c>
      <c r="V603" s="1" t="s">
        <v>36</v>
      </c>
      <c r="W603" s="3" t="str">
        <f t="shared" si="9"/>
        <v>54 tahun</v>
      </c>
      <c r="X603" s="1" t="s">
        <v>3220</v>
      </c>
      <c r="Y603" s="1" t="s">
        <v>56</v>
      </c>
      <c r="Z603" s="2">
        <v>34932</v>
      </c>
      <c r="AA603" s="2">
        <v>35309</v>
      </c>
      <c r="AB603" s="2" t="s">
        <v>84</v>
      </c>
    </row>
    <row r="604" spans="1:28" x14ac:dyDescent="0.35">
      <c r="A604" s="12">
        <v>6101</v>
      </c>
      <c r="B604" s="12">
        <v>9012269</v>
      </c>
      <c r="C604" s="12" t="s">
        <v>103</v>
      </c>
      <c r="D604" s="12">
        <v>50069581</v>
      </c>
      <c r="E604" s="1" t="s">
        <v>3221</v>
      </c>
      <c r="F604" s="1" t="str">
        <f>VLOOKUP(A604,[1]Sheet1!$A$2:$E$1141,5,0)</f>
        <v>Troubleshooting Jr Officer</v>
      </c>
      <c r="G604" s="17" t="str">
        <f>VLOOKUP(A604,[1]Sheet1!$A$2:$F$1141,6,0)</f>
        <v>Supervisor</v>
      </c>
      <c r="H604" s="1" t="s">
        <v>3168</v>
      </c>
      <c r="I604" s="1" t="s">
        <v>1117</v>
      </c>
      <c r="J604" s="1" t="str">
        <f>VLOOKUP(A604,[1]Sheet1!$A$2:$H$1141,8,0)</f>
        <v>Dept. of Maintenance</v>
      </c>
      <c r="K604" s="1" t="str">
        <f>VLOOKUP(A604,[1]Sheet1!$A$2:$I$1141,9,0)</f>
        <v>Unit of Reliability Maintenance</v>
      </c>
      <c r="L604" s="1" t="str">
        <f>VLOOKUP(A604,[1]Sheet1!$A$2:$J$1141,10,0)</f>
        <v>Staff of Troubleshooting</v>
      </c>
      <c r="M604" s="2">
        <v>33031</v>
      </c>
      <c r="N604" s="1" t="s">
        <v>29</v>
      </c>
      <c r="O604" s="1" t="s">
        <v>30</v>
      </c>
      <c r="P604" s="1" t="s">
        <v>3222</v>
      </c>
      <c r="Q604" s="1" t="s">
        <v>3170</v>
      </c>
      <c r="R604" s="1" t="s">
        <v>3171</v>
      </c>
      <c r="S604" s="1" t="s">
        <v>3172</v>
      </c>
      <c r="T604" s="14">
        <v>53509</v>
      </c>
      <c r="U604" s="1" t="s">
        <v>3223</v>
      </c>
      <c r="V604" s="1" t="s">
        <v>36</v>
      </c>
      <c r="W604" s="3" t="str">
        <f t="shared" si="9"/>
        <v>36 tahun</v>
      </c>
      <c r="X604" s="1" t="s">
        <v>121</v>
      </c>
      <c r="Y604" s="1" t="s">
        <v>56</v>
      </c>
      <c r="Z604" s="2">
        <v>41275</v>
      </c>
      <c r="AA604" s="2">
        <v>41426</v>
      </c>
      <c r="AB604" s="2" t="s">
        <v>3224</v>
      </c>
    </row>
    <row r="605" spans="1:28" x14ac:dyDescent="0.35">
      <c r="A605" s="12">
        <v>6090</v>
      </c>
      <c r="B605" s="12">
        <v>9012258</v>
      </c>
      <c r="C605" s="12" t="s">
        <v>103</v>
      </c>
      <c r="D605" s="12">
        <v>50069582</v>
      </c>
      <c r="E605" s="1" t="s">
        <v>3225</v>
      </c>
      <c r="F605" s="1" t="str">
        <f>VLOOKUP(A605,[1]Sheet1!$A$2:$E$1141,5,0)</f>
        <v>Troubleshooting Jr Officer</v>
      </c>
      <c r="G605" s="17" t="str">
        <f>VLOOKUP(A605,[1]Sheet1!$A$2:$F$1141,6,0)</f>
        <v>Supervisor</v>
      </c>
      <c r="H605" s="1" t="s">
        <v>3168</v>
      </c>
      <c r="I605" s="1" t="s">
        <v>1117</v>
      </c>
      <c r="J605" s="1" t="str">
        <f>VLOOKUP(A605,[1]Sheet1!$A$2:$H$1141,8,0)</f>
        <v>Dept. of Maintenance</v>
      </c>
      <c r="K605" s="1" t="str">
        <f>VLOOKUP(A605,[1]Sheet1!$A$2:$I$1141,9,0)</f>
        <v>Unit of Reliability Maintenance</v>
      </c>
      <c r="L605" s="1" t="str">
        <f>VLOOKUP(A605,[1]Sheet1!$A$2:$J$1141,10,0)</f>
        <v>Staff of Troubleshooting</v>
      </c>
      <c r="M605" s="2">
        <v>32991</v>
      </c>
      <c r="N605" s="1" t="s">
        <v>29</v>
      </c>
      <c r="O605" s="1" t="s">
        <v>30</v>
      </c>
      <c r="P605" s="1" t="s">
        <v>3226</v>
      </c>
      <c r="Q605" s="1" t="s">
        <v>3170</v>
      </c>
      <c r="R605" s="1" t="s">
        <v>3171</v>
      </c>
      <c r="S605" s="1" t="s">
        <v>3172</v>
      </c>
      <c r="T605" s="14">
        <v>53448</v>
      </c>
      <c r="U605" s="1" t="s">
        <v>3227</v>
      </c>
      <c r="V605" s="1" t="s">
        <v>36</v>
      </c>
      <c r="W605" s="3" t="str">
        <f t="shared" si="9"/>
        <v>36 tahun</v>
      </c>
      <c r="X605" s="1" t="s">
        <v>121</v>
      </c>
      <c r="Y605" s="1" t="s">
        <v>56</v>
      </c>
      <c r="Z605" s="2">
        <v>41275</v>
      </c>
      <c r="AA605" s="2">
        <v>41395</v>
      </c>
      <c r="AB605" s="2" t="s">
        <v>3228</v>
      </c>
    </row>
    <row r="606" spans="1:28" x14ac:dyDescent="0.35">
      <c r="A606" s="12">
        <v>4838</v>
      </c>
      <c r="B606" s="12">
        <v>7306389</v>
      </c>
      <c r="C606" s="12" t="s">
        <v>219</v>
      </c>
      <c r="D606" s="12">
        <v>50069583</v>
      </c>
      <c r="E606" s="1" t="s">
        <v>3229</v>
      </c>
      <c r="F606" s="1" t="str">
        <f>VLOOKUP(A606,[1]Sheet1!$A$2:$E$1141,5,0)</f>
        <v>Troubleshooting Jr Officer</v>
      </c>
      <c r="G606" s="17" t="str">
        <f>VLOOKUP(A606,[1]Sheet1!$A$2:$F$1141,6,0)</f>
        <v>Supervisor</v>
      </c>
      <c r="H606" s="1" t="s">
        <v>3168</v>
      </c>
      <c r="I606" s="1" t="s">
        <v>1117</v>
      </c>
      <c r="J606" s="1" t="str">
        <f>VLOOKUP(A606,[1]Sheet1!$A$2:$H$1141,8,0)</f>
        <v>Dept. of Maintenance</v>
      </c>
      <c r="K606" s="1" t="str">
        <f>VLOOKUP(A606,[1]Sheet1!$A$2:$I$1141,9,0)</f>
        <v>Unit of Reliability Maintenance</v>
      </c>
      <c r="L606" s="1" t="str">
        <f>VLOOKUP(A606,[1]Sheet1!$A$2:$J$1141,10,0)</f>
        <v>Staff of Troubleshooting</v>
      </c>
      <c r="M606" s="2">
        <v>26793</v>
      </c>
      <c r="N606" s="1" t="s">
        <v>29</v>
      </c>
      <c r="O606" s="1" t="s">
        <v>30</v>
      </c>
      <c r="P606" s="1" t="s">
        <v>3230</v>
      </c>
      <c r="Q606" s="1" t="s">
        <v>3170</v>
      </c>
      <c r="R606" s="1" t="s">
        <v>3171</v>
      </c>
      <c r="S606" s="1" t="s">
        <v>3172</v>
      </c>
      <c r="T606" s="14">
        <v>47270</v>
      </c>
      <c r="U606" s="1" t="s">
        <v>3231</v>
      </c>
      <c r="V606" s="1" t="s">
        <v>186</v>
      </c>
      <c r="W606" s="3" t="str">
        <f t="shared" si="9"/>
        <v>53 tahun</v>
      </c>
      <c r="X606" s="1" t="s">
        <v>1146</v>
      </c>
      <c r="Y606" s="1" t="s">
        <v>56</v>
      </c>
      <c r="Z606" s="2">
        <v>38718</v>
      </c>
      <c r="AA606" s="2">
        <v>41030</v>
      </c>
      <c r="AB606" s="2" t="s">
        <v>84</v>
      </c>
    </row>
    <row r="607" spans="1:28" x14ac:dyDescent="0.35">
      <c r="A607" s="12">
        <v>6213</v>
      </c>
      <c r="B607" s="12">
        <v>9112379</v>
      </c>
      <c r="C607" s="12" t="s">
        <v>103</v>
      </c>
      <c r="D607" s="12">
        <v>50069584</v>
      </c>
      <c r="E607" s="1" t="s">
        <v>3232</v>
      </c>
      <c r="F607" s="1" t="str">
        <f>VLOOKUP(A607,[1]Sheet1!$A$2:$E$1141,5,0)</f>
        <v>Troubleshooting Jr Officer</v>
      </c>
      <c r="G607" s="17" t="str">
        <f>VLOOKUP(A607,[1]Sheet1!$A$2:$F$1141,6,0)</f>
        <v>Supervisor</v>
      </c>
      <c r="H607" s="1" t="s">
        <v>3168</v>
      </c>
      <c r="I607" s="1" t="s">
        <v>1117</v>
      </c>
      <c r="J607" s="1" t="str">
        <f>VLOOKUP(A607,[1]Sheet1!$A$2:$H$1141,8,0)</f>
        <v>Dept. of Maintenance</v>
      </c>
      <c r="K607" s="1" t="str">
        <f>VLOOKUP(A607,[1]Sheet1!$A$2:$I$1141,9,0)</f>
        <v>Unit of Reliability Maintenance</v>
      </c>
      <c r="L607" s="1" t="str">
        <f>VLOOKUP(A607,[1]Sheet1!$A$2:$J$1141,10,0)</f>
        <v>Staff of Troubleshooting</v>
      </c>
      <c r="M607" s="2">
        <v>33502</v>
      </c>
      <c r="N607" s="1" t="s">
        <v>29</v>
      </c>
      <c r="O607" s="1" t="s">
        <v>30</v>
      </c>
      <c r="P607" s="1" t="s">
        <v>3233</v>
      </c>
      <c r="Q607" s="1" t="s">
        <v>3170</v>
      </c>
      <c r="R607" s="1" t="s">
        <v>3171</v>
      </c>
      <c r="S607" s="1" t="s">
        <v>3172</v>
      </c>
      <c r="T607" s="14">
        <v>53966</v>
      </c>
      <c r="U607" s="1" t="s">
        <v>3234</v>
      </c>
      <c r="V607" s="1" t="s">
        <v>36</v>
      </c>
      <c r="W607" s="3" t="str">
        <f t="shared" si="9"/>
        <v>34 tahun</v>
      </c>
      <c r="X607" s="1" t="s">
        <v>121</v>
      </c>
      <c r="Y607" s="1" t="s">
        <v>56</v>
      </c>
      <c r="Z607" s="2">
        <v>41275</v>
      </c>
      <c r="AA607" s="2">
        <v>41426</v>
      </c>
      <c r="AB607" s="2" t="s">
        <v>3235</v>
      </c>
    </row>
    <row r="608" spans="1:28" x14ac:dyDescent="0.35">
      <c r="A608" s="12">
        <v>5920</v>
      </c>
      <c r="B608" s="12">
        <v>8712087</v>
      </c>
      <c r="C608" s="12" t="s">
        <v>103</v>
      </c>
      <c r="D608" s="12">
        <v>50069585</v>
      </c>
      <c r="E608" s="1" t="s">
        <v>3236</v>
      </c>
      <c r="F608" s="1" t="str">
        <f>VLOOKUP(A608,[1]Sheet1!$A$2:$E$1141,5,0)</f>
        <v>Troubleshooting Jr Officer</v>
      </c>
      <c r="G608" s="17" t="str">
        <f>VLOOKUP(A608,[1]Sheet1!$A$2:$F$1141,6,0)</f>
        <v>Supervisor</v>
      </c>
      <c r="H608" s="1" t="s">
        <v>3168</v>
      </c>
      <c r="I608" s="1" t="s">
        <v>1117</v>
      </c>
      <c r="J608" s="1" t="str">
        <f>VLOOKUP(A608,[1]Sheet1!$A$2:$H$1141,8,0)</f>
        <v>Dept. of Maintenance</v>
      </c>
      <c r="K608" s="1" t="str">
        <f>VLOOKUP(A608,[1]Sheet1!$A$2:$I$1141,9,0)</f>
        <v>Unit of Reliability Maintenance</v>
      </c>
      <c r="L608" s="1" t="str">
        <f>VLOOKUP(A608,[1]Sheet1!$A$2:$J$1141,10,0)</f>
        <v>Staff of Troubleshooting</v>
      </c>
      <c r="M608" s="2">
        <v>31927</v>
      </c>
      <c r="N608" s="1" t="s">
        <v>29</v>
      </c>
      <c r="O608" s="1" t="s">
        <v>30</v>
      </c>
      <c r="P608" s="1" t="s">
        <v>3237</v>
      </c>
      <c r="Q608" s="1" t="s">
        <v>3170</v>
      </c>
      <c r="R608" s="1" t="s">
        <v>3171</v>
      </c>
      <c r="S608" s="1" t="s">
        <v>3172</v>
      </c>
      <c r="T608" s="14">
        <v>52383</v>
      </c>
      <c r="U608" s="1" t="s">
        <v>3238</v>
      </c>
      <c r="V608" s="1" t="s">
        <v>36</v>
      </c>
      <c r="W608" s="3" t="str">
        <f t="shared" si="9"/>
        <v>39 tahun</v>
      </c>
      <c r="X608" s="1" t="s">
        <v>112</v>
      </c>
      <c r="Y608" s="1" t="s">
        <v>56</v>
      </c>
      <c r="Z608" s="2">
        <v>41275</v>
      </c>
      <c r="AA608" s="2">
        <v>41395</v>
      </c>
      <c r="AB608" s="2" t="s">
        <v>3239</v>
      </c>
    </row>
    <row r="609" spans="1:28" x14ac:dyDescent="0.35">
      <c r="A609" s="12">
        <v>6153</v>
      </c>
      <c r="B609" s="12">
        <v>9112321</v>
      </c>
      <c r="C609" s="12" t="s">
        <v>103</v>
      </c>
      <c r="D609" s="12">
        <v>50069586</v>
      </c>
      <c r="E609" s="1" t="s">
        <v>3240</v>
      </c>
      <c r="F609" s="1" t="str">
        <f>VLOOKUP(A609,[1]Sheet1!$A$2:$E$1141,5,0)</f>
        <v>Troubleshooting Jr Officer</v>
      </c>
      <c r="G609" s="17" t="str">
        <f>VLOOKUP(A609,[1]Sheet1!$A$2:$F$1141,6,0)</f>
        <v>Supervisor</v>
      </c>
      <c r="H609" s="1" t="s">
        <v>3168</v>
      </c>
      <c r="I609" s="1" t="s">
        <v>1117</v>
      </c>
      <c r="J609" s="1" t="str">
        <f>VLOOKUP(A609,[1]Sheet1!$A$2:$H$1141,8,0)</f>
        <v>Dept. of Maintenance</v>
      </c>
      <c r="K609" s="1" t="str">
        <f>VLOOKUP(A609,[1]Sheet1!$A$2:$I$1141,9,0)</f>
        <v>Unit of Reliability Maintenance</v>
      </c>
      <c r="L609" s="1" t="str">
        <f>VLOOKUP(A609,[1]Sheet1!$A$2:$J$1141,10,0)</f>
        <v>Staff of Troubleshooting</v>
      </c>
      <c r="M609" s="2">
        <v>33254</v>
      </c>
      <c r="N609" s="1" t="s">
        <v>29</v>
      </c>
      <c r="O609" s="1" t="s">
        <v>30</v>
      </c>
      <c r="P609" s="1" t="s">
        <v>3241</v>
      </c>
      <c r="Q609" s="1" t="s">
        <v>3170</v>
      </c>
      <c r="R609" s="1" t="s">
        <v>3171</v>
      </c>
      <c r="S609" s="1" t="s">
        <v>3172</v>
      </c>
      <c r="T609" s="14">
        <v>53724</v>
      </c>
      <c r="U609" s="1" t="s">
        <v>3242</v>
      </c>
      <c r="V609" s="1" t="s">
        <v>36</v>
      </c>
      <c r="W609" s="3" t="str">
        <f t="shared" si="9"/>
        <v>35 tahun</v>
      </c>
      <c r="X609" s="1" t="s">
        <v>112</v>
      </c>
      <c r="Y609" s="1" t="s">
        <v>56</v>
      </c>
      <c r="Z609" s="2">
        <v>41275</v>
      </c>
      <c r="AA609" s="2">
        <v>41426</v>
      </c>
      <c r="AB609" s="2" t="s">
        <v>3243</v>
      </c>
    </row>
    <row r="610" spans="1:28" x14ac:dyDescent="0.35">
      <c r="A610" s="12">
        <v>5853</v>
      </c>
      <c r="B610" s="12">
        <v>8512019</v>
      </c>
      <c r="C610" s="12" t="s">
        <v>103</v>
      </c>
      <c r="D610" s="12">
        <v>50069587</v>
      </c>
      <c r="E610" s="1" t="s">
        <v>3244</v>
      </c>
      <c r="F610" s="1" t="str">
        <f>VLOOKUP(A610,[1]Sheet1!$A$2:$E$1141,5,0)</f>
        <v>Troubleshooting Jr Officer</v>
      </c>
      <c r="G610" s="17" t="str">
        <f>VLOOKUP(A610,[1]Sheet1!$A$2:$F$1141,6,0)</f>
        <v>Supervisor</v>
      </c>
      <c r="H610" s="1" t="s">
        <v>3168</v>
      </c>
      <c r="I610" s="1" t="s">
        <v>1117</v>
      </c>
      <c r="J610" s="1" t="str">
        <f>VLOOKUP(A610,[1]Sheet1!$A$2:$H$1141,8,0)</f>
        <v>Dept. of Maintenance</v>
      </c>
      <c r="K610" s="1" t="str">
        <f>VLOOKUP(A610,[1]Sheet1!$A$2:$I$1141,9,0)</f>
        <v>Unit of Reliability Maintenance</v>
      </c>
      <c r="L610" s="1" t="str">
        <f>VLOOKUP(A610,[1]Sheet1!$A$2:$J$1141,10,0)</f>
        <v>Staff of Troubleshooting</v>
      </c>
      <c r="M610" s="2">
        <v>31308</v>
      </c>
      <c r="N610" s="1" t="s">
        <v>29</v>
      </c>
      <c r="O610" s="1" t="s">
        <v>30</v>
      </c>
      <c r="P610" s="1" t="s">
        <v>3245</v>
      </c>
      <c r="Q610" s="1" t="s">
        <v>3170</v>
      </c>
      <c r="R610" s="1" t="s">
        <v>3171</v>
      </c>
      <c r="S610" s="1" t="s">
        <v>3172</v>
      </c>
      <c r="T610" s="14">
        <v>51775</v>
      </c>
      <c r="U610" s="1" t="s">
        <v>3246</v>
      </c>
      <c r="V610" s="1" t="s">
        <v>36</v>
      </c>
      <c r="W610" s="3" t="str">
        <f t="shared" si="9"/>
        <v>40 tahun</v>
      </c>
      <c r="X610" s="1" t="s">
        <v>37</v>
      </c>
      <c r="Y610" s="1" t="s">
        <v>48</v>
      </c>
      <c r="Z610" s="2">
        <v>41275</v>
      </c>
      <c r="AA610" s="2">
        <v>41395</v>
      </c>
      <c r="AB610" s="2" t="s">
        <v>3247</v>
      </c>
    </row>
    <row r="611" spans="1:28" x14ac:dyDescent="0.35">
      <c r="A611" s="12">
        <v>6195</v>
      </c>
      <c r="B611" s="12">
        <v>9112361</v>
      </c>
      <c r="C611" s="12" t="s">
        <v>103</v>
      </c>
      <c r="D611" s="12">
        <v>50069588</v>
      </c>
      <c r="E611" s="1" t="s">
        <v>3248</v>
      </c>
      <c r="F611" s="1" t="str">
        <f>VLOOKUP(A611,[1]Sheet1!$A$2:$E$1141,5,0)</f>
        <v>Troubleshooting Jr Officer</v>
      </c>
      <c r="G611" s="17" t="str">
        <f>VLOOKUP(A611,[1]Sheet1!$A$2:$F$1141,6,0)</f>
        <v>Supervisor</v>
      </c>
      <c r="H611" s="1" t="s">
        <v>3168</v>
      </c>
      <c r="I611" s="1" t="s">
        <v>1117</v>
      </c>
      <c r="J611" s="1" t="str">
        <f>VLOOKUP(A611,[1]Sheet1!$A$2:$H$1141,8,0)</f>
        <v>Dept. of Maintenance</v>
      </c>
      <c r="K611" s="1" t="str">
        <f>VLOOKUP(A611,[1]Sheet1!$A$2:$I$1141,9,0)</f>
        <v>Unit of Reliability Maintenance</v>
      </c>
      <c r="L611" s="1" t="str">
        <f>VLOOKUP(A611,[1]Sheet1!$A$2:$J$1141,10,0)</f>
        <v>Staff of Troubleshooting</v>
      </c>
      <c r="M611" s="2">
        <v>33437</v>
      </c>
      <c r="N611" s="1" t="s">
        <v>29</v>
      </c>
      <c r="O611" s="1" t="s">
        <v>30</v>
      </c>
      <c r="P611" s="1" t="s">
        <v>3249</v>
      </c>
      <c r="Q611" s="1" t="s">
        <v>3170</v>
      </c>
      <c r="R611" s="1" t="s">
        <v>3171</v>
      </c>
      <c r="S611" s="1" t="s">
        <v>3172</v>
      </c>
      <c r="T611" s="14">
        <v>53905</v>
      </c>
      <c r="U611" s="1" t="s">
        <v>3250</v>
      </c>
      <c r="V611" s="1" t="s">
        <v>36</v>
      </c>
      <c r="W611" s="3" t="str">
        <f t="shared" si="9"/>
        <v>35 tahun</v>
      </c>
      <c r="X611" s="1" t="s">
        <v>2023</v>
      </c>
      <c r="Y611" s="1" t="s">
        <v>56</v>
      </c>
      <c r="Z611" s="2">
        <v>41275</v>
      </c>
      <c r="AA611" s="2">
        <v>41395</v>
      </c>
      <c r="AB611" s="2" t="s">
        <v>3251</v>
      </c>
    </row>
    <row r="612" spans="1:28" x14ac:dyDescent="0.35">
      <c r="A612" s="12">
        <v>5382</v>
      </c>
      <c r="B612" s="12">
        <v>8610074</v>
      </c>
      <c r="C612" s="12" t="s">
        <v>139</v>
      </c>
      <c r="D612" s="12">
        <v>50052132</v>
      </c>
      <c r="E612" s="16" t="s">
        <v>3252</v>
      </c>
      <c r="F612" s="1" t="str">
        <f>VLOOKUP(A612,[1]Sheet1!$A$2:$E$1141,5,0)</f>
        <v>PGO Officer</v>
      </c>
      <c r="G612" s="16" t="str">
        <f>VLOOKUP(A612,[1]Sheet1!$A$2:$F$1141,6,0)</f>
        <v>Manager</v>
      </c>
      <c r="H612" s="1" t="s">
        <v>3108</v>
      </c>
      <c r="I612" s="1" t="s">
        <v>1117</v>
      </c>
      <c r="J612" s="1" t="str">
        <f>VLOOKUP(A612,[1]Sheet1!$A$2:$H$1141,8,0)</f>
        <v>Dept. of Maintenance</v>
      </c>
      <c r="K612" s="1" t="str">
        <f>VLOOKUP(A612,[1]Sheet1!$A$2:$I$1141,9,0)</f>
        <v>Unit of Reliability Maintenance</v>
      </c>
      <c r="L612" s="1" t="str">
        <f>VLOOKUP(A612,[1]Sheet1!$A$2:$J$1141,10,0)</f>
        <v>Staff of PGO</v>
      </c>
      <c r="M612" s="2">
        <v>31747</v>
      </c>
      <c r="N612" s="1" t="s">
        <v>29</v>
      </c>
      <c r="O612" s="1" t="s">
        <v>30</v>
      </c>
      <c r="P612" s="1" t="s">
        <v>3253</v>
      </c>
      <c r="Q612" s="1" t="s">
        <v>3254</v>
      </c>
      <c r="R612" s="1" t="s">
        <v>3255</v>
      </c>
      <c r="S612" s="1" t="s">
        <v>3112</v>
      </c>
      <c r="T612" s="14">
        <v>52232</v>
      </c>
      <c r="U612" s="1" t="s">
        <v>3256</v>
      </c>
      <c r="V612" s="1" t="s">
        <v>36</v>
      </c>
      <c r="W612" s="3" t="str">
        <f t="shared" si="9"/>
        <v>39 tahun</v>
      </c>
      <c r="X612" s="1" t="s">
        <v>816</v>
      </c>
      <c r="Y612" s="1" t="s">
        <v>48</v>
      </c>
      <c r="Z612" s="2">
        <v>40544</v>
      </c>
      <c r="AA612" s="2">
        <v>40695</v>
      </c>
      <c r="AB612" s="2" t="s">
        <v>3257</v>
      </c>
    </row>
    <row r="613" spans="1:28" x14ac:dyDescent="0.35">
      <c r="A613" s="12">
        <v>4856</v>
      </c>
      <c r="B613" s="12">
        <v>7295008</v>
      </c>
      <c r="C613" s="12" t="s">
        <v>50</v>
      </c>
      <c r="D613" s="12">
        <v>50066817</v>
      </c>
      <c r="E613" s="16" t="s">
        <v>3258</v>
      </c>
      <c r="F613" s="1" t="str">
        <f>VLOOKUP(A613,[1]Sheet1!$A$2:$E$1141,5,0)</f>
        <v>PGO Officer</v>
      </c>
      <c r="G613" s="16" t="str">
        <f>VLOOKUP(A613,[1]Sheet1!$A$2:$F$1141,6,0)</f>
        <v>Manager</v>
      </c>
      <c r="H613" s="1" t="s">
        <v>3108</v>
      </c>
      <c r="I613" s="1" t="s">
        <v>1117</v>
      </c>
      <c r="J613" s="1" t="str">
        <f>VLOOKUP(A613,[1]Sheet1!$A$2:$H$1141,8,0)</f>
        <v>Dept. of Maintenance</v>
      </c>
      <c r="K613" s="1" t="str">
        <f>VLOOKUP(A613,[1]Sheet1!$A$2:$I$1141,9,0)</f>
        <v>Unit of Reliability Maintenance</v>
      </c>
      <c r="L613" s="1" t="str">
        <f>VLOOKUP(A613,[1]Sheet1!$A$2:$J$1141,10,0)</f>
        <v>Staff of PGO</v>
      </c>
      <c r="M613" s="2">
        <v>26509</v>
      </c>
      <c r="N613" s="1" t="s">
        <v>29</v>
      </c>
      <c r="O613" s="1" t="s">
        <v>30</v>
      </c>
      <c r="P613" s="1" t="s">
        <v>3259</v>
      </c>
      <c r="Q613" s="1" t="s">
        <v>3254</v>
      </c>
      <c r="R613" s="1" t="s">
        <v>3255</v>
      </c>
      <c r="S613" s="1" t="s">
        <v>3112</v>
      </c>
      <c r="T613" s="14">
        <v>46966</v>
      </c>
      <c r="U613" s="1" t="s">
        <v>3260</v>
      </c>
      <c r="V613" s="1" t="s">
        <v>36</v>
      </c>
      <c r="W613" s="3" t="str">
        <f t="shared" si="9"/>
        <v>54 tahun</v>
      </c>
      <c r="X613" s="1" t="s">
        <v>55</v>
      </c>
      <c r="Y613" s="1" t="s">
        <v>48</v>
      </c>
      <c r="Z613" s="2">
        <v>34897</v>
      </c>
      <c r="AA613" s="2">
        <v>35278</v>
      </c>
      <c r="AB613" s="2" t="s">
        <v>3261</v>
      </c>
    </row>
    <row r="614" spans="1:28" x14ac:dyDescent="0.35">
      <c r="A614" s="12">
        <v>4813</v>
      </c>
      <c r="B614" s="12">
        <v>7295003</v>
      </c>
      <c r="C614" s="12" t="s">
        <v>50</v>
      </c>
      <c r="D614" s="12">
        <v>50069590</v>
      </c>
      <c r="E614" s="16" t="s">
        <v>3262</v>
      </c>
      <c r="F614" s="1" t="str">
        <f>VLOOKUP(A614,[1]Sheet1!$A$2:$E$1141,5,0)</f>
        <v>PGO Officer</v>
      </c>
      <c r="G614" s="16" t="str">
        <f>VLOOKUP(A614,[1]Sheet1!$A$2:$F$1141,6,0)</f>
        <v>Manager</v>
      </c>
      <c r="H614" s="1" t="s">
        <v>3108</v>
      </c>
      <c r="I614" s="1" t="s">
        <v>1117</v>
      </c>
      <c r="J614" s="1" t="str">
        <f>VLOOKUP(A614,[1]Sheet1!$A$2:$H$1141,8,0)</f>
        <v>Dept. of Maintenance</v>
      </c>
      <c r="K614" s="1" t="str">
        <f>VLOOKUP(A614,[1]Sheet1!$A$2:$I$1141,9,0)</f>
        <v>Unit of Reliability Maintenance</v>
      </c>
      <c r="L614" s="1" t="str">
        <f>VLOOKUP(A614,[1]Sheet1!$A$2:$J$1141,10,0)</f>
        <v>Staff of PGO</v>
      </c>
      <c r="M614" s="2">
        <v>26360</v>
      </c>
      <c r="N614" s="1" t="s">
        <v>29</v>
      </c>
      <c r="O614" s="1" t="s">
        <v>30</v>
      </c>
      <c r="P614" s="1" t="s">
        <v>3263</v>
      </c>
      <c r="Q614" s="1" t="s">
        <v>3254</v>
      </c>
      <c r="R614" s="1" t="s">
        <v>3255</v>
      </c>
      <c r="S614" s="1" t="s">
        <v>3112</v>
      </c>
      <c r="T614" s="14">
        <v>46844</v>
      </c>
      <c r="U614" s="1" t="s">
        <v>3264</v>
      </c>
      <c r="V614" s="1" t="s">
        <v>36</v>
      </c>
      <c r="W614" s="3" t="str">
        <f t="shared" si="9"/>
        <v>54 tahun</v>
      </c>
      <c r="X614" s="1" t="s">
        <v>55</v>
      </c>
      <c r="Y614" s="1" t="s">
        <v>56</v>
      </c>
      <c r="Z614" s="2">
        <v>34897</v>
      </c>
      <c r="AA614" s="2">
        <v>35278</v>
      </c>
      <c r="AB614" s="2" t="s">
        <v>84</v>
      </c>
    </row>
    <row r="615" spans="1:28" x14ac:dyDescent="0.35">
      <c r="A615" s="12">
        <v>4977</v>
      </c>
      <c r="B615" s="12">
        <v>7395104</v>
      </c>
      <c r="C615" s="12" t="s">
        <v>50</v>
      </c>
      <c r="D615" s="12">
        <v>50069591</v>
      </c>
      <c r="E615" s="16" t="s">
        <v>3265</v>
      </c>
      <c r="F615" s="1" t="str">
        <f>VLOOKUP(A615,[1]Sheet1!$A$2:$E$1141,5,0)</f>
        <v>PGO Officer</v>
      </c>
      <c r="G615" s="16" t="str">
        <f>VLOOKUP(A615,[1]Sheet1!$A$2:$F$1141,6,0)</f>
        <v>Manager</v>
      </c>
      <c r="H615" s="1" t="s">
        <v>3108</v>
      </c>
      <c r="I615" s="1" t="s">
        <v>1117</v>
      </c>
      <c r="J615" s="1" t="str">
        <f>VLOOKUP(A615,[1]Sheet1!$A$2:$H$1141,8,0)</f>
        <v>Dept. of Maintenance</v>
      </c>
      <c r="K615" s="1" t="str">
        <f>VLOOKUP(A615,[1]Sheet1!$A$2:$I$1141,9,0)</f>
        <v>Unit of Reliability Maintenance</v>
      </c>
      <c r="L615" s="1" t="str">
        <f>VLOOKUP(A615,[1]Sheet1!$A$2:$J$1141,10,0)</f>
        <v>Staff of PGO</v>
      </c>
      <c r="M615" s="2">
        <v>26958</v>
      </c>
      <c r="N615" s="1" t="s">
        <v>29</v>
      </c>
      <c r="O615" s="1" t="s">
        <v>30</v>
      </c>
      <c r="P615" s="1" t="s">
        <v>3266</v>
      </c>
      <c r="Q615" s="1" t="s">
        <v>3254</v>
      </c>
      <c r="R615" s="1" t="s">
        <v>3255</v>
      </c>
      <c r="S615" s="1" t="s">
        <v>3112</v>
      </c>
      <c r="T615" s="14">
        <v>47423</v>
      </c>
      <c r="U615" s="1" t="s">
        <v>3267</v>
      </c>
      <c r="V615" s="1" t="s">
        <v>36</v>
      </c>
      <c r="W615" s="3" t="str">
        <f t="shared" si="9"/>
        <v>52 tahun</v>
      </c>
      <c r="X615" s="1" t="s">
        <v>3268</v>
      </c>
      <c r="Y615" s="1" t="s">
        <v>48</v>
      </c>
      <c r="Z615" s="2">
        <v>34932</v>
      </c>
      <c r="AA615" s="2">
        <v>35309</v>
      </c>
      <c r="AB615" s="2" t="s">
        <v>3075</v>
      </c>
    </row>
    <row r="616" spans="1:28" x14ac:dyDescent="0.35">
      <c r="A616" s="12">
        <v>5836</v>
      </c>
      <c r="B616" s="12">
        <v>8512003</v>
      </c>
      <c r="C616" s="12" t="s">
        <v>103</v>
      </c>
      <c r="D616" s="12">
        <v>50047115</v>
      </c>
      <c r="E616" s="1" t="s">
        <v>3269</v>
      </c>
      <c r="F616" s="1" t="str">
        <f>VLOOKUP(A616,[1]Sheet1!$A$2:$E$1141,5,0)</f>
        <v>PGO Jr Officer</v>
      </c>
      <c r="G616" s="17" t="str">
        <f>VLOOKUP(A616,[1]Sheet1!$A$2:$F$1141,6,0)</f>
        <v>Supervisor</v>
      </c>
      <c r="H616" s="1" t="s">
        <v>3108</v>
      </c>
      <c r="I616" s="1" t="s">
        <v>1117</v>
      </c>
      <c r="J616" s="1" t="str">
        <f>VLOOKUP(A616,[1]Sheet1!$A$2:$H$1141,8,0)</f>
        <v>Dept. of Maintenance</v>
      </c>
      <c r="K616" s="1" t="str">
        <f>VLOOKUP(A616,[1]Sheet1!$A$2:$I$1141,9,0)</f>
        <v>Unit of Reliability Maintenance</v>
      </c>
      <c r="L616" s="1" t="str">
        <f>VLOOKUP(A616,[1]Sheet1!$A$2:$J$1141,10,0)</f>
        <v>Staff of PGO</v>
      </c>
      <c r="M616" s="2">
        <v>31118</v>
      </c>
      <c r="N616" s="1" t="s">
        <v>29</v>
      </c>
      <c r="O616" s="1" t="s">
        <v>30</v>
      </c>
      <c r="P616" s="1" t="s">
        <v>3270</v>
      </c>
      <c r="Q616" s="1" t="s">
        <v>3254</v>
      </c>
      <c r="R616" s="1" t="s">
        <v>3255</v>
      </c>
      <c r="S616" s="1" t="s">
        <v>3112</v>
      </c>
      <c r="T616" s="14">
        <v>51592</v>
      </c>
      <c r="U616" s="1" t="s">
        <v>3271</v>
      </c>
      <c r="V616" s="1" t="s">
        <v>36</v>
      </c>
      <c r="W616" s="3" t="str">
        <f t="shared" si="9"/>
        <v>41 tahun</v>
      </c>
      <c r="X616" s="1" t="s">
        <v>121</v>
      </c>
      <c r="Y616" s="1" t="s">
        <v>56</v>
      </c>
      <c r="Z616" s="2">
        <v>41275</v>
      </c>
      <c r="AA616" s="2">
        <v>41426</v>
      </c>
      <c r="AB616" s="2" t="s">
        <v>3272</v>
      </c>
    </row>
    <row r="617" spans="1:28" x14ac:dyDescent="0.35">
      <c r="A617" s="12">
        <v>6240</v>
      </c>
      <c r="B617" s="12">
        <v>9212408</v>
      </c>
      <c r="C617" s="12" t="s">
        <v>103</v>
      </c>
      <c r="D617" s="12">
        <v>50047828</v>
      </c>
      <c r="E617" s="1" t="s">
        <v>3273</v>
      </c>
      <c r="F617" s="1" t="str">
        <f>VLOOKUP(A617,[1]Sheet1!$A$2:$E$1141,5,0)</f>
        <v>PGO Jr Officer</v>
      </c>
      <c r="G617" s="17" t="str">
        <f>VLOOKUP(A617,[1]Sheet1!$A$2:$F$1141,6,0)</f>
        <v>Supervisor</v>
      </c>
      <c r="H617" s="1" t="s">
        <v>3108</v>
      </c>
      <c r="I617" s="1" t="s">
        <v>1117</v>
      </c>
      <c r="J617" s="1" t="str">
        <f>VLOOKUP(A617,[1]Sheet1!$A$2:$H$1141,8,0)</f>
        <v>Dept. of Maintenance</v>
      </c>
      <c r="K617" s="1" t="str">
        <f>VLOOKUP(A617,[1]Sheet1!$A$2:$I$1141,9,0)</f>
        <v>Unit of Reliability Maintenance</v>
      </c>
      <c r="L617" s="1" t="str">
        <f>VLOOKUP(A617,[1]Sheet1!$A$2:$J$1141,10,0)</f>
        <v>Staff of PGO</v>
      </c>
      <c r="M617" s="2">
        <v>33679</v>
      </c>
      <c r="N617" s="1" t="s">
        <v>29</v>
      </c>
      <c r="O617" s="1" t="s">
        <v>30</v>
      </c>
      <c r="P617" s="1" t="s">
        <v>3274</v>
      </c>
      <c r="Q617" s="1" t="s">
        <v>3254</v>
      </c>
      <c r="R617" s="1" t="s">
        <v>3255</v>
      </c>
      <c r="S617" s="1" t="s">
        <v>3112</v>
      </c>
      <c r="T617" s="14">
        <v>54149</v>
      </c>
      <c r="U617" s="1" t="s">
        <v>3275</v>
      </c>
      <c r="V617" s="1" t="s">
        <v>36</v>
      </c>
      <c r="W617" s="3" t="str">
        <f t="shared" si="9"/>
        <v>34 tahun</v>
      </c>
      <c r="X617" s="1" t="s">
        <v>3276</v>
      </c>
      <c r="Y617" s="1" t="s">
        <v>56</v>
      </c>
      <c r="Z617" s="2">
        <v>41275</v>
      </c>
      <c r="AA617" s="2">
        <v>41426</v>
      </c>
      <c r="AB617" s="2" t="s">
        <v>3277</v>
      </c>
    </row>
    <row r="618" spans="1:28" x14ac:dyDescent="0.35">
      <c r="A618" s="12">
        <v>4877</v>
      </c>
      <c r="B618" s="12">
        <v>7295152</v>
      </c>
      <c r="C618" s="12" t="s">
        <v>50</v>
      </c>
      <c r="D618" s="12">
        <v>50047829</v>
      </c>
      <c r="E618" s="1" t="s">
        <v>3278</v>
      </c>
      <c r="F618" s="1" t="str">
        <f>VLOOKUP(A618,[1]Sheet1!$A$2:$E$1141,5,0)</f>
        <v>PGO Jr Officer</v>
      </c>
      <c r="G618" s="17" t="str">
        <f>VLOOKUP(A618,[1]Sheet1!$A$2:$F$1141,6,0)</f>
        <v>Supervisor</v>
      </c>
      <c r="H618" s="1" t="s">
        <v>3108</v>
      </c>
      <c r="I618" s="1" t="s">
        <v>1117</v>
      </c>
      <c r="J618" s="1" t="str">
        <f>VLOOKUP(A618,[1]Sheet1!$A$2:$H$1141,8,0)</f>
        <v>Dept. of Maintenance</v>
      </c>
      <c r="K618" s="1" t="str">
        <f>VLOOKUP(A618,[1]Sheet1!$A$2:$I$1141,9,0)</f>
        <v>Unit of Reliability Maintenance</v>
      </c>
      <c r="L618" s="1" t="str">
        <f>VLOOKUP(A618,[1]Sheet1!$A$2:$J$1141,10,0)</f>
        <v>Staff of PGO</v>
      </c>
      <c r="M618" s="2">
        <v>26585</v>
      </c>
      <c r="N618" s="1" t="s">
        <v>29</v>
      </c>
      <c r="O618" s="1" t="s">
        <v>30</v>
      </c>
      <c r="P618" s="1" t="s">
        <v>3279</v>
      </c>
      <c r="Q618" s="1" t="s">
        <v>3254</v>
      </c>
      <c r="R618" s="1" t="s">
        <v>3255</v>
      </c>
      <c r="S618" s="1" t="s">
        <v>3112</v>
      </c>
      <c r="T618" s="14">
        <v>47058</v>
      </c>
      <c r="U618" s="1" t="s">
        <v>3280</v>
      </c>
      <c r="V618" s="1" t="s">
        <v>36</v>
      </c>
      <c r="W618" s="3" t="str">
        <f t="shared" si="9"/>
        <v>53 tahun</v>
      </c>
      <c r="X618" s="1" t="s">
        <v>248</v>
      </c>
      <c r="Y618" s="1" t="s">
        <v>56</v>
      </c>
      <c r="Z618" s="2">
        <v>34943</v>
      </c>
      <c r="AA618" s="2">
        <v>35309</v>
      </c>
      <c r="AB618" s="2" t="s">
        <v>84</v>
      </c>
    </row>
    <row r="619" spans="1:28" x14ac:dyDescent="0.35">
      <c r="A619" s="12">
        <v>4830</v>
      </c>
      <c r="B619" s="12">
        <v>7295149</v>
      </c>
      <c r="C619" s="12" t="s">
        <v>50</v>
      </c>
      <c r="D619" s="12">
        <v>50047830</v>
      </c>
      <c r="E619" s="1" t="s">
        <v>1348</v>
      </c>
      <c r="F619" s="1" t="str">
        <f>VLOOKUP(A619,[1]Sheet1!$A$2:$E$1141,5,0)</f>
        <v>PGO Jr Officer</v>
      </c>
      <c r="G619" s="17" t="str">
        <f>VLOOKUP(A619,[1]Sheet1!$A$2:$F$1141,6,0)</f>
        <v>Supervisor</v>
      </c>
      <c r="H619" s="1" t="s">
        <v>3108</v>
      </c>
      <c r="I619" s="1" t="s">
        <v>1117</v>
      </c>
      <c r="J619" s="1" t="str">
        <f>VLOOKUP(A619,[1]Sheet1!$A$2:$H$1141,8,0)</f>
        <v>Dept. of Maintenance</v>
      </c>
      <c r="K619" s="1" t="str">
        <f>VLOOKUP(A619,[1]Sheet1!$A$2:$I$1141,9,0)</f>
        <v>Unit of Reliability Maintenance</v>
      </c>
      <c r="L619" s="1" t="str">
        <f>VLOOKUP(A619,[1]Sheet1!$A$2:$J$1141,10,0)</f>
        <v>Staff of PGO</v>
      </c>
      <c r="M619" s="2">
        <v>26445</v>
      </c>
      <c r="N619" s="1" t="s">
        <v>29</v>
      </c>
      <c r="O619" s="1" t="s">
        <v>30</v>
      </c>
      <c r="P619" s="1" t="s">
        <v>3281</v>
      </c>
      <c r="Q619" s="1" t="s">
        <v>3254</v>
      </c>
      <c r="R619" s="1" t="s">
        <v>3255</v>
      </c>
      <c r="S619" s="1" t="s">
        <v>3112</v>
      </c>
      <c r="T619" s="14">
        <v>46905</v>
      </c>
      <c r="U619" s="1" t="s">
        <v>3282</v>
      </c>
      <c r="V619" s="1" t="s">
        <v>36</v>
      </c>
      <c r="W619" s="3" t="str">
        <f t="shared" si="9"/>
        <v>54 tahun</v>
      </c>
      <c r="X619" s="1" t="s">
        <v>3283</v>
      </c>
      <c r="Y619" s="1" t="s">
        <v>56</v>
      </c>
      <c r="Z619" s="2">
        <v>34943</v>
      </c>
      <c r="AA619" s="2">
        <v>35309</v>
      </c>
      <c r="AB619" s="2" t="s">
        <v>84</v>
      </c>
    </row>
    <row r="620" spans="1:28" x14ac:dyDescent="0.35">
      <c r="A620" s="12">
        <v>4962</v>
      </c>
      <c r="B620" s="12">
        <v>7395200</v>
      </c>
      <c r="C620" s="12" t="s">
        <v>50</v>
      </c>
      <c r="D620" s="12">
        <v>50047832</v>
      </c>
      <c r="E620" s="1" t="s">
        <v>3284</v>
      </c>
      <c r="F620" s="1" t="str">
        <f>VLOOKUP(A620,[1]Sheet1!$A$2:$E$1141,5,0)</f>
        <v>PGO Jr Officer</v>
      </c>
      <c r="G620" s="17" t="str">
        <f>VLOOKUP(A620,[1]Sheet1!$A$2:$F$1141,6,0)</f>
        <v>Supervisor</v>
      </c>
      <c r="H620" s="1" t="s">
        <v>3108</v>
      </c>
      <c r="I620" s="1" t="s">
        <v>1117</v>
      </c>
      <c r="J620" s="1" t="str">
        <f>VLOOKUP(A620,[1]Sheet1!$A$2:$H$1141,8,0)</f>
        <v>Dept. of Maintenance</v>
      </c>
      <c r="K620" s="1" t="str">
        <f>VLOOKUP(A620,[1]Sheet1!$A$2:$I$1141,9,0)</f>
        <v>Unit of Reliability Maintenance</v>
      </c>
      <c r="L620" s="1" t="str">
        <f>VLOOKUP(A620,[1]Sheet1!$A$2:$J$1141,10,0)</f>
        <v>Staff of PGO</v>
      </c>
      <c r="M620" s="2">
        <v>26912</v>
      </c>
      <c r="N620" s="1" t="s">
        <v>29</v>
      </c>
      <c r="O620" s="1" t="s">
        <v>30</v>
      </c>
      <c r="P620" s="1" t="s">
        <v>3285</v>
      </c>
      <c r="Q620" s="1" t="s">
        <v>3254</v>
      </c>
      <c r="R620" s="1" t="s">
        <v>3255</v>
      </c>
      <c r="S620" s="1" t="s">
        <v>3112</v>
      </c>
      <c r="T620" s="14">
        <v>47392</v>
      </c>
      <c r="U620" s="1" t="s">
        <v>3286</v>
      </c>
      <c r="V620" s="1" t="s">
        <v>36</v>
      </c>
      <c r="W620" s="3" t="str">
        <f t="shared" si="9"/>
        <v>52 tahun</v>
      </c>
      <c r="X620" s="1" t="s">
        <v>248</v>
      </c>
      <c r="Y620" s="1" t="s">
        <v>48</v>
      </c>
      <c r="Z620" s="2">
        <v>35002</v>
      </c>
      <c r="AA620" s="2">
        <v>35370</v>
      </c>
      <c r="AB620" s="2" t="s">
        <v>3287</v>
      </c>
    </row>
    <row r="621" spans="1:28" x14ac:dyDescent="0.35">
      <c r="A621" s="12">
        <v>5206</v>
      </c>
      <c r="B621" s="12">
        <v>7602283</v>
      </c>
      <c r="C621" s="12" t="s">
        <v>164</v>
      </c>
      <c r="D621" s="12">
        <v>50047834</v>
      </c>
      <c r="E621" s="1" t="s">
        <v>3288</v>
      </c>
      <c r="F621" s="1" t="str">
        <f>VLOOKUP(A621,[1]Sheet1!$A$2:$E$1141,5,0)</f>
        <v>PGO Jr Officer</v>
      </c>
      <c r="G621" s="17" t="str">
        <f>VLOOKUP(A621,[1]Sheet1!$A$2:$F$1141,6,0)</f>
        <v>Supervisor</v>
      </c>
      <c r="H621" s="1" t="s">
        <v>3108</v>
      </c>
      <c r="I621" s="1" t="s">
        <v>1117</v>
      </c>
      <c r="J621" s="1" t="str">
        <f>VLOOKUP(A621,[1]Sheet1!$A$2:$H$1141,8,0)</f>
        <v>Dept. of Maintenance</v>
      </c>
      <c r="K621" s="1" t="str">
        <f>VLOOKUP(A621,[1]Sheet1!$A$2:$I$1141,9,0)</f>
        <v>Unit of Reliability Maintenance</v>
      </c>
      <c r="L621" s="1" t="str">
        <f>VLOOKUP(A621,[1]Sheet1!$A$2:$J$1141,10,0)</f>
        <v>Staff of PGO</v>
      </c>
      <c r="M621" s="2">
        <v>27958</v>
      </c>
      <c r="N621" s="1" t="s">
        <v>29</v>
      </c>
      <c r="O621" s="1" t="s">
        <v>30</v>
      </c>
      <c r="P621" s="1" t="s">
        <v>3289</v>
      </c>
      <c r="Q621" s="1" t="s">
        <v>3254</v>
      </c>
      <c r="R621" s="1" t="s">
        <v>3255</v>
      </c>
      <c r="S621" s="1" t="s">
        <v>3112</v>
      </c>
      <c r="T621" s="14">
        <v>48427</v>
      </c>
      <c r="U621" s="1" t="s">
        <v>3290</v>
      </c>
      <c r="V621" s="1" t="s">
        <v>36</v>
      </c>
      <c r="W621" s="3" t="str">
        <f t="shared" si="9"/>
        <v>50 tahun</v>
      </c>
      <c r="X621" s="1" t="s">
        <v>2475</v>
      </c>
      <c r="Y621" s="1" t="s">
        <v>56</v>
      </c>
      <c r="Z621" s="2">
        <v>37469</v>
      </c>
      <c r="AA621" s="2">
        <v>38718</v>
      </c>
      <c r="AB621" s="2" t="s">
        <v>3291</v>
      </c>
    </row>
    <row r="622" spans="1:28" x14ac:dyDescent="0.35">
      <c r="A622" s="12">
        <v>4691</v>
      </c>
      <c r="B622" s="12">
        <v>7106298</v>
      </c>
      <c r="C622" s="12" t="s">
        <v>219</v>
      </c>
      <c r="D622" s="12">
        <v>50047836</v>
      </c>
      <c r="E622" s="1" t="s">
        <v>3292</v>
      </c>
      <c r="F622" s="1" t="str">
        <f>VLOOKUP(A622,[1]Sheet1!$A$2:$E$1141,5,0)</f>
        <v>PGO Jr Officer</v>
      </c>
      <c r="G622" s="17" t="str">
        <f>VLOOKUP(A622,[1]Sheet1!$A$2:$F$1141,6,0)</f>
        <v>Supervisor</v>
      </c>
      <c r="H622" s="1" t="s">
        <v>3108</v>
      </c>
      <c r="I622" s="1" t="s">
        <v>1117</v>
      </c>
      <c r="J622" s="1" t="str">
        <f>VLOOKUP(A622,[1]Sheet1!$A$2:$H$1141,8,0)</f>
        <v>Dept. of Maintenance</v>
      </c>
      <c r="K622" s="1" t="str">
        <f>VLOOKUP(A622,[1]Sheet1!$A$2:$I$1141,9,0)</f>
        <v>Unit of Reliability Maintenance</v>
      </c>
      <c r="L622" s="1" t="str">
        <f>VLOOKUP(A622,[1]Sheet1!$A$2:$J$1141,10,0)</f>
        <v>Staff of PGO</v>
      </c>
      <c r="M622" s="2">
        <v>25968</v>
      </c>
      <c r="N622" s="1" t="s">
        <v>29</v>
      </c>
      <c r="O622" s="1" t="s">
        <v>30</v>
      </c>
      <c r="P622" s="1" t="s">
        <v>3293</v>
      </c>
      <c r="Q622" s="1" t="s">
        <v>3254</v>
      </c>
      <c r="R622" s="1" t="s">
        <v>3255</v>
      </c>
      <c r="S622" s="1" t="s">
        <v>3112</v>
      </c>
      <c r="T622" s="14">
        <v>46447</v>
      </c>
      <c r="U622" s="1" t="s">
        <v>3294</v>
      </c>
      <c r="V622" s="1" t="s">
        <v>36</v>
      </c>
      <c r="W622" s="3" t="str">
        <f t="shared" si="9"/>
        <v>55 tahun</v>
      </c>
      <c r="X622" s="1" t="s">
        <v>121</v>
      </c>
      <c r="Y622" s="1" t="s">
        <v>56</v>
      </c>
      <c r="Z622" s="2">
        <v>38718</v>
      </c>
      <c r="AA622" s="2">
        <v>41030</v>
      </c>
      <c r="AB622" s="2" t="s">
        <v>3295</v>
      </c>
    </row>
    <row r="623" spans="1:28" x14ac:dyDescent="0.35">
      <c r="A623" s="12">
        <v>4778</v>
      </c>
      <c r="B623" s="12">
        <v>7102178</v>
      </c>
      <c r="C623" s="12" t="s">
        <v>164</v>
      </c>
      <c r="D623" s="12">
        <v>50047839</v>
      </c>
      <c r="E623" s="1" t="s">
        <v>3296</v>
      </c>
      <c r="F623" s="1" t="str">
        <f>VLOOKUP(A623,[1]Sheet1!$A$2:$E$1141,5,0)</f>
        <v>PGO Jr Officer</v>
      </c>
      <c r="G623" s="17" t="str">
        <f>VLOOKUP(A623,[1]Sheet1!$A$2:$F$1141,6,0)</f>
        <v>Supervisor</v>
      </c>
      <c r="H623" s="1" t="s">
        <v>3108</v>
      </c>
      <c r="I623" s="1" t="s">
        <v>1117</v>
      </c>
      <c r="J623" s="1" t="str">
        <f>VLOOKUP(A623,[1]Sheet1!$A$2:$H$1141,8,0)</f>
        <v>Dept. of Maintenance</v>
      </c>
      <c r="K623" s="1" t="str">
        <f>VLOOKUP(A623,[1]Sheet1!$A$2:$I$1141,9,0)</f>
        <v>Unit of Reliability Maintenance</v>
      </c>
      <c r="L623" s="1" t="str">
        <f>VLOOKUP(A623,[1]Sheet1!$A$2:$J$1141,10,0)</f>
        <v>Staff of PGO</v>
      </c>
      <c r="M623" s="2">
        <v>26191</v>
      </c>
      <c r="N623" s="1" t="s">
        <v>29</v>
      </c>
      <c r="O623" s="1" t="s">
        <v>30</v>
      </c>
      <c r="P623" s="1" t="s">
        <v>3297</v>
      </c>
      <c r="Q623" s="1" t="s">
        <v>3254</v>
      </c>
      <c r="R623" s="1" t="s">
        <v>3255</v>
      </c>
      <c r="S623" s="1" t="s">
        <v>3112</v>
      </c>
      <c r="T623" s="14">
        <v>46661</v>
      </c>
      <c r="U623" s="1" t="s">
        <v>3298</v>
      </c>
      <c r="V623" s="1" t="s">
        <v>36</v>
      </c>
      <c r="W623" s="3" t="str">
        <f t="shared" si="9"/>
        <v>54 tahun</v>
      </c>
      <c r="X623" s="1" t="s">
        <v>600</v>
      </c>
      <c r="Y623" s="1" t="s">
        <v>56</v>
      </c>
      <c r="Z623" s="2">
        <v>37469</v>
      </c>
      <c r="AA623" s="2">
        <v>38718</v>
      </c>
      <c r="AB623" s="2" t="s">
        <v>84</v>
      </c>
    </row>
    <row r="624" spans="1:28" x14ac:dyDescent="0.35">
      <c r="A624" s="12">
        <v>4663</v>
      </c>
      <c r="B624" s="12">
        <v>7606505</v>
      </c>
      <c r="C624" s="12" t="s">
        <v>219</v>
      </c>
      <c r="D624" s="12">
        <v>50047840</v>
      </c>
      <c r="E624" s="1" t="s">
        <v>3299</v>
      </c>
      <c r="F624" s="1" t="str">
        <f>VLOOKUP(A624,[1]Sheet1!$A$2:$E$1141,5,0)</f>
        <v>PGO Jr Officer</v>
      </c>
      <c r="G624" s="17" t="str">
        <f>VLOOKUP(A624,[1]Sheet1!$A$2:$F$1141,6,0)</f>
        <v>Supervisor</v>
      </c>
      <c r="H624" s="1" t="s">
        <v>3108</v>
      </c>
      <c r="I624" s="1" t="s">
        <v>1117</v>
      </c>
      <c r="J624" s="1" t="str">
        <f>VLOOKUP(A624,[1]Sheet1!$A$2:$H$1141,8,0)</f>
        <v>Dept. of Maintenance</v>
      </c>
      <c r="K624" s="1" t="str">
        <f>VLOOKUP(A624,[1]Sheet1!$A$2:$I$1141,9,0)</f>
        <v>Unit of Reliability Maintenance</v>
      </c>
      <c r="L624" s="1" t="str">
        <f>VLOOKUP(A624,[1]Sheet1!$A$2:$J$1141,10,0)</f>
        <v>Staff of PGO</v>
      </c>
      <c r="M624" s="2">
        <v>27989</v>
      </c>
      <c r="N624" s="1" t="s">
        <v>29</v>
      </c>
      <c r="O624" s="1" t="s">
        <v>30</v>
      </c>
      <c r="P624" s="1" t="s">
        <v>3300</v>
      </c>
      <c r="Q624" s="1" t="s">
        <v>3254</v>
      </c>
      <c r="R624" s="1" t="s">
        <v>3255</v>
      </c>
      <c r="S624" s="1" t="s">
        <v>3112</v>
      </c>
      <c r="T624" s="14">
        <v>48458</v>
      </c>
      <c r="U624" s="1" t="s">
        <v>3301</v>
      </c>
      <c r="V624" s="1" t="s">
        <v>36</v>
      </c>
      <c r="W624" s="3" t="str">
        <f t="shared" si="9"/>
        <v>50 tahun</v>
      </c>
      <c r="X624" s="1" t="s">
        <v>3302</v>
      </c>
      <c r="Y624" s="1" t="s">
        <v>56</v>
      </c>
      <c r="Z624" s="2">
        <v>38718</v>
      </c>
      <c r="AA624" s="2">
        <v>41030</v>
      </c>
      <c r="AB624" s="2" t="s">
        <v>3303</v>
      </c>
    </row>
    <row r="625" spans="1:28" x14ac:dyDescent="0.35">
      <c r="A625" s="12">
        <v>6108</v>
      </c>
      <c r="B625" s="12">
        <v>9012277</v>
      </c>
      <c r="C625" s="12" t="s">
        <v>103</v>
      </c>
      <c r="D625" s="12">
        <v>50047841</v>
      </c>
      <c r="E625" s="1" t="s">
        <v>3304</v>
      </c>
      <c r="F625" s="1" t="str">
        <f>VLOOKUP(A625,[1]Sheet1!$A$2:$E$1141,5,0)</f>
        <v>PGO Jr Officer</v>
      </c>
      <c r="G625" s="17" t="str">
        <f>VLOOKUP(A625,[1]Sheet1!$A$2:$F$1141,6,0)</f>
        <v>Supervisor</v>
      </c>
      <c r="H625" s="1" t="s">
        <v>3108</v>
      </c>
      <c r="I625" s="1" t="s">
        <v>1117</v>
      </c>
      <c r="J625" s="1" t="str">
        <f>VLOOKUP(A625,[1]Sheet1!$A$2:$H$1141,8,0)</f>
        <v>Dept. of Maintenance</v>
      </c>
      <c r="K625" s="1" t="str">
        <f>VLOOKUP(A625,[1]Sheet1!$A$2:$I$1141,9,0)</f>
        <v>Unit of Reliability Maintenance</v>
      </c>
      <c r="L625" s="1" t="str">
        <f>VLOOKUP(A625,[1]Sheet1!$A$2:$J$1141,10,0)</f>
        <v>Staff of PGO</v>
      </c>
      <c r="M625" s="2">
        <v>33083</v>
      </c>
      <c r="N625" s="1" t="s">
        <v>29</v>
      </c>
      <c r="O625" s="1" t="s">
        <v>30</v>
      </c>
      <c r="P625" s="1" t="s">
        <v>3305</v>
      </c>
      <c r="Q625" s="1" t="s">
        <v>3254</v>
      </c>
      <c r="R625" s="1" t="s">
        <v>3255</v>
      </c>
      <c r="S625" s="1" t="s">
        <v>3112</v>
      </c>
      <c r="T625" s="14">
        <v>53540</v>
      </c>
      <c r="U625" s="1" t="s">
        <v>3306</v>
      </c>
      <c r="V625" s="1" t="s">
        <v>36</v>
      </c>
      <c r="W625" s="3" t="str">
        <f t="shared" si="9"/>
        <v>36 tahun</v>
      </c>
      <c r="X625" s="1" t="s">
        <v>55</v>
      </c>
      <c r="Y625" s="1" t="s">
        <v>68</v>
      </c>
      <c r="Z625" s="2">
        <v>41275</v>
      </c>
      <c r="AA625" s="2">
        <v>41395</v>
      </c>
      <c r="AB625" s="2" t="s">
        <v>3307</v>
      </c>
    </row>
    <row r="626" spans="1:28" x14ac:dyDescent="0.35">
      <c r="A626" s="12">
        <v>5964</v>
      </c>
      <c r="B626" s="12">
        <v>8812132</v>
      </c>
      <c r="C626" s="12" t="s">
        <v>103</v>
      </c>
      <c r="D626" s="12">
        <v>50047842</v>
      </c>
      <c r="E626" s="1" t="s">
        <v>3308</v>
      </c>
      <c r="F626" s="1" t="str">
        <f>VLOOKUP(A626,[1]Sheet1!$A$2:$E$1141,5,0)</f>
        <v>PGO Jr Officer</v>
      </c>
      <c r="G626" s="17" t="str">
        <f>VLOOKUP(A626,[1]Sheet1!$A$2:$F$1141,6,0)</f>
        <v>Supervisor</v>
      </c>
      <c r="H626" s="1" t="s">
        <v>3108</v>
      </c>
      <c r="I626" s="1" t="s">
        <v>1117</v>
      </c>
      <c r="J626" s="1" t="str">
        <f>VLOOKUP(A626,[1]Sheet1!$A$2:$H$1141,8,0)</f>
        <v>Dept. of Maintenance</v>
      </c>
      <c r="K626" s="1" t="str">
        <f>VLOOKUP(A626,[1]Sheet1!$A$2:$I$1141,9,0)</f>
        <v>Unit of Reliability Maintenance</v>
      </c>
      <c r="L626" s="1" t="str">
        <f>VLOOKUP(A626,[1]Sheet1!$A$2:$J$1141,10,0)</f>
        <v>Staff of PGO</v>
      </c>
      <c r="M626" s="2">
        <v>32335</v>
      </c>
      <c r="N626" s="1" t="s">
        <v>29</v>
      </c>
      <c r="O626" s="1" t="s">
        <v>30</v>
      </c>
      <c r="P626" s="1" t="s">
        <v>3309</v>
      </c>
      <c r="Q626" s="1" t="s">
        <v>3254</v>
      </c>
      <c r="R626" s="1" t="s">
        <v>3255</v>
      </c>
      <c r="S626" s="1" t="s">
        <v>3112</v>
      </c>
      <c r="T626" s="14">
        <v>52810</v>
      </c>
      <c r="U626" s="1" t="s">
        <v>3310</v>
      </c>
      <c r="V626" s="1" t="s">
        <v>36</v>
      </c>
      <c r="W626" s="3" t="str">
        <f t="shared" si="9"/>
        <v>38 tahun</v>
      </c>
      <c r="X626" s="1" t="s">
        <v>55</v>
      </c>
      <c r="Y626" s="1" t="s">
        <v>56</v>
      </c>
      <c r="Z626" s="2">
        <v>41275</v>
      </c>
      <c r="AA626" s="2">
        <v>41426</v>
      </c>
      <c r="AB626" s="2" t="s">
        <v>3311</v>
      </c>
    </row>
    <row r="627" spans="1:28" x14ac:dyDescent="0.35">
      <c r="A627" s="12">
        <v>5107</v>
      </c>
      <c r="B627" s="12">
        <v>7502262</v>
      </c>
      <c r="C627" s="12" t="s">
        <v>164</v>
      </c>
      <c r="D627" s="12">
        <v>50047844</v>
      </c>
      <c r="E627" s="1" t="s">
        <v>3312</v>
      </c>
      <c r="F627" s="1" t="str">
        <f>VLOOKUP(A627,[1]Sheet1!$A$2:$E$1141,5,0)</f>
        <v>PGO Jr Officer</v>
      </c>
      <c r="G627" s="17" t="str">
        <f>VLOOKUP(A627,[1]Sheet1!$A$2:$F$1141,6,0)</f>
        <v>Supervisor</v>
      </c>
      <c r="H627" s="1" t="s">
        <v>3108</v>
      </c>
      <c r="I627" s="1" t="s">
        <v>1117</v>
      </c>
      <c r="J627" s="1" t="str">
        <f>VLOOKUP(A627,[1]Sheet1!$A$2:$H$1141,8,0)</f>
        <v>Dept. of Maintenance</v>
      </c>
      <c r="K627" s="1" t="str">
        <f>VLOOKUP(A627,[1]Sheet1!$A$2:$I$1141,9,0)</f>
        <v>Unit of Reliability Maintenance</v>
      </c>
      <c r="L627" s="1" t="str">
        <f>VLOOKUP(A627,[1]Sheet1!$A$2:$J$1141,10,0)</f>
        <v>Staff of PGO</v>
      </c>
      <c r="M627" s="2">
        <v>27427</v>
      </c>
      <c r="N627" s="1" t="s">
        <v>29</v>
      </c>
      <c r="O627" s="1" t="s">
        <v>30</v>
      </c>
      <c r="P627" s="1" t="s">
        <v>3313</v>
      </c>
      <c r="Q627" s="1" t="s">
        <v>3254</v>
      </c>
      <c r="R627" s="1" t="s">
        <v>3255</v>
      </c>
      <c r="S627" s="1" t="s">
        <v>3112</v>
      </c>
      <c r="T627" s="14">
        <v>47908</v>
      </c>
      <c r="U627" s="1" t="s">
        <v>3314</v>
      </c>
      <c r="V627" s="1" t="s">
        <v>36</v>
      </c>
      <c r="W627" s="3" t="str">
        <f t="shared" si="9"/>
        <v>51 tahun</v>
      </c>
      <c r="X627" s="1" t="s">
        <v>137</v>
      </c>
      <c r="Y627" s="1" t="s">
        <v>48</v>
      </c>
      <c r="Z627" s="2">
        <v>37469</v>
      </c>
      <c r="AA627" s="2">
        <v>38718</v>
      </c>
      <c r="AB627" s="2" t="s">
        <v>3315</v>
      </c>
    </row>
    <row r="628" spans="1:28" x14ac:dyDescent="0.35">
      <c r="A628" s="12">
        <v>5905</v>
      </c>
      <c r="B628" s="12">
        <v>8712072</v>
      </c>
      <c r="C628" s="12" t="s">
        <v>103</v>
      </c>
      <c r="D628" s="12">
        <v>50047843</v>
      </c>
      <c r="E628" s="1" t="s">
        <v>3316</v>
      </c>
      <c r="F628" s="1" t="str">
        <f>VLOOKUP(A628,[1]Sheet1!$A$2:$E$1141,5,0)</f>
        <v>PGO Jr Officer</v>
      </c>
      <c r="G628" s="17" t="str">
        <f>VLOOKUP(A628,[1]Sheet1!$A$2:$F$1141,6,0)</f>
        <v>Supervisor</v>
      </c>
      <c r="H628" s="1" t="s">
        <v>3108</v>
      </c>
      <c r="I628" s="1" t="s">
        <v>1117</v>
      </c>
      <c r="J628" s="1" t="str">
        <f>VLOOKUP(A628,[1]Sheet1!$A$2:$H$1141,8,0)</f>
        <v>Dept. of Maintenance</v>
      </c>
      <c r="K628" s="1" t="str">
        <f>VLOOKUP(A628,[1]Sheet1!$A$2:$I$1141,9,0)</f>
        <v>Unit of Reliability Maintenance</v>
      </c>
      <c r="L628" s="1" t="str">
        <f>VLOOKUP(A628,[1]Sheet1!$A$2:$J$1141,10,0)</f>
        <v>Staff of PGO</v>
      </c>
      <c r="M628" s="2">
        <v>31830</v>
      </c>
      <c r="N628" s="1" t="s">
        <v>29</v>
      </c>
      <c r="O628" s="1" t="s">
        <v>30</v>
      </c>
      <c r="P628" s="1" t="s">
        <v>3317</v>
      </c>
      <c r="Q628" s="1" t="s">
        <v>3254</v>
      </c>
      <c r="R628" s="1" t="s">
        <v>3255</v>
      </c>
      <c r="S628" s="1" t="s">
        <v>3112</v>
      </c>
      <c r="T628" s="14">
        <v>52291</v>
      </c>
      <c r="U628" s="1" t="s">
        <v>3318</v>
      </c>
      <c r="V628" s="1" t="s">
        <v>36</v>
      </c>
      <c r="W628" s="3" t="str">
        <f t="shared" si="9"/>
        <v>39 tahun</v>
      </c>
      <c r="X628" s="1" t="s">
        <v>204</v>
      </c>
      <c r="Y628" s="1" t="s">
        <v>56</v>
      </c>
      <c r="Z628" s="2">
        <v>41275</v>
      </c>
      <c r="AA628" s="2">
        <v>41487</v>
      </c>
      <c r="AB628" s="2" t="s">
        <v>3319</v>
      </c>
    </row>
    <row r="629" spans="1:28" x14ac:dyDescent="0.35">
      <c r="A629" s="12">
        <v>5364</v>
      </c>
      <c r="B629" s="12">
        <v>8610039</v>
      </c>
      <c r="C629" s="12" t="s">
        <v>139</v>
      </c>
      <c r="D629" s="12">
        <v>50066247</v>
      </c>
      <c r="E629" s="16" t="s">
        <v>3320</v>
      </c>
      <c r="F629" s="1" t="str">
        <f>VLOOKUP(A629,[1]Sheet1!$A$2:$E$1141,5,0)</f>
        <v>Planning &amp; Scheduling Officer</v>
      </c>
      <c r="G629" s="16" t="str">
        <f>VLOOKUP(A629,[1]Sheet1!$A$2:$F$1141,6,0)</f>
        <v>Manager</v>
      </c>
      <c r="H629" s="1" t="s">
        <v>3108</v>
      </c>
      <c r="I629" s="1" t="s">
        <v>1117</v>
      </c>
      <c r="J629" s="1" t="str">
        <f>VLOOKUP(A629,[1]Sheet1!$A$2:$H$1141,8,0)</f>
        <v>Dept. of Maintenance</v>
      </c>
      <c r="K629" s="1" t="str">
        <f>VLOOKUP(A629,[1]Sheet1!$A$2:$I$1141,9,0)</f>
        <v>Unit of Reliability Maintenance</v>
      </c>
      <c r="L629" s="1" t="str">
        <f>VLOOKUP(A629,[1]Sheet1!$A$2:$J$1141,10,0)</f>
        <v>Staff of Planning &amp; Scheduling</v>
      </c>
      <c r="M629" s="2">
        <v>31416</v>
      </c>
      <c r="N629" s="1" t="s">
        <v>29</v>
      </c>
      <c r="O629" s="1" t="s">
        <v>30</v>
      </c>
      <c r="P629" s="1" t="s">
        <v>3321</v>
      </c>
      <c r="Q629" s="1" t="s">
        <v>3322</v>
      </c>
      <c r="R629" s="1" t="s">
        <v>3323</v>
      </c>
      <c r="S629" s="1" t="s">
        <v>3112</v>
      </c>
      <c r="T629" s="14">
        <v>51898</v>
      </c>
      <c r="U629" s="1" t="s">
        <v>3324</v>
      </c>
      <c r="V629" s="1" t="s">
        <v>36</v>
      </c>
      <c r="W629" s="3" t="str">
        <f t="shared" si="9"/>
        <v>40 tahun</v>
      </c>
      <c r="X629" s="1" t="s">
        <v>3325</v>
      </c>
      <c r="Y629" s="1" t="s">
        <v>38</v>
      </c>
      <c r="Z629" s="2">
        <v>40544</v>
      </c>
      <c r="AA629" s="2">
        <v>40664</v>
      </c>
      <c r="AB629" s="2" t="s">
        <v>3326</v>
      </c>
    </row>
    <row r="630" spans="1:28" x14ac:dyDescent="0.35">
      <c r="A630" s="12">
        <v>6187</v>
      </c>
      <c r="B630" s="12">
        <v>9112353</v>
      </c>
      <c r="C630" s="12" t="s">
        <v>103</v>
      </c>
      <c r="D630" s="12">
        <v>50066254</v>
      </c>
      <c r="E630" s="1" t="s">
        <v>3327</v>
      </c>
      <c r="F630" s="1" t="str">
        <f>VLOOKUP(A630,[1]Sheet1!$A$2:$E$1141,5,0)</f>
        <v>Planning &amp; Scheduling Jr Officer</v>
      </c>
      <c r="G630" s="17" t="str">
        <f>VLOOKUP(A630,[1]Sheet1!$A$2:$F$1141,6,0)</f>
        <v>Supervisor</v>
      </c>
      <c r="H630" s="1" t="s">
        <v>3108</v>
      </c>
      <c r="I630" s="1" t="s">
        <v>1117</v>
      </c>
      <c r="J630" s="1" t="str">
        <f>VLOOKUP(A630,[1]Sheet1!$A$2:$H$1141,8,0)</f>
        <v>Dept. of Maintenance</v>
      </c>
      <c r="K630" s="1" t="str">
        <f>VLOOKUP(A630,[1]Sheet1!$A$2:$I$1141,9,0)</f>
        <v>Unit of Reliability Maintenance</v>
      </c>
      <c r="L630" s="1" t="str">
        <f>VLOOKUP(A630,[1]Sheet1!$A$2:$J$1141,10,0)</f>
        <v>Staff of Planning &amp; Scheduling</v>
      </c>
      <c r="M630" s="2">
        <v>33418</v>
      </c>
      <c r="N630" s="1" t="s">
        <v>29</v>
      </c>
      <c r="O630" s="1" t="s">
        <v>30</v>
      </c>
      <c r="P630" s="1" t="s">
        <v>3328</v>
      </c>
      <c r="Q630" s="1" t="s">
        <v>3322</v>
      </c>
      <c r="R630" s="1" t="s">
        <v>3323</v>
      </c>
      <c r="S630" s="1" t="s">
        <v>3112</v>
      </c>
      <c r="T630" s="14">
        <v>53874</v>
      </c>
      <c r="U630" s="1" t="s">
        <v>3329</v>
      </c>
      <c r="V630" s="1" t="s">
        <v>36</v>
      </c>
      <c r="W630" s="3" t="str">
        <f t="shared" si="9"/>
        <v>35 tahun</v>
      </c>
      <c r="X630" s="1" t="s">
        <v>356</v>
      </c>
      <c r="Y630" s="1" t="s">
        <v>56</v>
      </c>
      <c r="Z630" s="2">
        <v>41275</v>
      </c>
      <c r="AA630" s="2">
        <v>41426</v>
      </c>
      <c r="AB630" s="2" t="s">
        <v>3330</v>
      </c>
    </row>
    <row r="631" spans="1:28" x14ac:dyDescent="0.35">
      <c r="A631" s="12">
        <v>5313</v>
      </c>
      <c r="B631" s="12">
        <v>8408064</v>
      </c>
      <c r="C631" s="12" t="s">
        <v>25</v>
      </c>
      <c r="D631" s="12">
        <v>50066255</v>
      </c>
      <c r="E631" s="1" t="s">
        <v>3331</v>
      </c>
      <c r="F631" s="1" t="str">
        <f>VLOOKUP(A631,[1]Sheet1!$A$2:$E$1141,5,0)</f>
        <v>Planning &amp; Scheduling Jr Officer</v>
      </c>
      <c r="G631" s="17" t="str">
        <f>VLOOKUP(A631,[1]Sheet1!$A$2:$F$1141,6,0)</f>
        <v>Supervisor</v>
      </c>
      <c r="H631" s="1" t="s">
        <v>3108</v>
      </c>
      <c r="I631" s="1" t="s">
        <v>1117</v>
      </c>
      <c r="J631" s="1" t="str">
        <f>VLOOKUP(A631,[1]Sheet1!$A$2:$H$1141,8,0)</f>
        <v>Dept. of Maintenance</v>
      </c>
      <c r="K631" s="1" t="str">
        <f>VLOOKUP(A631,[1]Sheet1!$A$2:$I$1141,9,0)</f>
        <v>Unit of Reliability Maintenance</v>
      </c>
      <c r="L631" s="1" t="str">
        <f>VLOOKUP(A631,[1]Sheet1!$A$2:$J$1141,10,0)</f>
        <v>Staff of Planning &amp; Scheduling</v>
      </c>
      <c r="M631" s="2">
        <v>30809</v>
      </c>
      <c r="N631" s="1" t="s">
        <v>29</v>
      </c>
      <c r="O631" s="1" t="s">
        <v>30</v>
      </c>
      <c r="P631" s="1" t="s">
        <v>3332</v>
      </c>
      <c r="Q631" s="1" t="s">
        <v>3322</v>
      </c>
      <c r="R631" s="1" t="s">
        <v>3323</v>
      </c>
      <c r="S631" s="1" t="s">
        <v>3112</v>
      </c>
      <c r="T631" s="14">
        <v>51288</v>
      </c>
      <c r="U631" s="1" t="s">
        <v>3333</v>
      </c>
      <c r="V631" s="1" t="s">
        <v>36</v>
      </c>
      <c r="W631" s="3" t="str">
        <f t="shared" si="9"/>
        <v>42 tahun</v>
      </c>
      <c r="X631" s="1" t="s">
        <v>3334</v>
      </c>
      <c r="Y631" s="1" t="s">
        <v>68</v>
      </c>
      <c r="Z631" s="2">
        <v>39814</v>
      </c>
      <c r="AA631" s="2">
        <v>39934</v>
      </c>
      <c r="AB631" s="2" t="s">
        <v>3335</v>
      </c>
    </row>
    <row r="632" spans="1:28" x14ac:dyDescent="0.35">
      <c r="A632" s="12">
        <v>6070</v>
      </c>
      <c r="B632" s="12">
        <v>9012237</v>
      </c>
      <c r="C632" s="12" t="s">
        <v>103</v>
      </c>
      <c r="D632" s="12">
        <v>50066256</v>
      </c>
      <c r="E632" s="1" t="s">
        <v>3336</v>
      </c>
      <c r="F632" s="1" t="str">
        <f>VLOOKUP(A632,[1]Sheet1!$A$2:$E$1141,5,0)</f>
        <v>Planning &amp; Scheduling Jr Officer</v>
      </c>
      <c r="G632" s="17" t="str">
        <f>VLOOKUP(A632,[1]Sheet1!$A$2:$F$1141,6,0)</f>
        <v>Supervisor</v>
      </c>
      <c r="H632" s="1" t="s">
        <v>3108</v>
      </c>
      <c r="I632" s="1" t="s">
        <v>1117</v>
      </c>
      <c r="J632" s="1" t="str">
        <f>VLOOKUP(A632,[1]Sheet1!$A$2:$H$1141,8,0)</f>
        <v>Dept. of Maintenance</v>
      </c>
      <c r="K632" s="1" t="str">
        <f>VLOOKUP(A632,[1]Sheet1!$A$2:$I$1141,9,0)</f>
        <v>Unit of Reliability Maintenance</v>
      </c>
      <c r="L632" s="1" t="str">
        <f>VLOOKUP(A632,[1]Sheet1!$A$2:$J$1141,10,0)</f>
        <v>Staff of Planning &amp; Scheduling</v>
      </c>
      <c r="M632" s="2">
        <v>32902</v>
      </c>
      <c r="N632" s="1" t="s">
        <v>29</v>
      </c>
      <c r="O632" s="1" t="s">
        <v>30</v>
      </c>
      <c r="P632" s="1" t="s">
        <v>3337</v>
      </c>
      <c r="Q632" s="1" t="s">
        <v>3322</v>
      </c>
      <c r="R632" s="1" t="s">
        <v>3323</v>
      </c>
      <c r="S632" s="1" t="s">
        <v>3112</v>
      </c>
      <c r="T632" s="14">
        <v>53359</v>
      </c>
      <c r="U632" s="1" t="s">
        <v>3338</v>
      </c>
      <c r="V632" s="1" t="s">
        <v>36</v>
      </c>
      <c r="W632" s="3" t="str">
        <f t="shared" si="9"/>
        <v>36 tahun</v>
      </c>
      <c r="X632" s="1" t="s">
        <v>55</v>
      </c>
      <c r="Y632" s="1" t="s">
        <v>48</v>
      </c>
      <c r="Z632" s="2">
        <v>41275</v>
      </c>
      <c r="AA632" s="2">
        <v>41395</v>
      </c>
      <c r="AB632" s="2" t="s">
        <v>3339</v>
      </c>
    </row>
    <row r="633" spans="1:28" x14ac:dyDescent="0.35">
      <c r="A633" s="12">
        <v>5962</v>
      </c>
      <c r="B633" s="12">
        <v>8812129</v>
      </c>
      <c r="C633" s="12" t="s">
        <v>103</v>
      </c>
      <c r="D633" s="12">
        <v>50066449</v>
      </c>
      <c r="E633" s="1" t="s">
        <v>3340</v>
      </c>
      <c r="F633" s="1" t="str">
        <f>VLOOKUP(A633,[1]Sheet1!$A$2:$E$1141,5,0)</f>
        <v>Planning &amp; Scheduling Jr Officer</v>
      </c>
      <c r="G633" s="17" t="str">
        <f>VLOOKUP(A633,[1]Sheet1!$A$2:$F$1141,6,0)</f>
        <v>Supervisor</v>
      </c>
      <c r="H633" s="1" t="s">
        <v>3108</v>
      </c>
      <c r="I633" s="1" t="s">
        <v>1117</v>
      </c>
      <c r="J633" s="1" t="str">
        <f>VLOOKUP(A633,[1]Sheet1!$A$2:$H$1141,8,0)</f>
        <v>Dept. of Maintenance</v>
      </c>
      <c r="K633" s="1" t="str">
        <f>VLOOKUP(A633,[1]Sheet1!$A$2:$I$1141,9,0)</f>
        <v>Unit of Reliability Maintenance</v>
      </c>
      <c r="L633" s="1" t="str">
        <f>VLOOKUP(A633,[1]Sheet1!$A$2:$J$1141,10,0)</f>
        <v>Staff of Planning &amp; Scheduling</v>
      </c>
      <c r="M633" s="2">
        <v>32316</v>
      </c>
      <c r="N633" s="1" t="s">
        <v>29</v>
      </c>
      <c r="O633" s="1" t="s">
        <v>30</v>
      </c>
      <c r="P633" s="1" t="s">
        <v>3341</v>
      </c>
      <c r="Q633" s="1" t="s">
        <v>3322</v>
      </c>
      <c r="R633" s="1" t="s">
        <v>3323</v>
      </c>
      <c r="S633" s="1" t="s">
        <v>3112</v>
      </c>
      <c r="T633" s="14">
        <v>52779</v>
      </c>
      <c r="U633" s="1" t="s">
        <v>3342</v>
      </c>
      <c r="V633" s="1" t="s">
        <v>36</v>
      </c>
      <c r="W633" s="3" t="str">
        <f t="shared" si="9"/>
        <v>38 tahun</v>
      </c>
      <c r="X633" s="1" t="s">
        <v>2961</v>
      </c>
      <c r="Y633" s="1" t="s">
        <v>48</v>
      </c>
      <c r="Z633" s="2">
        <v>41275</v>
      </c>
      <c r="AA633" s="2">
        <v>41426</v>
      </c>
      <c r="AB633" s="2" t="s">
        <v>3343</v>
      </c>
    </row>
    <row r="634" spans="1:28" x14ac:dyDescent="0.35">
      <c r="A634" s="12">
        <v>5942</v>
      </c>
      <c r="B634" s="12">
        <v>8712108</v>
      </c>
      <c r="C634" s="12" t="s">
        <v>103</v>
      </c>
      <c r="D634" s="12">
        <v>50066475</v>
      </c>
      <c r="E634" s="1" t="s">
        <v>3344</v>
      </c>
      <c r="F634" s="1" t="str">
        <f>VLOOKUP(A634,[1]Sheet1!$A$2:$E$1141,5,0)</f>
        <v>Planning &amp; Scheduling Jr Officer</v>
      </c>
      <c r="G634" s="17" t="str">
        <f>VLOOKUP(A634,[1]Sheet1!$A$2:$F$1141,6,0)</f>
        <v>Supervisor</v>
      </c>
      <c r="H634" s="1" t="s">
        <v>3108</v>
      </c>
      <c r="I634" s="1" t="s">
        <v>1117</v>
      </c>
      <c r="J634" s="1" t="str">
        <f>VLOOKUP(A634,[1]Sheet1!$A$2:$H$1141,8,0)</f>
        <v>Dept. of Maintenance</v>
      </c>
      <c r="K634" s="1" t="str">
        <f>VLOOKUP(A634,[1]Sheet1!$A$2:$I$1141,9,0)</f>
        <v>Unit of Reliability Maintenance</v>
      </c>
      <c r="L634" s="1" t="str">
        <f>VLOOKUP(A634,[1]Sheet1!$A$2:$J$1141,10,0)</f>
        <v>Staff of Planning &amp; Scheduling</v>
      </c>
      <c r="M634" s="2">
        <v>32077</v>
      </c>
      <c r="N634" s="1" t="s">
        <v>29</v>
      </c>
      <c r="O634" s="1" t="s">
        <v>30</v>
      </c>
      <c r="P634" s="1" t="s">
        <v>3345</v>
      </c>
      <c r="Q634" s="1" t="s">
        <v>3322</v>
      </c>
      <c r="R634" s="1" t="s">
        <v>3323</v>
      </c>
      <c r="S634" s="1" t="s">
        <v>3112</v>
      </c>
      <c r="T634" s="14">
        <v>52536</v>
      </c>
      <c r="U634" s="1" t="s">
        <v>3346</v>
      </c>
      <c r="V634" s="1" t="s">
        <v>36</v>
      </c>
      <c r="W634" s="3" t="str">
        <f t="shared" si="9"/>
        <v>38 tahun</v>
      </c>
      <c r="X634" s="1" t="s">
        <v>3347</v>
      </c>
      <c r="Y634" s="1" t="s">
        <v>48</v>
      </c>
      <c r="Z634" s="2">
        <v>41275</v>
      </c>
      <c r="AA634" s="2">
        <v>41456</v>
      </c>
      <c r="AB634" s="2" t="s">
        <v>3348</v>
      </c>
    </row>
    <row r="635" spans="1:28" x14ac:dyDescent="0.35">
      <c r="A635" s="12">
        <v>5109</v>
      </c>
      <c r="B635" s="12">
        <v>7502264</v>
      </c>
      <c r="C635" s="12" t="s">
        <v>164</v>
      </c>
      <c r="D635" s="12">
        <v>50069592</v>
      </c>
      <c r="E635" s="1" t="s">
        <v>3349</v>
      </c>
      <c r="F635" s="1" t="str">
        <f>VLOOKUP(A635,[1]Sheet1!$A$2:$E$1141,5,0)</f>
        <v>Planning &amp; Scheduling Jr Officer</v>
      </c>
      <c r="G635" s="17" t="str">
        <f>VLOOKUP(A635,[1]Sheet1!$A$2:$F$1141,6,0)</f>
        <v>Supervisor</v>
      </c>
      <c r="H635" s="1" t="s">
        <v>3108</v>
      </c>
      <c r="I635" s="1" t="s">
        <v>1117</v>
      </c>
      <c r="J635" s="1" t="str">
        <f>VLOOKUP(A635,[1]Sheet1!$A$2:$H$1141,8,0)</f>
        <v>Dept. of Maintenance</v>
      </c>
      <c r="K635" s="1" t="str">
        <f>VLOOKUP(A635,[1]Sheet1!$A$2:$I$1141,9,0)</f>
        <v>Unit of Reliability Maintenance</v>
      </c>
      <c r="L635" s="1" t="str">
        <f>VLOOKUP(A635,[1]Sheet1!$A$2:$J$1141,10,0)</f>
        <v>Staff of Planning &amp; Scheduling</v>
      </c>
      <c r="M635" s="2">
        <v>27430</v>
      </c>
      <c r="N635" s="1" t="s">
        <v>29</v>
      </c>
      <c r="O635" s="1" t="s">
        <v>30</v>
      </c>
      <c r="P635" s="1" t="s">
        <v>3350</v>
      </c>
      <c r="Q635" s="1" t="s">
        <v>3322</v>
      </c>
      <c r="R635" s="1" t="s">
        <v>3323</v>
      </c>
      <c r="S635" s="1" t="s">
        <v>3112</v>
      </c>
      <c r="T635" s="14">
        <v>47908</v>
      </c>
      <c r="U635" s="1" t="s">
        <v>3351</v>
      </c>
      <c r="V635" s="1" t="s">
        <v>186</v>
      </c>
      <c r="W635" s="3" t="str">
        <f t="shared" si="9"/>
        <v>51 tahun</v>
      </c>
      <c r="X635" s="1" t="s">
        <v>3352</v>
      </c>
      <c r="Y635" s="1" t="s">
        <v>48</v>
      </c>
      <c r="Z635" s="2">
        <v>37469</v>
      </c>
      <c r="AA635" s="2">
        <v>38718</v>
      </c>
      <c r="AB635" s="2" t="s">
        <v>3353</v>
      </c>
    </row>
    <row r="636" spans="1:28" x14ac:dyDescent="0.35">
      <c r="A636" s="12">
        <v>5323</v>
      </c>
      <c r="B636" s="12">
        <v>8408046</v>
      </c>
      <c r="C636" s="12" t="s">
        <v>25</v>
      </c>
      <c r="D636" s="12">
        <v>50069493</v>
      </c>
      <c r="E636" s="15" t="s">
        <v>3354</v>
      </c>
      <c r="F636" s="1" t="str">
        <f>VLOOKUP(A636,[1]Sheet1!$A$2:$E$1141,5,0)</f>
        <v>SM of Port Product Discharge Maintenance</v>
      </c>
      <c r="G636" s="15" t="str">
        <f>VLOOKUP(A636,[1]Sheet1!$A$2:$F$1141,6,0)</f>
        <v>Senior Manager</v>
      </c>
      <c r="H636" s="1" t="s">
        <v>3355</v>
      </c>
      <c r="I636" s="1" t="s">
        <v>1117</v>
      </c>
      <c r="J636" s="1" t="str">
        <f>VLOOKUP(A636,[1]Sheet1!$A$2:$H$1141,8,0)</f>
        <v>Dept. of Maintenance</v>
      </c>
      <c r="K636" s="1" t="str">
        <f>VLOOKUP(A636,[1]Sheet1!$A$2:$I$1141,9,0)</f>
        <v>Unit of Port Product Discharge Maint.</v>
      </c>
      <c r="L636" s="1" t="e">
        <f>VLOOKUP(A636,[1]Sheet1!$A$2:$J$1141,10,0)</f>
        <v>#REF!</v>
      </c>
      <c r="M636" s="2">
        <v>30995</v>
      </c>
      <c r="N636" s="1" t="s">
        <v>29</v>
      </c>
      <c r="O636" s="1" t="s">
        <v>30</v>
      </c>
      <c r="P636" s="1" t="s">
        <v>3356</v>
      </c>
      <c r="Q636" s="1" t="s">
        <v>3357</v>
      </c>
      <c r="R636" s="1" t="s">
        <v>3358</v>
      </c>
      <c r="S636" s="1" t="s">
        <v>3359</v>
      </c>
      <c r="T636" s="14">
        <v>51471</v>
      </c>
      <c r="U636" s="1" t="s">
        <v>3360</v>
      </c>
      <c r="V636" s="1" t="s">
        <v>36</v>
      </c>
      <c r="W636" s="3" t="str">
        <f t="shared" si="9"/>
        <v>41 tahun</v>
      </c>
      <c r="X636" s="1" t="s">
        <v>37</v>
      </c>
      <c r="Y636" s="1" t="s">
        <v>48</v>
      </c>
      <c r="Z636" s="2">
        <v>39814</v>
      </c>
      <c r="AA636" s="2">
        <v>39934</v>
      </c>
      <c r="AB636" s="2" t="s">
        <v>3361</v>
      </c>
    </row>
    <row r="637" spans="1:28" x14ac:dyDescent="0.35">
      <c r="A637" s="12">
        <v>5322</v>
      </c>
      <c r="B637" s="12">
        <v>8408070</v>
      </c>
      <c r="C637" s="12" t="s">
        <v>25</v>
      </c>
      <c r="D637" s="12">
        <v>50069563</v>
      </c>
      <c r="E637" s="1" t="s">
        <v>3362</v>
      </c>
      <c r="F637" s="1" t="str">
        <f>VLOOKUP(A637,[1]Sheet1!$A$2:$E$1141,5,0)</f>
        <v>Port Maint PdM &amp; PM Schedule Jr Officer</v>
      </c>
      <c r="G637" s="17" t="str">
        <f>VLOOKUP(A637,[1]Sheet1!$A$2:$F$1141,6,0)</f>
        <v>Supervisor</v>
      </c>
      <c r="H637" s="1" t="s">
        <v>536</v>
      </c>
      <c r="I637" s="1" t="s">
        <v>537</v>
      </c>
      <c r="J637" s="1" t="str">
        <f>VLOOKUP(A637,[1]Sheet1!$A$2:$H$1141,8,0)</f>
        <v>Dept. of Maintenance</v>
      </c>
      <c r="K637" s="1" t="str">
        <f>VLOOKUP(A637,[1]Sheet1!$A$2:$I$1141,9,0)</f>
        <v>Unit of Port Product Discharge Maint.</v>
      </c>
      <c r="L637" s="1" t="e">
        <f>VLOOKUP(A637,[1]Sheet1!$A$2:$J$1141,10,0)</f>
        <v>#REF!</v>
      </c>
      <c r="M637" s="2">
        <v>30984</v>
      </c>
      <c r="N637" s="1" t="s">
        <v>29</v>
      </c>
      <c r="O637" s="1" t="s">
        <v>30</v>
      </c>
      <c r="P637" s="1" t="s">
        <v>3363</v>
      </c>
      <c r="Q637" s="1" t="s">
        <v>3364</v>
      </c>
      <c r="R637" s="1" t="s">
        <v>3365</v>
      </c>
      <c r="S637" s="1" t="s">
        <v>541</v>
      </c>
      <c r="T637" s="14">
        <v>51441</v>
      </c>
      <c r="U637" s="1" t="s">
        <v>3366</v>
      </c>
      <c r="V637" s="1" t="s">
        <v>36</v>
      </c>
      <c r="W637" s="3" t="str">
        <f t="shared" si="9"/>
        <v>41 tahun</v>
      </c>
      <c r="X637" s="1" t="s">
        <v>3367</v>
      </c>
      <c r="Y637" s="1" t="s">
        <v>48</v>
      </c>
      <c r="Z637" s="2">
        <v>39814</v>
      </c>
      <c r="AA637" s="2">
        <v>39965</v>
      </c>
      <c r="AB637" s="2" t="s">
        <v>3368</v>
      </c>
    </row>
    <row r="638" spans="1:28" x14ac:dyDescent="0.35">
      <c r="A638" s="12">
        <v>6112</v>
      </c>
      <c r="B638" s="12">
        <v>9012281</v>
      </c>
      <c r="C638" s="12" t="s">
        <v>103</v>
      </c>
      <c r="D638" s="12">
        <v>50069562</v>
      </c>
      <c r="E638" s="1" t="s">
        <v>3369</v>
      </c>
      <c r="F638" s="1" t="str">
        <f>VLOOKUP(A638,[1]Sheet1!$A$2:$E$1141,5,0)</f>
        <v>Port Maint PdM &amp; PM Schedule Jr Officer</v>
      </c>
      <c r="G638" s="17" t="str">
        <f>VLOOKUP(A638,[1]Sheet1!$A$2:$F$1141,6,0)</f>
        <v>Supervisor</v>
      </c>
      <c r="H638" s="1" t="s">
        <v>3355</v>
      </c>
      <c r="I638" s="1" t="s">
        <v>1117</v>
      </c>
      <c r="J638" s="1" t="str">
        <f>VLOOKUP(A638,[1]Sheet1!$A$2:$H$1141,8,0)</f>
        <v>Dept. of Maintenance</v>
      </c>
      <c r="K638" s="1" t="str">
        <f>VLOOKUP(A638,[1]Sheet1!$A$2:$I$1141,9,0)</f>
        <v>Unit of Port Product Discharge Maint.</v>
      </c>
      <c r="L638" s="1" t="e">
        <f>VLOOKUP(A638,[1]Sheet1!$A$2:$J$1141,10,0)</f>
        <v>#REF!</v>
      </c>
      <c r="M638" s="2">
        <v>33089</v>
      </c>
      <c r="N638" s="1" t="s">
        <v>29</v>
      </c>
      <c r="O638" s="1" t="s">
        <v>30</v>
      </c>
      <c r="P638" s="1" t="s">
        <v>3370</v>
      </c>
      <c r="Q638" s="1" t="s">
        <v>3371</v>
      </c>
      <c r="R638" s="1" t="s">
        <v>3372</v>
      </c>
      <c r="S638" s="1" t="s">
        <v>3359</v>
      </c>
      <c r="T638" s="14">
        <v>53571</v>
      </c>
      <c r="U638" s="1" t="s">
        <v>3373</v>
      </c>
      <c r="V638" s="1" t="s">
        <v>36</v>
      </c>
      <c r="W638" s="3" t="str">
        <f t="shared" si="9"/>
        <v>36 tahun</v>
      </c>
      <c r="X638" s="1" t="s">
        <v>37</v>
      </c>
      <c r="Y638" s="1" t="s">
        <v>56</v>
      </c>
      <c r="Z638" s="2">
        <v>41275</v>
      </c>
      <c r="AA638" s="2">
        <v>41456</v>
      </c>
      <c r="AB638" s="2" t="s">
        <v>3374</v>
      </c>
    </row>
    <row r="639" spans="1:28" x14ac:dyDescent="0.35">
      <c r="A639" s="12">
        <v>5222</v>
      </c>
      <c r="B639" s="12">
        <v>7702285</v>
      </c>
      <c r="C639" s="12" t="s">
        <v>164</v>
      </c>
      <c r="D639" s="12">
        <v>50069570</v>
      </c>
      <c r="E639" s="1" t="s">
        <v>3375</v>
      </c>
      <c r="F639" s="1" t="str">
        <f>VLOOKUP(A639,[1]Sheet1!$A$2:$E$1141,5,0)</f>
        <v>Spv of Troubleshooting</v>
      </c>
      <c r="G639" s="17" t="str">
        <f>VLOOKUP(A639,[1]Sheet1!$A$2:$F$1141,6,0)</f>
        <v>Supervisor</v>
      </c>
      <c r="H639" s="1" t="s">
        <v>3376</v>
      </c>
      <c r="I639" s="1" t="s">
        <v>1117</v>
      </c>
      <c r="J639" s="1" t="str">
        <f>VLOOKUP(A639,[1]Sheet1!$A$2:$H$1141,8,0)</f>
        <v>Dept. of Maintenance</v>
      </c>
      <c r="K639" s="1" t="str">
        <f>VLOOKUP(A639,[1]Sheet1!$A$2:$I$1141,9,0)</f>
        <v>Unit of Port Product Discharge Maint.</v>
      </c>
      <c r="L639" s="1" t="str">
        <f>VLOOKUP(A639,[1]Sheet1!$A$2:$J$1141,10,0)</f>
        <v>Section of Port Facility Machine Maint.</v>
      </c>
      <c r="M639" s="2">
        <v>28135</v>
      </c>
      <c r="N639" s="1" t="s">
        <v>29</v>
      </c>
      <c r="O639" s="1" t="s">
        <v>30</v>
      </c>
      <c r="P639" s="1" t="s">
        <v>3377</v>
      </c>
      <c r="Q639" s="1" t="s">
        <v>3378</v>
      </c>
      <c r="R639" s="1" t="s">
        <v>3379</v>
      </c>
      <c r="S639" s="1" t="s">
        <v>3380</v>
      </c>
      <c r="T639" s="14">
        <v>48611</v>
      </c>
      <c r="U639" s="1" t="s">
        <v>3381</v>
      </c>
      <c r="V639" s="1" t="s">
        <v>36</v>
      </c>
      <c r="W639" s="3" t="str">
        <f t="shared" si="9"/>
        <v>49 tahun</v>
      </c>
      <c r="X639" s="1" t="s">
        <v>1274</v>
      </c>
      <c r="Y639" s="1" t="s">
        <v>56</v>
      </c>
      <c r="Z639" s="2">
        <v>37469</v>
      </c>
      <c r="AA639" s="2">
        <v>38718</v>
      </c>
      <c r="AB639" s="2" t="s">
        <v>84</v>
      </c>
    </row>
    <row r="640" spans="1:28" x14ac:dyDescent="0.35">
      <c r="A640" s="12">
        <v>5030</v>
      </c>
      <c r="B640" s="12">
        <v>7402249</v>
      </c>
      <c r="C640" s="12" t="s">
        <v>164</v>
      </c>
      <c r="D640" s="12">
        <v>50069569</v>
      </c>
      <c r="E640" s="1" t="s">
        <v>3382</v>
      </c>
      <c r="F640" s="1" t="str">
        <f>VLOOKUP(A640,[1]Sheet1!$A$2:$E$1141,5,0)</f>
        <v>Spv of Troubleshooting</v>
      </c>
      <c r="G640" s="17" t="str">
        <f>VLOOKUP(A640,[1]Sheet1!$A$2:$F$1141,6,0)</f>
        <v>Supervisor</v>
      </c>
      <c r="H640" s="1" t="s">
        <v>3376</v>
      </c>
      <c r="I640" s="1" t="s">
        <v>1117</v>
      </c>
      <c r="J640" s="1" t="str">
        <f>VLOOKUP(A640,[1]Sheet1!$A$2:$H$1141,8,0)</f>
        <v>Dept. of Maintenance</v>
      </c>
      <c r="K640" s="1" t="str">
        <f>VLOOKUP(A640,[1]Sheet1!$A$2:$I$1141,9,0)</f>
        <v>Unit of Port Product Discharge Maint.</v>
      </c>
      <c r="L640" s="1" t="str">
        <f>VLOOKUP(A640,[1]Sheet1!$A$2:$J$1141,10,0)</f>
        <v>Section of Port Facility Machine Maint.</v>
      </c>
      <c r="M640" s="2">
        <v>27176</v>
      </c>
      <c r="N640" s="1" t="s">
        <v>29</v>
      </c>
      <c r="O640" s="1" t="s">
        <v>30</v>
      </c>
      <c r="P640" s="1" t="s">
        <v>3383</v>
      </c>
      <c r="Q640" s="1" t="s">
        <v>3384</v>
      </c>
      <c r="R640" s="1" t="s">
        <v>3385</v>
      </c>
      <c r="S640" s="1" t="s">
        <v>3380</v>
      </c>
      <c r="T640" s="14">
        <v>47635</v>
      </c>
      <c r="U640" s="1" t="s">
        <v>3386</v>
      </c>
      <c r="V640" s="1" t="s">
        <v>36</v>
      </c>
      <c r="W640" s="3" t="str">
        <f t="shared" si="9"/>
        <v>52 tahun</v>
      </c>
      <c r="X640" s="1" t="s">
        <v>248</v>
      </c>
      <c r="Y640" s="1" t="s">
        <v>56</v>
      </c>
      <c r="Z640" s="2">
        <v>37469</v>
      </c>
      <c r="AA640" s="2">
        <v>38718</v>
      </c>
      <c r="AB640" s="2" t="s">
        <v>3387</v>
      </c>
    </row>
    <row r="641" spans="1:28" x14ac:dyDescent="0.35">
      <c r="A641" s="12">
        <v>4945</v>
      </c>
      <c r="B641" s="12">
        <v>7395199</v>
      </c>
      <c r="C641" s="12" t="s">
        <v>50</v>
      </c>
      <c r="D641" s="12">
        <v>50069571</v>
      </c>
      <c r="E641" s="1" t="s">
        <v>3388</v>
      </c>
      <c r="F641" s="1" t="str">
        <f>VLOOKUP(A641,[1]Sheet1!$A$2:$E$1141,5,0)</f>
        <v>Spv of Troubleshooting</v>
      </c>
      <c r="G641" s="17" t="str">
        <f>VLOOKUP(A641,[1]Sheet1!$A$2:$F$1141,6,0)</f>
        <v>Supervisor</v>
      </c>
      <c r="H641" s="1" t="s">
        <v>3376</v>
      </c>
      <c r="I641" s="1" t="s">
        <v>1117</v>
      </c>
      <c r="J641" s="1" t="str">
        <f>VLOOKUP(A641,[1]Sheet1!$A$2:$H$1141,8,0)</f>
        <v>Dept. of Maintenance</v>
      </c>
      <c r="K641" s="1" t="str">
        <f>VLOOKUP(A641,[1]Sheet1!$A$2:$I$1141,9,0)</f>
        <v>Unit of Port Product Discharge Maint.</v>
      </c>
      <c r="L641" s="1" t="str">
        <f>VLOOKUP(A641,[1]Sheet1!$A$2:$J$1141,10,0)</f>
        <v>Section of Port Facility Machine Maint.</v>
      </c>
      <c r="M641" s="2">
        <v>26861</v>
      </c>
      <c r="N641" s="1" t="s">
        <v>29</v>
      </c>
      <c r="O641" s="1" t="s">
        <v>30</v>
      </c>
      <c r="P641" s="1" t="s">
        <v>3389</v>
      </c>
      <c r="Q641" s="1" t="s">
        <v>3378</v>
      </c>
      <c r="R641" s="1" t="s">
        <v>3379</v>
      </c>
      <c r="S641" s="1" t="s">
        <v>3380</v>
      </c>
      <c r="T641" s="14">
        <v>47331</v>
      </c>
      <c r="U641" s="1" t="s">
        <v>3390</v>
      </c>
      <c r="V641" s="1" t="s">
        <v>36</v>
      </c>
      <c r="W641" s="3" t="str">
        <f t="shared" si="9"/>
        <v>53 tahun</v>
      </c>
      <c r="X641" s="1" t="s">
        <v>2841</v>
      </c>
      <c r="Y641" s="1" t="s">
        <v>48</v>
      </c>
      <c r="Z641" s="2">
        <v>35002</v>
      </c>
      <c r="AA641" s="2">
        <v>35370</v>
      </c>
      <c r="AB641" s="2" t="s">
        <v>3391</v>
      </c>
    </row>
    <row r="642" spans="1:28" x14ac:dyDescent="0.35">
      <c r="A642" s="12">
        <v>5187</v>
      </c>
      <c r="B642" s="12">
        <v>7602276</v>
      </c>
      <c r="C642" s="12" t="s">
        <v>164</v>
      </c>
      <c r="D642" s="12">
        <v>50069572</v>
      </c>
      <c r="E642" s="1" t="s">
        <v>3392</v>
      </c>
      <c r="F642" s="1" t="str">
        <f>VLOOKUP(A642,[1]Sheet1!$A$2:$E$1141,5,0)</f>
        <v>Spv of Troubleshooting</v>
      </c>
      <c r="G642" s="17" t="str">
        <f>VLOOKUP(A642,[1]Sheet1!$A$2:$F$1141,6,0)</f>
        <v>Supervisor</v>
      </c>
      <c r="H642" s="1" t="s">
        <v>3376</v>
      </c>
      <c r="I642" s="1" t="s">
        <v>1117</v>
      </c>
      <c r="J642" s="1" t="str">
        <f>VLOOKUP(A642,[1]Sheet1!$A$2:$H$1141,8,0)</f>
        <v>Dept. of Maintenance</v>
      </c>
      <c r="K642" s="1" t="str">
        <f>VLOOKUP(A642,[1]Sheet1!$A$2:$I$1141,9,0)</f>
        <v>Unit of Port Product Discharge Maint.</v>
      </c>
      <c r="L642" s="1" t="str">
        <f>VLOOKUP(A642,[1]Sheet1!$A$2:$J$1141,10,0)</f>
        <v>Section of Port Facility Machine Maint.</v>
      </c>
      <c r="M642" s="2">
        <v>27827</v>
      </c>
      <c r="N642" s="1" t="s">
        <v>29</v>
      </c>
      <c r="O642" s="1" t="s">
        <v>30</v>
      </c>
      <c r="P642" s="1" t="s">
        <v>3393</v>
      </c>
      <c r="Q642" s="1" t="s">
        <v>3378</v>
      </c>
      <c r="R642" s="1" t="s">
        <v>3379</v>
      </c>
      <c r="S642" s="1" t="s">
        <v>3380</v>
      </c>
      <c r="T642" s="14">
        <v>48305</v>
      </c>
      <c r="U642" s="1" t="s">
        <v>3394</v>
      </c>
      <c r="V642" s="1" t="s">
        <v>186</v>
      </c>
      <c r="W642" s="3" t="str">
        <f t="shared" si="9"/>
        <v>50 tahun</v>
      </c>
      <c r="X642" s="1" t="s">
        <v>1146</v>
      </c>
      <c r="Y642" s="1" t="s">
        <v>56</v>
      </c>
      <c r="Z642" s="2">
        <v>37469</v>
      </c>
      <c r="AA642" s="2">
        <v>38718</v>
      </c>
      <c r="AB642" s="2" t="s">
        <v>84</v>
      </c>
    </row>
    <row r="643" spans="1:28" x14ac:dyDescent="0.35">
      <c r="A643" s="12">
        <v>4963</v>
      </c>
      <c r="B643" s="12">
        <v>7395202</v>
      </c>
      <c r="C643" s="12" t="s">
        <v>50</v>
      </c>
      <c r="D643" s="12">
        <v>50069573</v>
      </c>
      <c r="E643" s="1" t="s">
        <v>3395</v>
      </c>
      <c r="F643" s="1" t="str">
        <f>VLOOKUP(A643,[1]Sheet1!$A$2:$E$1141,5,0)</f>
        <v>Spv of Packer Port Machine Maint</v>
      </c>
      <c r="G643" s="17" t="str">
        <f>VLOOKUP(A643,[1]Sheet1!$A$2:$F$1141,6,0)</f>
        <v>Supervisor</v>
      </c>
      <c r="H643" s="1" t="s">
        <v>3376</v>
      </c>
      <c r="I643" s="1" t="s">
        <v>1117</v>
      </c>
      <c r="J643" s="1" t="str">
        <f>VLOOKUP(A643,[1]Sheet1!$A$2:$H$1141,8,0)</f>
        <v>Dept. of Maintenance</v>
      </c>
      <c r="K643" s="1" t="str">
        <f>VLOOKUP(A643,[1]Sheet1!$A$2:$I$1141,9,0)</f>
        <v>Unit of Port Product Discharge Maint.</v>
      </c>
      <c r="L643" s="1" t="str">
        <f>VLOOKUP(A643,[1]Sheet1!$A$2:$J$1141,10,0)</f>
        <v>Section of Port Facility Machine Maint.</v>
      </c>
      <c r="M643" s="2">
        <v>26934</v>
      </c>
      <c r="N643" s="1" t="s">
        <v>29</v>
      </c>
      <c r="O643" s="1" t="s">
        <v>30</v>
      </c>
      <c r="P643" s="1" t="s">
        <v>3396</v>
      </c>
      <c r="Q643" s="1" t="s">
        <v>3397</v>
      </c>
      <c r="R643" s="1" t="s">
        <v>3398</v>
      </c>
      <c r="S643" s="1" t="s">
        <v>3380</v>
      </c>
      <c r="T643" s="14">
        <v>47392</v>
      </c>
      <c r="U643" s="1" t="s">
        <v>3399</v>
      </c>
      <c r="V643" s="1" t="s">
        <v>36</v>
      </c>
      <c r="W643" s="3" t="str">
        <f t="shared" ref="W643:W706" si="10">DATEDIF(M643,$W$1,"Y")&amp;" "&amp;"tahun"</f>
        <v>52 tahun</v>
      </c>
      <c r="X643" s="1" t="s">
        <v>132</v>
      </c>
      <c r="Y643" s="1" t="s">
        <v>56</v>
      </c>
      <c r="Z643" s="2">
        <v>34974</v>
      </c>
      <c r="AA643" s="2">
        <v>35370</v>
      </c>
      <c r="AB643" s="2" t="e">
        <v>#N/A</v>
      </c>
    </row>
    <row r="644" spans="1:28" x14ac:dyDescent="0.35">
      <c r="A644" s="12">
        <v>4662</v>
      </c>
      <c r="B644" s="12">
        <v>7506503</v>
      </c>
      <c r="C644" s="12" t="s">
        <v>219</v>
      </c>
      <c r="D644" s="12">
        <v>50069574</v>
      </c>
      <c r="E644" s="1" t="s">
        <v>3400</v>
      </c>
      <c r="F644" s="1" t="str">
        <f>VLOOKUP(A644,[1]Sheet1!$A$2:$E$1141,5,0)</f>
        <v>Spv of Loader &amp; Transport Miant</v>
      </c>
      <c r="G644" s="17" t="str">
        <f>VLOOKUP(A644,[1]Sheet1!$A$2:$F$1141,6,0)</f>
        <v>Supervisor</v>
      </c>
      <c r="H644" s="1" t="s">
        <v>3376</v>
      </c>
      <c r="I644" s="1" t="s">
        <v>1117</v>
      </c>
      <c r="J644" s="1" t="str">
        <f>VLOOKUP(A644,[1]Sheet1!$A$2:$H$1141,8,0)</f>
        <v>Dept. of Maintenance</v>
      </c>
      <c r="K644" s="1" t="str">
        <f>VLOOKUP(A644,[1]Sheet1!$A$2:$I$1141,9,0)</f>
        <v>Unit of Port Product Discharge Maint.</v>
      </c>
      <c r="L644" s="1" t="str">
        <f>VLOOKUP(A644,[1]Sheet1!$A$2:$J$1141,10,0)</f>
        <v>Section of Port Facility Machine Maint.</v>
      </c>
      <c r="M644" s="2">
        <v>27609</v>
      </c>
      <c r="N644" s="1" t="s">
        <v>29</v>
      </c>
      <c r="O644" s="1" t="s">
        <v>30</v>
      </c>
      <c r="P644" s="1" t="s">
        <v>3401</v>
      </c>
      <c r="Q644" s="1" t="s">
        <v>3384</v>
      </c>
      <c r="R644" s="1" t="s">
        <v>3385</v>
      </c>
      <c r="S644" s="1" t="s">
        <v>3380</v>
      </c>
      <c r="T644" s="14">
        <v>48092</v>
      </c>
      <c r="U644" s="1" t="s">
        <v>3402</v>
      </c>
      <c r="V644" s="1" t="s">
        <v>36</v>
      </c>
      <c r="W644" s="3" t="str">
        <f t="shared" si="10"/>
        <v>51 tahun</v>
      </c>
      <c r="X644" s="1" t="s">
        <v>248</v>
      </c>
      <c r="Y644" s="1" t="s">
        <v>56</v>
      </c>
      <c r="Z644" s="2">
        <v>38718</v>
      </c>
      <c r="AA644" s="2">
        <v>41030</v>
      </c>
      <c r="AB644" s="2" t="s">
        <v>3403</v>
      </c>
    </row>
    <row r="645" spans="1:28" x14ac:dyDescent="0.35">
      <c r="A645" s="12">
        <v>4885</v>
      </c>
      <c r="B645" s="12">
        <v>7806561</v>
      </c>
      <c r="C645" s="12" t="s">
        <v>219</v>
      </c>
      <c r="D645" s="12">
        <v>50069799</v>
      </c>
      <c r="E645" s="1" t="s">
        <v>3404</v>
      </c>
      <c r="F645" s="1" t="str">
        <f>VLOOKUP(A645,[1]Sheet1!$A$2:$E$1141,5,0)</f>
        <v>E Assc of Loader &amp; Transport Miant</v>
      </c>
      <c r="G645" s="17" t="str">
        <f>VLOOKUP(A645,[1]Sheet1!$A$2:$F$1141,6,0)</f>
        <v>Associate</v>
      </c>
      <c r="H645" s="1" t="s">
        <v>3376</v>
      </c>
      <c r="I645" s="1" t="s">
        <v>1117</v>
      </c>
      <c r="J645" s="1" t="str">
        <f>VLOOKUP(A645,[1]Sheet1!$A$2:$H$1141,8,0)</f>
        <v>Dept. of Maintenance</v>
      </c>
      <c r="K645" s="1" t="str">
        <f>VLOOKUP(A645,[1]Sheet1!$A$2:$I$1141,9,0)</f>
        <v>Unit of Port Product Discharge Maint.</v>
      </c>
      <c r="L645" s="1" t="str">
        <f>VLOOKUP(A645,[1]Sheet1!$A$2:$J$1141,10,0)</f>
        <v>Section of Port Facility Machine Maint.</v>
      </c>
      <c r="M645" s="2">
        <v>28843</v>
      </c>
      <c r="N645" s="1" t="s">
        <v>29</v>
      </c>
      <c r="O645" s="1" t="s">
        <v>30</v>
      </c>
      <c r="P645" s="1" t="s">
        <v>3405</v>
      </c>
      <c r="Q645" s="1" t="s">
        <v>3384</v>
      </c>
      <c r="R645" s="1" t="s">
        <v>3385</v>
      </c>
      <c r="S645" s="1" t="s">
        <v>3380</v>
      </c>
      <c r="T645" s="14">
        <v>49310</v>
      </c>
      <c r="U645" s="1" t="s">
        <v>3406</v>
      </c>
      <c r="V645" s="1" t="s">
        <v>36</v>
      </c>
      <c r="W645" s="3" t="str">
        <f t="shared" si="10"/>
        <v>47 tahun</v>
      </c>
      <c r="X645" s="1" t="s">
        <v>2961</v>
      </c>
      <c r="Y645" s="1" t="s">
        <v>1945</v>
      </c>
      <c r="Z645" s="2">
        <v>38718</v>
      </c>
      <c r="AA645" s="2">
        <v>41030</v>
      </c>
      <c r="AB645" s="2" t="s">
        <v>84</v>
      </c>
    </row>
    <row r="646" spans="1:28" x14ac:dyDescent="0.35">
      <c r="A646" s="12">
        <v>5000</v>
      </c>
      <c r="B646" s="12">
        <v>7495021</v>
      </c>
      <c r="C646" s="12" t="s">
        <v>50</v>
      </c>
      <c r="D646" s="12">
        <v>50069576</v>
      </c>
      <c r="E646" s="1" t="s">
        <v>3407</v>
      </c>
      <c r="F646" s="1" t="str">
        <f>VLOOKUP(A646,[1]Sheet1!$A$2:$E$1141,5,0)</f>
        <v>Spv of Silo &amp; Jetty Mechanical Maint.</v>
      </c>
      <c r="G646" s="17" t="str">
        <f>VLOOKUP(A646,[1]Sheet1!$A$2:$F$1141,6,0)</f>
        <v>Supervisor</v>
      </c>
      <c r="H646" s="1" t="s">
        <v>3376</v>
      </c>
      <c r="I646" s="1" t="s">
        <v>1117</v>
      </c>
      <c r="J646" s="1" t="str">
        <f>VLOOKUP(A646,[1]Sheet1!$A$2:$H$1141,8,0)</f>
        <v>Dept. of Maintenance</v>
      </c>
      <c r="K646" s="1" t="str">
        <f>VLOOKUP(A646,[1]Sheet1!$A$2:$I$1141,9,0)</f>
        <v>Unit of Port Product Discharge Maint.</v>
      </c>
      <c r="L646" s="1" t="str">
        <f>VLOOKUP(A646,[1]Sheet1!$A$2:$J$1141,10,0)</f>
        <v>Section of Port Facility Machine Maint.</v>
      </c>
      <c r="M646" s="2">
        <v>27036</v>
      </c>
      <c r="N646" s="1" t="s">
        <v>29</v>
      </c>
      <c r="O646" s="1" t="s">
        <v>30</v>
      </c>
      <c r="P646" s="1" t="s">
        <v>3408</v>
      </c>
      <c r="Q646" s="1" t="s">
        <v>3409</v>
      </c>
      <c r="R646" s="1" t="s">
        <v>3410</v>
      </c>
      <c r="S646" s="1" t="s">
        <v>3380</v>
      </c>
      <c r="T646" s="14">
        <v>47515</v>
      </c>
      <c r="U646" s="1" t="s">
        <v>3411</v>
      </c>
      <c r="V646" s="1" t="s">
        <v>36</v>
      </c>
      <c r="W646" s="3" t="str">
        <f t="shared" si="10"/>
        <v>52 tahun</v>
      </c>
      <c r="X646" s="1" t="s">
        <v>248</v>
      </c>
      <c r="Y646" s="1" t="s">
        <v>56</v>
      </c>
      <c r="Z646" s="2">
        <v>34897</v>
      </c>
      <c r="AA646" s="2">
        <v>35278</v>
      </c>
      <c r="AB646" s="2" t="s">
        <v>3412</v>
      </c>
    </row>
    <row r="647" spans="1:28" x14ac:dyDescent="0.35">
      <c r="A647" s="12">
        <v>4749</v>
      </c>
      <c r="B647" s="12">
        <v>7102152</v>
      </c>
      <c r="C647" s="12" t="s">
        <v>164</v>
      </c>
      <c r="D647" s="12">
        <v>50069577</v>
      </c>
      <c r="E647" s="1" t="s">
        <v>3413</v>
      </c>
      <c r="F647" s="1" t="str">
        <f>VLOOKUP(A647,[1]Sheet1!$A$2:$E$1141,5,0)</f>
        <v>Spv of Big Bulk Cement Packing</v>
      </c>
      <c r="G647" s="17" t="str">
        <f>VLOOKUP(A647,[1]Sheet1!$A$2:$F$1141,6,0)</f>
        <v>Supervisor</v>
      </c>
      <c r="H647" s="1" t="s">
        <v>3376</v>
      </c>
      <c r="I647" s="1" t="s">
        <v>1117</v>
      </c>
      <c r="J647" s="1" t="str">
        <f>VLOOKUP(A647,[1]Sheet1!$A$2:$H$1141,8,0)</f>
        <v>Dept. of Maintenance</v>
      </c>
      <c r="K647" s="1" t="str">
        <f>VLOOKUP(A647,[1]Sheet1!$A$2:$I$1141,9,0)</f>
        <v>Unit of Port Product Discharge Maint.</v>
      </c>
      <c r="L647" s="1" t="str">
        <f>VLOOKUP(A647,[1]Sheet1!$A$2:$J$1141,10,0)</f>
        <v>Section of Port Facility Machine Maint.</v>
      </c>
      <c r="M647" s="2">
        <v>25949</v>
      </c>
      <c r="N647" s="1" t="s">
        <v>29</v>
      </c>
      <c r="O647" s="1" t="s">
        <v>30</v>
      </c>
      <c r="P647" s="1" t="s">
        <v>3414</v>
      </c>
      <c r="Q647" s="1" t="s">
        <v>3415</v>
      </c>
      <c r="R647" s="1" t="s">
        <v>2498</v>
      </c>
      <c r="S647" s="1" t="s">
        <v>3380</v>
      </c>
      <c r="T647" s="14">
        <v>46419</v>
      </c>
      <c r="U647" s="1" t="s">
        <v>3416</v>
      </c>
      <c r="V647" s="1" t="s">
        <v>36</v>
      </c>
      <c r="W647" s="3" t="str">
        <f t="shared" si="10"/>
        <v>55 tahun</v>
      </c>
      <c r="X647" s="1" t="s">
        <v>3417</v>
      </c>
      <c r="Y647" s="1" t="s">
        <v>56</v>
      </c>
      <c r="Z647" s="2">
        <v>37469</v>
      </c>
      <c r="AA647" s="2">
        <v>38718</v>
      </c>
      <c r="AB647" s="2" t="s">
        <v>84</v>
      </c>
    </row>
    <row r="648" spans="1:28" x14ac:dyDescent="0.35">
      <c r="A648" s="12">
        <v>5332</v>
      </c>
      <c r="B648" s="12">
        <v>8508075</v>
      </c>
      <c r="C648" s="12" t="s">
        <v>25</v>
      </c>
      <c r="D648" s="12">
        <v>50069497</v>
      </c>
      <c r="E648" s="16" t="s">
        <v>3418</v>
      </c>
      <c r="F648" s="1" t="str">
        <f>VLOOKUP(A648,[1]Sheet1!$A$2:$E$1141,5,0)</f>
        <v>Mgr of Port Facility Elins Maintenance</v>
      </c>
      <c r="G648" s="16" t="str">
        <f>VLOOKUP(A648,[1]Sheet1!$A$2:$F$1141,6,0)</f>
        <v>Manager</v>
      </c>
      <c r="H648" s="1" t="s">
        <v>3419</v>
      </c>
      <c r="I648" s="1" t="s">
        <v>1117</v>
      </c>
      <c r="J648" s="1" t="str">
        <f>VLOOKUP(A648,[1]Sheet1!$A$2:$H$1141,8,0)</f>
        <v>Dept. of Maintenance</v>
      </c>
      <c r="K648" s="1" t="str">
        <f>VLOOKUP(A648,[1]Sheet1!$A$2:$I$1141,9,0)</f>
        <v>Unit of Port Product Discharge Maint.</v>
      </c>
      <c r="L648" s="1" t="str">
        <f>VLOOKUP(A648,[1]Sheet1!$A$2:$J$1141,10,0)</f>
        <v>Section of Port Facility Elins Maint.</v>
      </c>
      <c r="M648" s="2">
        <v>31113</v>
      </c>
      <c r="N648" s="1" t="s">
        <v>29</v>
      </c>
      <c r="O648" s="1" t="s">
        <v>30</v>
      </c>
      <c r="P648" s="1" t="s">
        <v>3420</v>
      </c>
      <c r="Q648" s="1" t="s">
        <v>3421</v>
      </c>
      <c r="R648" s="1" t="s">
        <v>3422</v>
      </c>
      <c r="S648" s="1" t="s">
        <v>3423</v>
      </c>
      <c r="T648" s="14">
        <v>51592</v>
      </c>
      <c r="U648" s="1" t="s">
        <v>3424</v>
      </c>
      <c r="V648" s="1" t="s">
        <v>36</v>
      </c>
      <c r="W648" s="3" t="str">
        <f t="shared" si="10"/>
        <v>41 tahun</v>
      </c>
      <c r="X648" s="1" t="s">
        <v>37</v>
      </c>
      <c r="Y648" s="1" t="s">
        <v>68</v>
      </c>
      <c r="Z648" s="2">
        <v>39814</v>
      </c>
      <c r="AA648" s="2">
        <v>39934</v>
      </c>
      <c r="AB648" s="2" t="s">
        <v>84</v>
      </c>
    </row>
    <row r="649" spans="1:28" x14ac:dyDescent="0.35">
      <c r="A649" s="12">
        <v>6234</v>
      </c>
      <c r="B649" s="12">
        <v>9212402</v>
      </c>
      <c r="C649" s="12" t="s">
        <v>103</v>
      </c>
      <c r="D649" s="12">
        <v>50069774</v>
      </c>
      <c r="E649" s="1" t="s">
        <v>3425</v>
      </c>
      <c r="F649" s="1" t="str">
        <f>VLOOKUP(A649,[1]Sheet1!$A$2:$E$1141,5,0)</f>
        <v>Spv of Packer Port Elins Maintenance</v>
      </c>
      <c r="G649" s="17" t="str">
        <f>VLOOKUP(A649,[1]Sheet1!$A$2:$F$1141,6,0)</f>
        <v>Supervisor</v>
      </c>
      <c r="H649" s="1" t="s">
        <v>3419</v>
      </c>
      <c r="I649" s="1" t="s">
        <v>1117</v>
      </c>
      <c r="J649" s="1" t="str">
        <f>VLOOKUP(A649,[1]Sheet1!$A$2:$H$1141,8,0)</f>
        <v>Dept. of Maintenance</v>
      </c>
      <c r="K649" s="1" t="str">
        <f>VLOOKUP(A649,[1]Sheet1!$A$2:$I$1141,9,0)</f>
        <v>Unit of Port Product Discharge Maint.</v>
      </c>
      <c r="L649" s="1" t="str">
        <f>VLOOKUP(A649,[1]Sheet1!$A$2:$J$1141,10,0)</f>
        <v>Section of Port Facility Elins Maint.</v>
      </c>
      <c r="M649" s="2">
        <v>33637</v>
      </c>
      <c r="N649" s="1" t="s">
        <v>29</v>
      </c>
      <c r="O649" s="1" t="s">
        <v>30</v>
      </c>
      <c r="P649" s="1" t="s">
        <v>3426</v>
      </c>
      <c r="Q649" s="1" t="s">
        <v>3427</v>
      </c>
      <c r="R649" s="1" t="s">
        <v>3428</v>
      </c>
      <c r="S649" s="1" t="s">
        <v>3423</v>
      </c>
      <c r="T649" s="14">
        <v>54118</v>
      </c>
      <c r="U649" s="1" t="s">
        <v>3429</v>
      </c>
      <c r="V649" s="1" t="s">
        <v>36</v>
      </c>
      <c r="W649" s="3" t="str">
        <f t="shared" si="10"/>
        <v>34 tahun</v>
      </c>
      <c r="X649" s="1" t="s">
        <v>55</v>
      </c>
      <c r="Y649" s="1" t="s">
        <v>48</v>
      </c>
      <c r="Z649" s="2">
        <v>41275</v>
      </c>
      <c r="AA649" s="2">
        <v>41426</v>
      </c>
      <c r="AB649" s="2" t="s">
        <v>3430</v>
      </c>
    </row>
    <row r="650" spans="1:28" x14ac:dyDescent="0.35">
      <c r="A650" s="12">
        <v>4801</v>
      </c>
      <c r="B650" s="12">
        <v>7406436</v>
      </c>
      <c r="C650" s="12" t="s">
        <v>219</v>
      </c>
      <c r="D650" s="12">
        <v>50069775</v>
      </c>
      <c r="E650" s="1" t="s">
        <v>3431</v>
      </c>
      <c r="F650" s="1" t="str">
        <f>VLOOKUP(A650,[1]Sheet1!$A$2:$E$1141,5,0)</f>
        <v>Assc of Packer Port Elins Maintenance</v>
      </c>
      <c r="G650" s="17" t="str">
        <f>VLOOKUP(A650,[1]Sheet1!$A$2:$F$1141,6,0)</f>
        <v>Associate</v>
      </c>
      <c r="H650" s="1" t="s">
        <v>3419</v>
      </c>
      <c r="I650" s="1" t="s">
        <v>1117</v>
      </c>
      <c r="J650" s="1" t="str">
        <f>VLOOKUP(A650,[1]Sheet1!$A$2:$H$1141,8,0)</f>
        <v>Dept. of Maintenance</v>
      </c>
      <c r="K650" s="1" t="str">
        <f>VLOOKUP(A650,[1]Sheet1!$A$2:$I$1141,9,0)</f>
        <v>Unit of Port Product Discharge Maint.</v>
      </c>
      <c r="L650" s="1" t="str">
        <f>VLOOKUP(A650,[1]Sheet1!$A$2:$J$1141,10,0)</f>
        <v>Section of Port Facility Elins Maint.</v>
      </c>
      <c r="M650" s="2">
        <v>27032</v>
      </c>
      <c r="N650" s="1" t="s">
        <v>29</v>
      </c>
      <c r="O650" s="1" t="s">
        <v>30</v>
      </c>
      <c r="P650" s="1" t="s">
        <v>3432</v>
      </c>
      <c r="Q650" s="1" t="s">
        <v>3427</v>
      </c>
      <c r="R650" s="1" t="s">
        <v>3428</v>
      </c>
      <c r="S650" s="1" t="s">
        <v>3423</v>
      </c>
      <c r="T650" s="14">
        <v>47515</v>
      </c>
      <c r="U650" s="1" t="s">
        <v>3433</v>
      </c>
      <c r="V650" s="1" t="s">
        <v>36</v>
      </c>
      <c r="W650" s="3" t="str">
        <f t="shared" si="10"/>
        <v>52 tahun</v>
      </c>
      <c r="X650" s="1" t="s">
        <v>121</v>
      </c>
      <c r="Y650" s="1" t="s">
        <v>56</v>
      </c>
      <c r="Z650" s="2">
        <v>38718</v>
      </c>
      <c r="AA650" s="2">
        <v>41030</v>
      </c>
      <c r="AB650" s="2" t="s">
        <v>3434</v>
      </c>
    </row>
    <row r="651" spans="1:28" x14ac:dyDescent="0.35">
      <c r="A651" s="12">
        <v>5148</v>
      </c>
      <c r="B651" s="12">
        <v>7595059</v>
      </c>
      <c r="C651" s="12" t="s">
        <v>50</v>
      </c>
      <c r="D651" s="12">
        <v>50069776</v>
      </c>
      <c r="E651" s="1" t="s">
        <v>3435</v>
      </c>
      <c r="F651" s="1" t="str">
        <f>VLOOKUP(A651,[1]Sheet1!$A$2:$E$1141,5,0)</f>
        <v>Spv of Loader &amp; Transport Elins Maint.</v>
      </c>
      <c r="G651" s="17" t="str">
        <f>VLOOKUP(A651,[1]Sheet1!$A$2:$F$1141,6,0)</f>
        <v>Supervisor</v>
      </c>
      <c r="H651" s="1" t="s">
        <v>3419</v>
      </c>
      <c r="I651" s="1" t="s">
        <v>1117</v>
      </c>
      <c r="J651" s="1" t="str">
        <f>VLOOKUP(A651,[1]Sheet1!$A$2:$H$1141,8,0)</f>
        <v>Dept. of Maintenance</v>
      </c>
      <c r="K651" s="1" t="str">
        <f>VLOOKUP(A651,[1]Sheet1!$A$2:$I$1141,9,0)</f>
        <v>Unit of Port Product Discharge Maint.</v>
      </c>
      <c r="L651" s="1" t="str">
        <f>VLOOKUP(A651,[1]Sheet1!$A$2:$J$1141,10,0)</f>
        <v>Section of Port Facility Elins Maint.</v>
      </c>
      <c r="M651" s="2">
        <v>27582</v>
      </c>
      <c r="N651" s="1" t="s">
        <v>29</v>
      </c>
      <c r="O651" s="1" t="s">
        <v>30</v>
      </c>
      <c r="P651" s="1" t="s">
        <v>3436</v>
      </c>
      <c r="Q651" s="1" t="s">
        <v>3437</v>
      </c>
      <c r="R651" s="1" t="s">
        <v>3438</v>
      </c>
      <c r="S651" s="1" t="s">
        <v>3423</v>
      </c>
      <c r="T651" s="14">
        <v>48061</v>
      </c>
      <c r="U651" s="1" t="s">
        <v>3439</v>
      </c>
      <c r="V651" s="1" t="s">
        <v>36</v>
      </c>
      <c r="W651" s="3" t="str">
        <f t="shared" si="10"/>
        <v>51 tahun</v>
      </c>
      <c r="X651" s="1" t="s">
        <v>55</v>
      </c>
      <c r="Y651" s="1" t="s">
        <v>48</v>
      </c>
      <c r="Z651" s="2">
        <v>34897</v>
      </c>
      <c r="AA651" s="2">
        <v>35278</v>
      </c>
      <c r="AB651" s="2" t="s">
        <v>84</v>
      </c>
    </row>
    <row r="652" spans="1:28" x14ac:dyDescent="0.35">
      <c r="A652" s="12">
        <v>5894</v>
      </c>
      <c r="B652" s="12">
        <v>8612061</v>
      </c>
      <c r="C652" s="12" t="s">
        <v>103</v>
      </c>
      <c r="D652" s="12">
        <v>50069777</v>
      </c>
      <c r="E652" s="1" t="s">
        <v>3440</v>
      </c>
      <c r="F652" s="1" t="str">
        <f>VLOOKUP(A652,[1]Sheet1!$A$2:$E$1141,5,0)</f>
        <v>Spv of Port Control System Prev. Maint</v>
      </c>
      <c r="G652" s="17" t="str">
        <f>VLOOKUP(A652,[1]Sheet1!$A$2:$F$1141,6,0)</f>
        <v>Supervisor</v>
      </c>
      <c r="H652" s="1" t="s">
        <v>3419</v>
      </c>
      <c r="I652" s="1" t="s">
        <v>1117</v>
      </c>
      <c r="J652" s="1" t="str">
        <f>VLOOKUP(A652,[1]Sheet1!$A$2:$H$1141,8,0)</f>
        <v>Dept. of Maintenance</v>
      </c>
      <c r="K652" s="1" t="str">
        <f>VLOOKUP(A652,[1]Sheet1!$A$2:$I$1141,9,0)</f>
        <v>Unit of Port Product Discharge Maint.</v>
      </c>
      <c r="L652" s="1" t="str">
        <f>VLOOKUP(A652,[1]Sheet1!$A$2:$J$1141,10,0)</f>
        <v>Section of Port Facility Elins Maint.</v>
      </c>
      <c r="M652" s="2">
        <v>31727</v>
      </c>
      <c r="N652" s="1" t="s">
        <v>29</v>
      </c>
      <c r="O652" s="1" t="s">
        <v>30</v>
      </c>
      <c r="P652" s="1" t="s">
        <v>3441</v>
      </c>
      <c r="Q652" s="1" t="s">
        <v>3442</v>
      </c>
      <c r="R652" s="1" t="s">
        <v>3443</v>
      </c>
      <c r="S652" s="1" t="s">
        <v>3423</v>
      </c>
      <c r="T652" s="14">
        <v>52201</v>
      </c>
      <c r="U652" s="1" t="s">
        <v>3444</v>
      </c>
      <c r="V652" s="1" t="s">
        <v>36</v>
      </c>
      <c r="W652" s="3" t="str">
        <f t="shared" si="10"/>
        <v>39 tahun</v>
      </c>
      <c r="X652" s="1" t="s">
        <v>112</v>
      </c>
      <c r="Y652" s="1" t="s">
        <v>56</v>
      </c>
      <c r="Z652" s="2">
        <v>41275</v>
      </c>
      <c r="AA652" s="2">
        <v>41395</v>
      </c>
      <c r="AB652" s="2" t="s">
        <v>3445</v>
      </c>
    </row>
    <row r="653" spans="1:28" x14ac:dyDescent="0.35">
      <c r="A653" s="12">
        <v>6170</v>
      </c>
      <c r="B653" s="12">
        <v>9112337</v>
      </c>
      <c r="C653" s="12" t="s">
        <v>103</v>
      </c>
      <c r="D653" s="12">
        <v>50069778</v>
      </c>
      <c r="E653" s="1" t="s">
        <v>3446</v>
      </c>
      <c r="F653" s="1" t="str">
        <f>VLOOKUP(A653,[1]Sheet1!$A$2:$E$1141,5,0)</f>
        <v>Spv of Port Control System Prev. Maint</v>
      </c>
      <c r="G653" s="17" t="str">
        <f>VLOOKUP(A653,[1]Sheet1!$A$2:$F$1141,6,0)</f>
        <v>Supervisor</v>
      </c>
      <c r="H653" s="1" t="s">
        <v>3419</v>
      </c>
      <c r="I653" s="1" t="s">
        <v>1117</v>
      </c>
      <c r="J653" s="1" t="str">
        <f>VLOOKUP(A653,[1]Sheet1!$A$2:$H$1141,8,0)</f>
        <v>Dept. of Maintenance</v>
      </c>
      <c r="K653" s="1" t="str">
        <f>VLOOKUP(A653,[1]Sheet1!$A$2:$I$1141,9,0)</f>
        <v>Unit of Port Product Discharge Maint.</v>
      </c>
      <c r="L653" s="1" t="str">
        <f>VLOOKUP(A653,[1]Sheet1!$A$2:$J$1141,10,0)</f>
        <v>Section of Port Facility Elins Maint.</v>
      </c>
      <c r="M653" s="2">
        <v>33335</v>
      </c>
      <c r="N653" s="1" t="s">
        <v>29</v>
      </c>
      <c r="O653" s="1" t="s">
        <v>30</v>
      </c>
      <c r="P653" s="1" t="s">
        <v>3447</v>
      </c>
      <c r="Q653" s="1" t="s">
        <v>3442</v>
      </c>
      <c r="R653" s="1" t="s">
        <v>3443</v>
      </c>
      <c r="S653" s="1" t="s">
        <v>3423</v>
      </c>
      <c r="T653" s="14">
        <v>53813</v>
      </c>
      <c r="U653" s="1" t="s">
        <v>3448</v>
      </c>
      <c r="V653" s="1" t="s">
        <v>36</v>
      </c>
      <c r="W653" s="3" t="str">
        <f t="shared" si="10"/>
        <v>35 tahun</v>
      </c>
      <c r="X653" s="1" t="s">
        <v>121</v>
      </c>
      <c r="Y653" s="1" t="s">
        <v>56</v>
      </c>
      <c r="Z653" s="2">
        <v>41275</v>
      </c>
      <c r="AA653" s="2">
        <v>41426</v>
      </c>
      <c r="AB653" s="2" t="s">
        <v>3449</v>
      </c>
    </row>
    <row r="654" spans="1:28" x14ac:dyDescent="0.35">
      <c r="A654" s="12">
        <v>4603</v>
      </c>
      <c r="B654" s="12">
        <v>7406475</v>
      </c>
      <c r="C654" s="12" t="s">
        <v>219</v>
      </c>
      <c r="D654" s="12">
        <v>50069779</v>
      </c>
      <c r="E654" s="1" t="s">
        <v>3450</v>
      </c>
      <c r="F654" s="1" t="str">
        <f>VLOOKUP(A654,[1]Sheet1!$A$2:$E$1141,5,0)</f>
        <v>Spv of Silo, Jetty &amp; Tbgan Elins Maint</v>
      </c>
      <c r="G654" s="17" t="str">
        <f>VLOOKUP(A654,[1]Sheet1!$A$2:$F$1141,6,0)</f>
        <v>Supervisor</v>
      </c>
      <c r="H654" s="1" t="s">
        <v>3419</v>
      </c>
      <c r="I654" s="1" t="s">
        <v>1117</v>
      </c>
      <c r="J654" s="1" t="str">
        <f>VLOOKUP(A654,[1]Sheet1!$A$2:$H$1141,8,0)</f>
        <v>Dept. of Maintenance</v>
      </c>
      <c r="K654" s="1" t="str">
        <f>VLOOKUP(A654,[1]Sheet1!$A$2:$I$1141,9,0)</f>
        <v>Unit of Port Product Discharge Maint.</v>
      </c>
      <c r="L654" s="1" t="str">
        <f>VLOOKUP(A654,[1]Sheet1!$A$2:$J$1141,10,0)</f>
        <v>Section of Port Facility Elins Maint.</v>
      </c>
      <c r="M654" s="2">
        <v>27362</v>
      </c>
      <c r="N654" s="1" t="s">
        <v>29</v>
      </c>
      <c r="O654" s="1" t="s">
        <v>30</v>
      </c>
      <c r="P654" s="1" t="s">
        <v>3451</v>
      </c>
      <c r="Q654" s="1" t="s">
        <v>3452</v>
      </c>
      <c r="R654" s="1" t="s">
        <v>3453</v>
      </c>
      <c r="S654" s="1" t="s">
        <v>3423</v>
      </c>
      <c r="T654" s="14">
        <v>47818</v>
      </c>
      <c r="U654" s="1" t="s">
        <v>3454</v>
      </c>
      <c r="V654" s="1" t="s">
        <v>36</v>
      </c>
      <c r="W654" s="3" t="str">
        <f t="shared" si="10"/>
        <v>51 tahun</v>
      </c>
      <c r="X654" s="1" t="s">
        <v>37</v>
      </c>
      <c r="Y654" s="1" t="s">
        <v>56</v>
      </c>
      <c r="Z654" s="2">
        <v>38718</v>
      </c>
      <c r="AA654" s="2">
        <v>41030</v>
      </c>
      <c r="AB654" s="2" t="s">
        <v>121</v>
      </c>
    </row>
    <row r="655" spans="1:28" x14ac:dyDescent="0.35">
      <c r="A655" s="12">
        <v>6193</v>
      </c>
      <c r="B655" s="12">
        <v>9112359</v>
      </c>
      <c r="C655" s="12" t="s">
        <v>103</v>
      </c>
      <c r="D655" s="12">
        <v>50069780</v>
      </c>
      <c r="E655" s="1" t="s">
        <v>3455</v>
      </c>
      <c r="F655" s="1" t="str">
        <f>VLOOKUP(A655,[1]Sheet1!$A$2:$E$1141,5,0)</f>
        <v>Spv of BKS EP/DC PvM</v>
      </c>
      <c r="G655" s="17" t="str">
        <f>VLOOKUP(A655,[1]Sheet1!$A$2:$F$1141,6,0)</f>
        <v>Supervisor</v>
      </c>
      <c r="H655" s="1" t="s">
        <v>3419</v>
      </c>
      <c r="I655" s="1" t="s">
        <v>1117</v>
      </c>
      <c r="J655" s="1" t="str">
        <f>VLOOKUP(A655,[1]Sheet1!$A$2:$H$1141,8,0)</f>
        <v>Dept. of Maintenance</v>
      </c>
      <c r="K655" s="1" t="str">
        <f>VLOOKUP(A655,[1]Sheet1!$A$2:$I$1141,9,0)</f>
        <v>Unit of Port Product Discharge Maint.</v>
      </c>
      <c r="L655" s="1" t="str">
        <f>VLOOKUP(A655,[1]Sheet1!$A$2:$J$1141,10,0)</f>
        <v>Section of Port Facility Elins Maint.</v>
      </c>
      <c r="M655" s="2">
        <v>33436</v>
      </c>
      <c r="N655" s="1" t="s">
        <v>29</v>
      </c>
      <c r="O655" s="1" t="s">
        <v>30</v>
      </c>
      <c r="P655" s="1" t="s">
        <v>3456</v>
      </c>
      <c r="Q655" s="1" t="s">
        <v>3457</v>
      </c>
      <c r="R655" s="1" t="s">
        <v>3458</v>
      </c>
      <c r="S655" s="1" t="s">
        <v>3423</v>
      </c>
      <c r="T655" s="14">
        <v>53905</v>
      </c>
      <c r="U655" s="1" t="s">
        <v>3459</v>
      </c>
      <c r="V655" s="1" t="s">
        <v>36</v>
      </c>
      <c r="W655" s="3" t="str">
        <f t="shared" si="10"/>
        <v>35 tahun</v>
      </c>
      <c r="X655" s="1" t="s">
        <v>243</v>
      </c>
      <c r="Y655" s="1" t="s">
        <v>56</v>
      </c>
      <c r="Z655" s="2">
        <v>41275</v>
      </c>
      <c r="AA655" s="2">
        <v>41426</v>
      </c>
      <c r="AB655" s="2" t="s">
        <v>3460</v>
      </c>
    </row>
    <row r="656" spans="1:28" x14ac:dyDescent="0.35">
      <c r="A656" s="12">
        <v>5289</v>
      </c>
      <c r="B656" s="12">
        <v>8308035</v>
      </c>
      <c r="C656" s="12" t="s">
        <v>25</v>
      </c>
      <c r="D656" s="12">
        <v>50066992</v>
      </c>
      <c r="E656" s="13" t="s">
        <v>3461</v>
      </c>
      <c r="F656" s="1" t="str">
        <f>VLOOKUP(A656,[1]Sheet1!$A$2:$E$1141,5,0)</f>
        <v>GM of Mining &amp; Power Plant</v>
      </c>
      <c r="G656" s="13" t="str">
        <f>VLOOKUP(A656,[1]Sheet1!$A$2:$F$1141,6,0)</f>
        <v>General Manager</v>
      </c>
      <c r="H656" s="1" t="s">
        <v>3462</v>
      </c>
      <c r="I656" s="1" t="s">
        <v>1117</v>
      </c>
      <c r="J656" s="1" t="str">
        <f>VLOOKUP(A656,[1]Sheet1!$A$2:$H$1141,8,0)</f>
        <v>Dept. of Mining &amp; Power Plant</v>
      </c>
      <c r="K656" s="1" t="e">
        <f>VLOOKUP(A656,[1]Sheet1!$A$2:$I$1141,9,0)</f>
        <v>#REF!</v>
      </c>
      <c r="L656" s="1" t="e">
        <f>VLOOKUP(A656,[1]Sheet1!$A$2:$J$1141,10,0)</f>
        <v>#REF!</v>
      </c>
      <c r="M656" s="2">
        <v>30557</v>
      </c>
      <c r="N656" s="1" t="s">
        <v>29</v>
      </c>
      <c r="O656" s="1" t="s">
        <v>30</v>
      </c>
      <c r="P656" s="1" t="s">
        <v>3463</v>
      </c>
      <c r="Q656" s="1" t="s">
        <v>3464</v>
      </c>
      <c r="R656" s="1" t="s">
        <v>3465</v>
      </c>
      <c r="S656" s="1" t="s">
        <v>3466</v>
      </c>
      <c r="T656" s="14">
        <v>51014</v>
      </c>
      <c r="U656" s="1" t="s">
        <v>3467</v>
      </c>
      <c r="V656" s="1" t="s">
        <v>36</v>
      </c>
      <c r="W656" s="3" t="str">
        <f t="shared" si="10"/>
        <v>43 tahun</v>
      </c>
      <c r="X656" s="1" t="s">
        <v>2690</v>
      </c>
      <c r="Y656" s="1" t="s">
        <v>38</v>
      </c>
      <c r="Z656" s="2">
        <v>39814</v>
      </c>
      <c r="AA656" s="2">
        <v>39934</v>
      </c>
      <c r="AB656" s="2" t="s">
        <v>3468</v>
      </c>
    </row>
    <row r="657" spans="1:28" x14ac:dyDescent="0.35">
      <c r="A657" s="12">
        <v>5071</v>
      </c>
      <c r="B657" s="12">
        <v>7495227</v>
      </c>
      <c r="C657" s="12" t="s">
        <v>50</v>
      </c>
      <c r="D657" s="12">
        <v>50060626</v>
      </c>
      <c r="E657" s="1" t="s">
        <v>3469</v>
      </c>
      <c r="F657" s="1" t="str">
        <f>VLOOKUP(A657,[1]Sheet1!$A$2:$E$1141,5,0)</f>
        <v>D Jr of Planning &amp; Ctrl Mining &amp; Raw Mat</v>
      </c>
      <c r="G657" s="17" t="str">
        <f>VLOOKUP(A657,[1]Sheet1!$A$2:$F$1141,6,0)</f>
        <v>Supervisor</v>
      </c>
      <c r="H657" s="1" t="s">
        <v>3462</v>
      </c>
      <c r="I657" s="1" t="s">
        <v>1117</v>
      </c>
      <c r="J657" s="1" t="str">
        <f>VLOOKUP(A657,[1]Sheet1!$A$2:$H$1141,8,0)</f>
        <v>Dept. of Mining &amp; Power Plant</v>
      </c>
      <c r="K657" s="1" t="e">
        <f>VLOOKUP(A657,[1]Sheet1!$A$2:$I$1141,9,0)</f>
        <v>#REF!</v>
      </c>
      <c r="L657" s="1" t="e">
        <f>VLOOKUP(A657,[1]Sheet1!$A$2:$J$1141,10,0)</f>
        <v>#REF!</v>
      </c>
      <c r="M657" s="2">
        <v>27260</v>
      </c>
      <c r="N657" s="1" t="s">
        <v>29</v>
      </c>
      <c r="O657" s="1" t="s">
        <v>30</v>
      </c>
      <c r="P657" s="1" t="s">
        <v>3470</v>
      </c>
      <c r="Q657" s="1" t="s">
        <v>3464</v>
      </c>
      <c r="R657" s="1" t="s">
        <v>3465</v>
      </c>
      <c r="S657" s="1" t="s">
        <v>3466</v>
      </c>
      <c r="T657" s="14">
        <v>47727</v>
      </c>
      <c r="U657" s="1" t="s">
        <v>3471</v>
      </c>
      <c r="V657" s="1" t="s">
        <v>36</v>
      </c>
      <c r="W657" s="3" t="str">
        <f t="shared" si="10"/>
        <v>52 tahun</v>
      </c>
      <c r="X657" s="1" t="s">
        <v>67</v>
      </c>
      <c r="Y657" s="1" t="s">
        <v>56</v>
      </c>
      <c r="Z657" s="2">
        <v>35002</v>
      </c>
      <c r="AA657" s="2">
        <v>35370</v>
      </c>
      <c r="AB657" s="2" t="s">
        <v>3472</v>
      </c>
    </row>
    <row r="658" spans="1:28" x14ac:dyDescent="0.35">
      <c r="A658" s="12">
        <v>5321</v>
      </c>
      <c r="B658" s="12">
        <v>8410025</v>
      </c>
      <c r="C658" s="12" t="s">
        <v>139</v>
      </c>
      <c r="D658" s="12">
        <v>50008320</v>
      </c>
      <c r="E658" s="15" t="s">
        <v>3473</v>
      </c>
      <c r="F658" s="1" t="str">
        <f>VLOOKUP(A658,[1]Sheet1!$A$2:$E$1141,5,0)</f>
        <v>SM of Power Plant Operation</v>
      </c>
      <c r="G658" s="15" t="str">
        <f>VLOOKUP(A658,[1]Sheet1!$A$2:$F$1141,6,0)</f>
        <v>Senior Manager</v>
      </c>
      <c r="H658" s="1" t="s">
        <v>3474</v>
      </c>
      <c r="I658" s="1" t="s">
        <v>1117</v>
      </c>
      <c r="J658" s="1" t="str">
        <f>VLOOKUP(A658,[1]Sheet1!$A$2:$H$1141,8,0)</f>
        <v>Dept. of Mining &amp; Power Plant</v>
      </c>
      <c r="K658" s="1" t="str">
        <f>VLOOKUP(A658,[1]Sheet1!$A$2:$I$1141,9,0)</f>
        <v>Unit of Power Plant Operation</v>
      </c>
      <c r="L658" s="1" t="e">
        <f>VLOOKUP(A658,[1]Sheet1!$A$2:$J$1141,10,0)</f>
        <v>#REF!</v>
      </c>
      <c r="M658" s="2">
        <v>30944</v>
      </c>
      <c r="N658" s="1" t="s">
        <v>29</v>
      </c>
      <c r="O658" s="1" t="s">
        <v>30</v>
      </c>
      <c r="P658" s="1" t="s">
        <v>3475</v>
      </c>
      <c r="Q658" s="1" t="s">
        <v>3476</v>
      </c>
      <c r="R658" s="1" t="s">
        <v>3477</v>
      </c>
      <c r="S658" s="1" t="s">
        <v>3478</v>
      </c>
      <c r="T658" s="14">
        <v>51410</v>
      </c>
      <c r="U658" s="1" t="s">
        <v>3479</v>
      </c>
      <c r="V658" s="1" t="s">
        <v>36</v>
      </c>
      <c r="W658" s="3" t="str">
        <f t="shared" si="10"/>
        <v>41 tahun</v>
      </c>
      <c r="X658" s="1" t="s">
        <v>1009</v>
      </c>
      <c r="Y658" s="1" t="s">
        <v>48</v>
      </c>
      <c r="Z658" s="2">
        <v>40544</v>
      </c>
      <c r="AA658" s="2">
        <v>40634</v>
      </c>
      <c r="AB658" s="2" t="s">
        <v>3480</v>
      </c>
    </row>
    <row r="659" spans="1:28" x14ac:dyDescent="0.35">
      <c r="A659" s="12">
        <v>5167</v>
      </c>
      <c r="B659" s="12">
        <v>7595133</v>
      </c>
      <c r="C659" s="12" t="s">
        <v>50</v>
      </c>
      <c r="D659" s="12">
        <v>50008322</v>
      </c>
      <c r="E659" s="16" t="s">
        <v>3481</v>
      </c>
      <c r="F659" s="1" t="str">
        <f>VLOOKUP(A659,[1]Sheet1!$A$2:$E$1141,5,0)</f>
        <v>Mgr of Power Plant Operation</v>
      </c>
      <c r="G659" s="16" t="str">
        <f>VLOOKUP(A659,[1]Sheet1!$A$2:$F$1141,6,0)</f>
        <v>Manager</v>
      </c>
      <c r="H659" s="1" t="s">
        <v>3482</v>
      </c>
      <c r="I659" s="1" t="s">
        <v>1117</v>
      </c>
      <c r="J659" s="1" t="str">
        <f>VLOOKUP(A659,[1]Sheet1!$A$2:$H$1141,8,0)</f>
        <v>Dept. of Mining &amp; Power Plant</v>
      </c>
      <c r="K659" s="1" t="str">
        <f>VLOOKUP(A659,[1]Sheet1!$A$2:$I$1141,9,0)</f>
        <v>Unit of Power Plant Operation</v>
      </c>
      <c r="L659" s="1" t="str">
        <f>VLOOKUP(A659,[1]Sheet1!$A$2:$J$1141,10,0)</f>
        <v>Section of Power Plant Operation</v>
      </c>
      <c r="M659" s="2">
        <v>27690</v>
      </c>
      <c r="N659" s="1" t="s">
        <v>29</v>
      </c>
      <c r="O659" s="1" t="s">
        <v>30</v>
      </c>
      <c r="P659" s="1" t="s">
        <v>3483</v>
      </c>
      <c r="Q659" s="1" t="s">
        <v>3484</v>
      </c>
      <c r="R659" s="1" t="s">
        <v>3485</v>
      </c>
      <c r="S659" s="1" t="s">
        <v>3486</v>
      </c>
      <c r="T659" s="14">
        <v>48153</v>
      </c>
      <c r="U659" s="1" t="s">
        <v>3487</v>
      </c>
      <c r="V659" s="1" t="s">
        <v>36</v>
      </c>
      <c r="W659" s="3" t="str">
        <f t="shared" si="10"/>
        <v>50 tahun</v>
      </c>
      <c r="X659" s="1" t="s">
        <v>3488</v>
      </c>
      <c r="Y659" s="1" t="s">
        <v>48</v>
      </c>
      <c r="Z659" s="2">
        <v>34932</v>
      </c>
      <c r="AA659" s="2">
        <v>35309</v>
      </c>
      <c r="AB659" s="2" t="s">
        <v>3489</v>
      </c>
    </row>
    <row r="660" spans="1:28" x14ac:dyDescent="0.35">
      <c r="A660" s="12">
        <v>5044</v>
      </c>
      <c r="B660" s="12">
        <v>7402251</v>
      </c>
      <c r="C660" s="12" t="s">
        <v>164</v>
      </c>
      <c r="D660" s="12">
        <v>50008326</v>
      </c>
      <c r="E660" s="1" t="s">
        <v>3490</v>
      </c>
      <c r="F660" s="1" t="str">
        <f>VLOOKUP(A660,[1]Sheet1!$A$2:$E$1141,5,0)</f>
        <v>Spv of Power Plant CCR</v>
      </c>
      <c r="G660" s="17" t="str">
        <f>VLOOKUP(A660,[1]Sheet1!$A$2:$F$1141,6,0)</f>
        <v>Supervisor</v>
      </c>
      <c r="H660" s="1" t="s">
        <v>3482</v>
      </c>
      <c r="I660" s="1" t="s">
        <v>1117</v>
      </c>
      <c r="J660" s="1" t="str">
        <f>VLOOKUP(A660,[1]Sheet1!$A$2:$H$1141,8,0)</f>
        <v>Dept. of Mining &amp; Power Plant</v>
      </c>
      <c r="K660" s="1" t="str">
        <f>VLOOKUP(A660,[1]Sheet1!$A$2:$I$1141,9,0)</f>
        <v>Unit of Power Plant Operation</v>
      </c>
      <c r="L660" s="1" t="str">
        <f>VLOOKUP(A660,[1]Sheet1!$A$2:$J$1141,10,0)</f>
        <v>Section of Power Plant Operation</v>
      </c>
      <c r="M660" s="2">
        <v>27185</v>
      </c>
      <c r="N660" s="1" t="s">
        <v>29</v>
      </c>
      <c r="O660" s="1" t="s">
        <v>30</v>
      </c>
      <c r="P660" s="1" t="s">
        <v>3491</v>
      </c>
      <c r="Q660" s="1" t="s">
        <v>3492</v>
      </c>
      <c r="R660" s="1" t="s">
        <v>3493</v>
      </c>
      <c r="S660" s="1" t="s">
        <v>3486</v>
      </c>
      <c r="T660" s="14">
        <v>47665</v>
      </c>
      <c r="U660" s="1" t="s">
        <v>3494</v>
      </c>
      <c r="V660" s="1" t="s">
        <v>36</v>
      </c>
      <c r="W660" s="3" t="str">
        <f t="shared" si="10"/>
        <v>52 tahun</v>
      </c>
      <c r="X660" s="1" t="s">
        <v>248</v>
      </c>
      <c r="Y660" s="1" t="s">
        <v>56</v>
      </c>
      <c r="Z660" s="2">
        <v>37469</v>
      </c>
      <c r="AA660" s="2">
        <v>38718</v>
      </c>
      <c r="AB660" s="2" t="s">
        <v>3495</v>
      </c>
    </row>
    <row r="661" spans="1:28" x14ac:dyDescent="0.35">
      <c r="A661" s="12">
        <v>5129</v>
      </c>
      <c r="B661" s="12">
        <v>7502268</v>
      </c>
      <c r="C661" s="12" t="s">
        <v>164</v>
      </c>
      <c r="D661" s="12">
        <v>50008332</v>
      </c>
      <c r="E661" s="1" t="s">
        <v>3496</v>
      </c>
      <c r="F661" s="1" t="str">
        <f>VLOOKUP(A661,[1]Sheet1!$A$2:$E$1141,5,0)</f>
        <v>Spv of Power Plant CCR</v>
      </c>
      <c r="G661" s="17" t="str">
        <f>VLOOKUP(A661,[1]Sheet1!$A$2:$F$1141,6,0)</f>
        <v>Supervisor</v>
      </c>
      <c r="H661" s="1" t="s">
        <v>3482</v>
      </c>
      <c r="I661" s="1" t="s">
        <v>1117</v>
      </c>
      <c r="J661" s="1" t="str">
        <f>VLOOKUP(A661,[1]Sheet1!$A$2:$H$1141,8,0)</f>
        <v>Dept. of Mining &amp; Power Plant</v>
      </c>
      <c r="K661" s="1" t="str">
        <f>VLOOKUP(A661,[1]Sheet1!$A$2:$I$1141,9,0)</f>
        <v>Unit of Power Plant Operation</v>
      </c>
      <c r="L661" s="1" t="str">
        <f>VLOOKUP(A661,[1]Sheet1!$A$2:$J$1141,10,0)</f>
        <v>Section of Power Plant Operation</v>
      </c>
      <c r="M661" s="2">
        <v>27532</v>
      </c>
      <c r="N661" s="1" t="s">
        <v>29</v>
      </c>
      <c r="O661" s="1" t="s">
        <v>30</v>
      </c>
      <c r="P661" s="1" t="s">
        <v>3497</v>
      </c>
      <c r="Q661" s="1" t="s">
        <v>3492</v>
      </c>
      <c r="R661" s="1" t="s">
        <v>3493</v>
      </c>
      <c r="S661" s="1" t="s">
        <v>3486</v>
      </c>
      <c r="T661" s="14">
        <v>48000</v>
      </c>
      <c r="U661" s="1" t="s">
        <v>3498</v>
      </c>
      <c r="V661" s="1" t="s">
        <v>36</v>
      </c>
      <c r="W661" s="3" t="str">
        <f t="shared" si="10"/>
        <v>51 tahun</v>
      </c>
      <c r="X661" s="1" t="s">
        <v>248</v>
      </c>
      <c r="Y661" s="1" t="s">
        <v>56</v>
      </c>
      <c r="Z661" s="2">
        <v>37469</v>
      </c>
      <c r="AA661" s="2">
        <v>38718</v>
      </c>
      <c r="AB661" s="2" t="s">
        <v>3499</v>
      </c>
    </row>
    <row r="662" spans="1:28" x14ac:dyDescent="0.35">
      <c r="A662" s="12">
        <v>4876</v>
      </c>
      <c r="B662" s="12">
        <v>7295091</v>
      </c>
      <c r="C662" s="12" t="s">
        <v>50</v>
      </c>
      <c r="D662" s="12">
        <v>50008335</v>
      </c>
      <c r="E662" s="1" t="s">
        <v>3500</v>
      </c>
      <c r="F662" s="1" t="str">
        <f>VLOOKUP(A662,[1]Sheet1!$A$2:$E$1141,5,0)</f>
        <v>Spv of Power Plant CCR</v>
      </c>
      <c r="G662" s="17" t="str">
        <f>VLOOKUP(A662,[1]Sheet1!$A$2:$F$1141,6,0)</f>
        <v>Supervisor</v>
      </c>
      <c r="H662" s="1" t="s">
        <v>3482</v>
      </c>
      <c r="I662" s="1" t="s">
        <v>1117</v>
      </c>
      <c r="J662" s="1" t="str">
        <f>VLOOKUP(A662,[1]Sheet1!$A$2:$H$1141,8,0)</f>
        <v>Dept. of Mining &amp; Power Plant</v>
      </c>
      <c r="K662" s="1" t="str">
        <f>VLOOKUP(A662,[1]Sheet1!$A$2:$I$1141,9,0)</f>
        <v>Unit of Power Plant Operation</v>
      </c>
      <c r="L662" s="1" t="str">
        <f>VLOOKUP(A662,[1]Sheet1!$A$2:$J$1141,10,0)</f>
        <v>Section of Power Plant Operation</v>
      </c>
      <c r="M662" s="2">
        <v>26578</v>
      </c>
      <c r="N662" s="1" t="s">
        <v>29</v>
      </c>
      <c r="O662" s="1" t="s">
        <v>30</v>
      </c>
      <c r="P662" s="1" t="s">
        <v>3501</v>
      </c>
      <c r="Q662" s="1" t="s">
        <v>3492</v>
      </c>
      <c r="R662" s="1" t="s">
        <v>3493</v>
      </c>
      <c r="S662" s="1" t="s">
        <v>3486</v>
      </c>
      <c r="T662" s="14">
        <v>47058</v>
      </c>
      <c r="U662" s="1" t="s">
        <v>3502</v>
      </c>
      <c r="V662" s="1" t="s">
        <v>36</v>
      </c>
      <c r="W662" s="3" t="str">
        <f t="shared" si="10"/>
        <v>53 tahun</v>
      </c>
      <c r="X662" s="1" t="s">
        <v>55</v>
      </c>
      <c r="Y662" s="1" t="s">
        <v>56</v>
      </c>
      <c r="Z662" s="2">
        <v>34932</v>
      </c>
      <c r="AA662" s="2">
        <v>35309</v>
      </c>
      <c r="AB662" s="2" t="e">
        <v>#N/A</v>
      </c>
    </row>
    <row r="663" spans="1:28" x14ac:dyDescent="0.35">
      <c r="A663" s="12">
        <v>5972</v>
      </c>
      <c r="B663" s="12">
        <v>8812140</v>
      </c>
      <c r="C663" s="12" t="s">
        <v>103</v>
      </c>
      <c r="D663" s="12">
        <v>50008336</v>
      </c>
      <c r="E663" s="1" t="s">
        <v>3503</v>
      </c>
      <c r="F663" s="1" t="str">
        <f>VLOOKUP(A663,[1]Sheet1!$A$2:$E$1141,5,0)</f>
        <v>Spv of Power Plant CCR</v>
      </c>
      <c r="G663" s="17" t="str">
        <f>VLOOKUP(A663,[1]Sheet1!$A$2:$F$1141,6,0)</f>
        <v>Supervisor</v>
      </c>
      <c r="H663" s="1" t="s">
        <v>3482</v>
      </c>
      <c r="I663" s="1" t="s">
        <v>1117</v>
      </c>
      <c r="J663" s="1" t="str">
        <f>VLOOKUP(A663,[1]Sheet1!$A$2:$H$1141,8,0)</f>
        <v>Dept. of Mining &amp; Power Plant</v>
      </c>
      <c r="K663" s="1" t="str">
        <f>VLOOKUP(A663,[1]Sheet1!$A$2:$I$1141,9,0)</f>
        <v>Unit of Power Plant Operation</v>
      </c>
      <c r="L663" s="1" t="str">
        <f>VLOOKUP(A663,[1]Sheet1!$A$2:$J$1141,10,0)</f>
        <v>Section of Power Plant Operation</v>
      </c>
      <c r="M663" s="2">
        <v>32366</v>
      </c>
      <c r="N663" s="1" t="s">
        <v>29</v>
      </c>
      <c r="O663" s="1" t="s">
        <v>30</v>
      </c>
      <c r="P663" s="1" t="s">
        <v>3504</v>
      </c>
      <c r="Q663" s="1" t="s">
        <v>3492</v>
      </c>
      <c r="R663" s="1" t="s">
        <v>3493</v>
      </c>
      <c r="S663" s="1" t="s">
        <v>3486</v>
      </c>
      <c r="T663" s="14">
        <v>52841</v>
      </c>
      <c r="U663" s="1" t="s">
        <v>3505</v>
      </c>
      <c r="V663" s="1" t="s">
        <v>36</v>
      </c>
      <c r="W663" s="3" t="str">
        <f t="shared" si="10"/>
        <v>38 tahun</v>
      </c>
      <c r="X663" s="1" t="s">
        <v>112</v>
      </c>
      <c r="Y663" s="1" t="s">
        <v>48</v>
      </c>
      <c r="Z663" s="2">
        <v>41275</v>
      </c>
      <c r="AA663" s="2">
        <v>41395</v>
      </c>
      <c r="AB663" s="2" t="s">
        <v>3506</v>
      </c>
    </row>
    <row r="664" spans="1:28" x14ac:dyDescent="0.35">
      <c r="A664" s="12">
        <v>4961</v>
      </c>
      <c r="B664" s="12">
        <v>7395103</v>
      </c>
      <c r="C664" s="12" t="s">
        <v>50</v>
      </c>
      <c r="D664" s="12">
        <v>50024606</v>
      </c>
      <c r="E664" s="1" t="s">
        <v>3507</v>
      </c>
      <c r="F664" s="1" t="str">
        <f>VLOOKUP(A664,[1]Sheet1!$A$2:$E$1141,5,0)</f>
        <v>Spv of Power Plant CCR</v>
      </c>
      <c r="G664" s="17" t="str">
        <f>VLOOKUP(A664,[1]Sheet1!$A$2:$F$1141,6,0)</f>
        <v>Supervisor</v>
      </c>
      <c r="H664" s="1" t="s">
        <v>3482</v>
      </c>
      <c r="I664" s="1" t="s">
        <v>1117</v>
      </c>
      <c r="J664" s="1" t="str">
        <f>VLOOKUP(A664,[1]Sheet1!$A$2:$H$1141,8,0)</f>
        <v>Dept. of Mining &amp; Power Plant</v>
      </c>
      <c r="K664" s="1" t="str">
        <f>VLOOKUP(A664,[1]Sheet1!$A$2:$I$1141,9,0)</f>
        <v>Unit of Power Plant Operation</v>
      </c>
      <c r="L664" s="1" t="str">
        <f>VLOOKUP(A664,[1]Sheet1!$A$2:$J$1141,10,0)</f>
        <v>Section of Power Plant Operation</v>
      </c>
      <c r="M664" s="2">
        <v>26937</v>
      </c>
      <c r="N664" s="1" t="s">
        <v>29</v>
      </c>
      <c r="O664" s="1" t="s">
        <v>30</v>
      </c>
      <c r="P664" s="1" t="s">
        <v>3508</v>
      </c>
      <c r="Q664" s="1" t="s">
        <v>3492</v>
      </c>
      <c r="R664" s="1" t="s">
        <v>3493</v>
      </c>
      <c r="S664" s="1" t="s">
        <v>3486</v>
      </c>
      <c r="T664" s="14">
        <v>47392</v>
      </c>
      <c r="U664" s="18" t="s">
        <v>3509</v>
      </c>
      <c r="V664" s="1" t="s">
        <v>36</v>
      </c>
      <c r="W664" s="3" t="str">
        <f t="shared" si="10"/>
        <v>52 tahun</v>
      </c>
      <c r="X664" s="1" t="s">
        <v>3510</v>
      </c>
      <c r="Y664" s="1" t="s">
        <v>56</v>
      </c>
      <c r="Z664" s="2">
        <v>34932</v>
      </c>
      <c r="AA664" s="2">
        <v>35309</v>
      </c>
      <c r="AB664" s="2" t="s">
        <v>84</v>
      </c>
    </row>
    <row r="665" spans="1:28" x14ac:dyDescent="0.35">
      <c r="A665" s="12">
        <v>6202</v>
      </c>
      <c r="B665" s="12">
        <v>9112367</v>
      </c>
      <c r="C665" s="12" t="s">
        <v>103</v>
      </c>
      <c r="D665" s="12">
        <v>50024607</v>
      </c>
      <c r="E665" s="1" t="s">
        <v>3511</v>
      </c>
      <c r="F665" s="1" t="str">
        <f>VLOOKUP(A665,[1]Sheet1!$A$2:$E$1141,5,0)</f>
        <v>Spv of Power Plant CCR</v>
      </c>
      <c r="G665" s="17" t="str">
        <f>VLOOKUP(A665,[1]Sheet1!$A$2:$F$1141,6,0)</f>
        <v>Supervisor</v>
      </c>
      <c r="H665" s="1" t="s">
        <v>3482</v>
      </c>
      <c r="I665" s="1" t="s">
        <v>1117</v>
      </c>
      <c r="J665" s="1" t="str">
        <f>VLOOKUP(A665,[1]Sheet1!$A$2:$H$1141,8,0)</f>
        <v>Dept. of Mining &amp; Power Plant</v>
      </c>
      <c r="K665" s="1" t="str">
        <f>VLOOKUP(A665,[1]Sheet1!$A$2:$I$1141,9,0)</f>
        <v>Unit of Power Plant Operation</v>
      </c>
      <c r="L665" s="1" t="str">
        <f>VLOOKUP(A665,[1]Sheet1!$A$2:$J$1141,10,0)</f>
        <v>Section of Power Plant Operation</v>
      </c>
      <c r="M665" s="2">
        <v>33465</v>
      </c>
      <c r="N665" s="1" t="s">
        <v>29</v>
      </c>
      <c r="O665" s="1" t="s">
        <v>30</v>
      </c>
      <c r="P665" s="1" t="s">
        <v>3512</v>
      </c>
      <c r="Q665" s="1" t="s">
        <v>3492</v>
      </c>
      <c r="R665" s="1" t="s">
        <v>3493</v>
      </c>
      <c r="S665" s="1" t="s">
        <v>3486</v>
      </c>
      <c r="T665" s="14">
        <v>53936</v>
      </c>
      <c r="U665" s="1" t="s">
        <v>3513</v>
      </c>
      <c r="V665" s="1" t="s">
        <v>36</v>
      </c>
      <c r="W665" s="3" t="str">
        <f t="shared" si="10"/>
        <v>35 tahun</v>
      </c>
      <c r="X665" s="1" t="s">
        <v>1151</v>
      </c>
      <c r="Y665" s="1" t="s">
        <v>48</v>
      </c>
      <c r="Z665" s="2">
        <v>41275</v>
      </c>
      <c r="AA665" s="2">
        <v>41426</v>
      </c>
      <c r="AB665" s="2" t="s">
        <v>3514</v>
      </c>
    </row>
    <row r="666" spans="1:28" x14ac:dyDescent="0.35">
      <c r="A666" s="12">
        <v>5067</v>
      </c>
      <c r="B666" s="12">
        <v>7495223</v>
      </c>
      <c r="C666" s="12" t="s">
        <v>50</v>
      </c>
      <c r="D666" s="12">
        <v>50024608</v>
      </c>
      <c r="E666" s="1" t="s">
        <v>3515</v>
      </c>
      <c r="F666" s="1" t="str">
        <f>VLOOKUP(A666,[1]Sheet1!$A$2:$E$1141,5,0)</f>
        <v>Spv of Power Plant CCR</v>
      </c>
      <c r="G666" s="17" t="str">
        <f>VLOOKUP(A666,[1]Sheet1!$A$2:$F$1141,6,0)</f>
        <v>Supervisor</v>
      </c>
      <c r="H666" s="1" t="s">
        <v>3482</v>
      </c>
      <c r="I666" s="1" t="s">
        <v>1117</v>
      </c>
      <c r="J666" s="1" t="str">
        <f>VLOOKUP(A666,[1]Sheet1!$A$2:$H$1141,8,0)</f>
        <v>Dept. of Mining &amp; Power Plant</v>
      </c>
      <c r="K666" s="1" t="str">
        <f>VLOOKUP(A666,[1]Sheet1!$A$2:$I$1141,9,0)</f>
        <v>Unit of Power Plant Operation</v>
      </c>
      <c r="L666" s="1" t="str">
        <f>VLOOKUP(A666,[1]Sheet1!$A$2:$J$1141,10,0)</f>
        <v>Section of Power Plant Operation</v>
      </c>
      <c r="M666" s="2">
        <v>27243</v>
      </c>
      <c r="N666" s="1" t="s">
        <v>29</v>
      </c>
      <c r="O666" s="1" t="s">
        <v>30</v>
      </c>
      <c r="P666" s="1" t="s">
        <v>3516</v>
      </c>
      <c r="Q666" s="1" t="s">
        <v>3492</v>
      </c>
      <c r="R666" s="1" t="s">
        <v>3493</v>
      </c>
      <c r="S666" s="1" t="s">
        <v>3486</v>
      </c>
      <c r="T666" s="14">
        <v>47727</v>
      </c>
      <c r="U666" s="1" t="s">
        <v>3517</v>
      </c>
      <c r="V666" s="1" t="s">
        <v>36</v>
      </c>
      <c r="W666" s="3" t="str">
        <f t="shared" si="10"/>
        <v>52 tahun</v>
      </c>
      <c r="X666" s="1" t="s">
        <v>55</v>
      </c>
      <c r="Y666" s="1" t="s">
        <v>56</v>
      </c>
      <c r="Z666" s="2">
        <v>35002</v>
      </c>
      <c r="AA666" s="2">
        <v>35370</v>
      </c>
      <c r="AB666" s="2" t="s">
        <v>84</v>
      </c>
    </row>
    <row r="667" spans="1:28" x14ac:dyDescent="0.35">
      <c r="A667" s="12">
        <v>4793</v>
      </c>
      <c r="B667" s="12">
        <v>7295081</v>
      </c>
      <c r="C667" s="12" t="s">
        <v>50</v>
      </c>
      <c r="D667" s="12">
        <v>50029814</v>
      </c>
      <c r="E667" s="1" t="s">
        <v>938</v>
      </c>
      <c r="F667" s="1" t="str">
        <f>VLOOKUP(A667,[1]Sheet1!$A$2:$E$1141,5,0)</f>
        <v>Spv of Power Plant CCR</v>
      </c>
      <c r="G667" s="17" t="str">
        <f>VLOOKUP(A667,[1]Sheet1!$A$2:$F$1141,6,0)</f>
        <v>Supervisor</v>
      </c>
      <c r="H667" s="1" t="s">
        <v>3482</v>
      </c>
      <c r="I667" s="1" t="s">
        <v>1117</v>
      </c>
      <c r="J667" s="1" t="str">
        <f>VLOOKUP(A667,[1]Sheet1!$A$2:$H$1141,8,0)</f>
        <v>Dept. of Mining &amp; Power Plant</v>
      </c>
      <c r="K667" s="1" t="str">
        <f>VLOOKUP(A667,[1]Sheet1!$A$2:$I$1141,9,0)</f>
        <v>Unit of Power Plant Operation</v>
      </c>
      <c r="L667" s="1" t="str">
        <f>VLOOKUP(A667,[1]Sheet1!$A$2:$J$1141,10,0)</f>
        <v>Section of Power Plant Operation</v>
      </c>
      <c r="M667" s="2">
        <v>26309</v>
      </c>
      <c r="N667" s="1" t="s">
        <v>29</v>
      </c>
      <c r="O667" s="1" t="s">
        <v>30</v>
      </c>
      <c r="P667" s="1" t="s">
        <v>3518</v>
      </c>
      <c r="Q667" s="1" t="s">
        <v>3492</v>
      </c>
      <c r="R667" s="1" t="s">
        <v>3493</v>
      </c>
      <c r="S667" s="1" t="s">
        <v>3486</v>
      </c>
      <c r="T667" s="14">
        <v>46784</v>
      </c>
      <c r="U667" s="1" t="s">
        <v>3519</v>
      </c>
      <c r="V667" s="1" t="s">
        <v>36</v>
      </c>
      <c r="W667" s="3" t="str">
        <f t="shared" si="10"/>
        <v>54 tahun</v>
      </c>
      <c r="X667" s="1" t="s">
        <v>1314</v>
      </c>
      <c r="Y667" s="1" t="s">
        <v>56</v>
      </c>
      <c r="Z667" s="2">
        <v>34932</v>
      </c>
      <c r="AA667" s="2">
        <v>35309</v>
      </c>
      <c r="AB667" s="2" t="s">
        <v>3520</v>
      </c>
    </row>
    <row r="668" spans="1:28" x14ac:dyDescent="0.35">
      <c r="A668" s="12">
        <v>4937</v>
      </c>
      <c r="B668" s="12">
        <v>7395196</v>
      </c>
      <c r="C668" s="12" t="s">
        <v>50</v>
      </c>
      <c r="D668" s="12">
        <v>50034258</v>
      </c>
      <c r="E668" s="1" t="s">
        <v>3521</v>
      </c>
      <c r="F668" s="1" t="str">
        <f>VLOOKUP(A668,[1]Sheet1!$A$2:$E$1141,5,0)</f>
        <v>Spv of Power Plant CCR</v>
      </c>
      <c r="G668" s="17" t="str">
        <f>VLOOKUP(A668,[1]Sheet1!$A$2:$F$1141,6,0)</f>
        <v>Supervisor</v>
      </c>
      <c r="H668" s="1" t="s">
        <v>3482</v>
      </c>
      <c r="I668" s="1" t="s">
        <v>1117</v>
      </c>
      <c r="J668" s="1" t="str">
        <f>VLOOKUP(A668,[1]Sheet1!$A$2:$H$1141,8,0)</f>
        <v>Dept. of Mining &amp; Power Plant</v>
      </c>
      <c r="K668" s="1" t="str">
        <f>VLOOKUP(A668,[1]Sheet1!$A$2:$I$1141,9,0)</f>
        <v>Unit of Power Plant Operation</v>
      </c>
      <c r="L668" s="1" t="str">
        <f>VLOOKUP(A668,[1]Sheet1!$A$2:$J$1141,10,0)</f>
        <v>Section of Power Plant Operation</v>
      </c>
      <c r="M668" s="2">
        <v>26820</v>
      </c>
      <c r="N668" s="1" t="s">
        <v>29</v>
      </c>
      <c r="O668" s="1" t="s">
        <v>30</v>
      </c>
      <c r="P668" s="1" t="s">
        <v>3522</v>
      </c>
      <c r="Q668" s="1" t="s">
        <v>3492</v>
      </c>
      <c r="R668" s="1" t="s">
        <v>3493</v>
      </c>
      <c r="S668" s="1" t="s">
        <v>3486</v>
      </c>
      <c r="T668" s="14">
        <v>47300</v>
      </c>
      <c r="U668" s="1" t="s">
        <v>3523</v>
      </c>
      <c r="V668" s="1" t="s">
        <v>36</v>
      </c>
      <c r="W668" s="3" t="str">
        <f t="shared" si="10"/>
        <v>53 tahun</v>
      </c>
      <c r="X668" s="1" t="s">
        <v>3524</v>
      </c>
      <c r="Y668" s="1" t="s">
        <v>56</v>
      </c>
      <c r="Z668" s="2">
        <v>35002</v>
      </c>
      <c r="AA668" s="2">
        <v>35370</v>
      </c>
      <c r="AB668" s="2" t="s">
        <v>84</v>
      </c>
    </row>
    <row r="669" spans="1:28" x14ac:dyDescent="0.35">
      <c r="A669" s="12">
        <v>4972</v>
      </c>
      <c r="B669" s="12">
        <v>7302227</v>
      </c>
      <c r="C669" s="12" t="s">
        <v>164</v>
      </c>
      <c r="D669" s="12">
        <v>50034259</v>
      </c>
      <c r="E669" s="1" t="s">
        <v>3525</v>
      </c>
      <c r="F669" s="1" t="str">
        <f>VLOOKUP(A669,[1]Sheet1!$A$2:$E$1141,5,0)</f>
        <v>Spv of Power Plant CCR</v>
      </c>
      <c r="G669" s="17" t="str">
        <f>VLOOKUP(A669,[1]Sheet1!$A$2:$F$1141,6,0)</f>
        <v>Supervisor</v>
      </c>
      <c r="H669" s="1" t="s">
        <v>3482</v>
      </c>
      <c r="I669" s="1" t="s">
        <v>1117</v>
      </c>
      <c r="J669" s="1" t="str">
        <f>VLOOKUP(A669,[1]Sheet1!$A$2:$H$1141,8,0)</f>
        <v>Dept. of Mining &amp; Power Plant</v>
      </c>
      <c r="K669" s="1" t="str">
        <f>VLOOKUP(A669,[1]Sheet1!$A$2:$I$1141,9,0)</f>
        <v>Unit of Power Plant Operation</v>
      </c>
      <c r="L669" s="1" t="str">
        <f>VLOOKUP(A669,[1]Sheet1!$A$2:$J$1141,10,0)</f>
        <v>Section of Power Plant Operation</v>
      </c>
      <c r="M669" s="2">
        <v>26956</v>
      </c>
      <c r="N669" s="1" t="s">
        <v>29</v>
      </c>
      <c r="O669" s="1" t="s">
        <v>30</v>
      </c>
      <c r="P669" s="1" t="s">
        <v>3526</v>
      </c>
      <c r="Q669" s="1" t="s">
        <v>3492</v>
      </c>
      <c r="R669" s="1" t="s">
        <v>3493</v>
      </c>
      <c r="S669" s="1" t="s">
        <v>3486</v>
      </c>
      <c r="T669" s="14">
        <v>47423</v>
      </c>
      <c r="U669" s="1" t="s">
        <v>3527</v>
      </c>
      <c r="V669" s="1" t="s">
        <v>36</v>
      </c>
      <c r="W669" s="3" t="str">
        <f t="shared" si="10"/>
        <v>52 tahun</v>
      </c>
      <c r="X669" s="1" t="s">
        <v>121</v>
      </c>
      <c r="Y669" s="1" t="s">
        <v>56</v>
      </c>
      <c r="Z669" s="2">
        <v>37469</v>
      </c>
      <c r="AA669" s="2">
        <v>38718</v>
      </c>
      <c r="AB669" s="2" t="s">
        <v>84</v>
      </c>
    </row>
    <row r="670" spans="1:28" x14ac:dyDescent="0.35">
      <c r="A670" s="12">
        <v>5231</v>
      </c>
      <c r="B670" s="12">
        <v>7702292</v>
      </c>
      <c r="C670" s="12" t="s">
        <v>164</v>
      </c>
      <c r="D670" s="12">
        <v>50034260</v>
      </c>
      <c r="E670" s="1" t="s">
        <v>3528</v>
      </c>
      <c r="F670" s="1" t="str">
        <f>VLOOKUP(A670,[1]Sheet1!$A$2:$E$1141,5,0)</f>
        <v>Spv of Power Plant CCR</v>
      </c>
      <c r="G670" s="17" t="str">
        <f>VLOOKUP(A670,[1]Sheet1!$A$2:$F$1141,6,0)</f>
        <v>Supervisor</v>
      </c>
      <c r="H670" s="1" t="s">
        <v>3482</v>
      </c>
      <c r="I670" s="1" t="s">
        <v>1117</v>
      </c>
      <c r="J670" s="1" t="str">
        <f>VLOOKUP(A670,[1]Sheet1!$A$2:$H$1141,8,0)</f>
        <v>Dept. of Mining &amp; Power Plant</v>
      </c>
      <c r="K670" s="1" t="str">
        <f>VLOOKUP(A670,[1]Sheet1!$A$2:$I$1141,9,0)</f>
        <v>Unit of Power Plant Operation</v>
      </c>
      <c r="L670" s="1" t="str">
        <f>VLOOKUP(A670,[1]Sheet1!$A$2:$J$1141,10,0)</f>
        <v>Section of Power Plant Operation</v>
      </c>
      <c r="M670" s="2">
        <v>28382</v>
      </c>
      <c r="N670" s="1" t="s">
        <v>29</v>
      </c>
      <c r="O670" s="1" t="s">
        <v>30</v>
      </c>
      <c r="P670" s="1" t="s">
        <v>3529</v>
      </c>
      <c r="Q670" s="1" t="s">
        <v>3492</v>
      </c>
      <c r="R670" s="1" t="s">
        <v>3493</v>
      </c>
      <c r="S670" s="1" t="s">
        <v>3486</v>
      </c>
      <c r="T670" s="14">
        <v>48853</v>
      </c>
      <c r="U670" s="1" t="s">
        <v>3530</v>
      </c>
      <c r="V670" s="1" t="s">
        <v>36</v>
      </c>
      <c r="W670" s="3" t="str">
        <f t="shared" si="10"/>
        <v>48 tahun</v>
      </c>
      <c r="X670" s="1" t="s">
        <v>595</v>
      </c>
      <c r="Y670" s="1" t="s">
        <v>56</v>
      </c>
      <c r="Z670" s="2">
        <v>37469</v>
      </c>
      <c r="AA670" s="2">
        <v>38718</v>
      </c>
      <c r="AB670" s="2" t="s">
        <v>84</v>
      </c>
    </row>
    <row r="671" spans="1:28" x14ac:dyDescent="0.35">
      <c r="A671" s="12">
        <v>4769</v>
      </c>
      <c r="B671" s="12">
        <v>7102165</v>
      </c>
      <c r="C671" s="12" t="s">
        <v>164</v>
      </c>
      <c r="D671" s="12">
        <v>50034261</v>
      </c>
      <c r="E671" s="1" t="s">
        <v>3531</v>
      </c>
      <c r="F671" s="1" t="str">
        <f>VLOOKUP(A671,[1]Sheet1!$A$2:$E$1141,5,0)</f>
        <v>Spv of Power Plant CCR</v>
      </c>
      <c r="G671" s="17" t="str">
        <f>VLOOKUP(A671,[1]Sheet1!$A$2:$F$1141,6,0)</f>
        <v>Supervisor</v>
      </c>
      <c r="H671" s="1" t="s">
        <v>3482</v>
      </c>
      <c r="I671" s="1" t="s">
        <v>1117</v>
      </c>
      <c r="J671" s="1" t="str">
        <f>VLOOKUP(A671,[1]Sheet1!$A$2:$H$1141,8,0)</f>
        <v>Dept. of Mining &amp; Power Plant</v>
      </c>
      <c r="K671" s="1" t="str">
        <f>VLOOKUP(A671,[1]Sheet1!$A$2:$I$1141,9,0)</f>
        <v>Unit of Power Plant Operation</v>
      </c>
      <c r="L671" s="1" t="str">
        <f>VLOOKUP(A671,[1]Sheet1!$A$2:$J$1141,10,0)</f>
        <v>Section of Power Plant Operation</v>
      </c>
      <c r="M671" s="2">
        <v>26109</v>
      </c>
      <c r="N671" s="1" t="s">
        <v>29</v>
      </c>
      <c r="O671" s="1" t="s">
        <v>30</v>
      </c>
      <c r="P671" s="1" t="s">
        <v>3532</v>
      </c>
      <c r="Q671" s="1" t="s">
        <v>3492</v>
      </c>
      <c r="R671" s="1" t="s">
        <v>3493</v>
      </c>
      <c r="S671" s="1" t="s">
        <v>3486</v>
      </c>
      <c r="T671" s="14">
        <v>46569</v>
      </c>
      <c r="U671" s="1" t="s">
        <v>3533</v>
      </c>
      <c r="V671" s="1" t="s">
        <v>36</v>
      </c>
      <c r="W671" s="3" t="str">
        <f t="shared" si="10"/>
        <v>55 tahun</v>
      </c>
      <c r="X671" s="1" t="s">
        <v>248</v>
      </c>
      <c r="Y671" s="1" t="s">
        <v>56</v>
      </c>
      <c r="Z671" s="2">
        <v>37469</v>
      </c>
      <c r="AA671" s="2">
        <v>38718</v>
      </c>
      <c r="AB671" s="2" t="s">
        <v>3534</v>
      </c>
    </row>
    <row r="672" spans="1:28" x14ac:dyDescent="0.35">
      <c r="A672" s="12">
        <v>5846</v>
      </c>
      <c r="B672" s="12">
        <v>8512013</v>
      </c>
      <c r="C672" s="12" t="s">
        <v>103</v>
      </c>
      <c r="D672" s="12">
        <v>50069702</v>
      </c>
      <c r="E672" s="1" t="s">
        <v>3535</v>
      </c>
      <c r="F672" s="1" t="str">
        <f>VLOOKUP(A672,[1]Sheet1!$A$2:$E$1141,5,0)</f>
        <v>Spv of PP Boiler Operation</v>
      </c>
      <c r="G672" s="17" t="str">
        <f>VLOOKUP(A672,[1]Sheet1!$A$2:$F$1141,6,0)</f>
        <v>Supervisor</v>
      </c>
      <c r="H672" s="1" t="s">
        <v>3482</v>
      </c>
      <c r="I672" s="1" t="s">
        <v>1117</v>
      </c>
      <c r="J672" s="1" t="str">
        <f>VLOOKUP(A672,[1]Sheet1!$A$2:$H$1141,8,0)</f>
        <v>Dept. of Mining &amp; Power Plant</v>
      </c>
      <c r="K672" s="1" t="str">
        <f>VLOOKUP(A672,[1]Sheet1!$A$2:$I$1141,9,0)</f>
        <v>Unit of Power Plant Operation</v>
      </c>
      <c r="L672" s="1" t="str">
        <f>VLOOKUP(A672,[1]Sheet1!$A$2:$J$1141,10,0)</f>
        <v>Section of Power Plant Operation</v>
      </c>
      <c r="M672" s="2">
        <v>31213</v>
      </c>
      <c r="N672" s="1" t="s">
        <v>29</v>
      </c>
      <c r="O672" s="1" t="s">
        <v>30</v>
      </c>
      <c r="P672" s="1" t="s">
        <v>3536</v>
      </c>
      <c r="Q672" s="1" t="s">
        <v>3537</v>
      </c>
      <c r="R672" s="1" t="s">
        <v>3538</v>
      </c>
      <c r="S672" s="1" t="s">
        <v>3486</v>
      </c>
      <c r="T672" s="14">
        <v>51683</v>
      </c>
      <c r="U672" s="1" t="s">
        <v>3539</v>
      </c>
      <c r="V672" s="1" t="s">
        <v>36</v>
      </c>
      <c r="W672" s="3" t="str">
        <f t="shared" si="10"/>
        <v>41 tahun</v>
      </c>
      <c r="X672" s="1" t="s">
        <v>356</v>
      </c>
      <c r="Y672" s="1" t="s">
        <v>56</v>
      </c>
      <c r="Z672" s="2">
        <v>41275</v>
      </c>
      <c r="AA672" s="2">
        <v>41426</v>
      </c>
      <c r="AB672" s="2" t="s">
        <v>3540</v>
      </c>
    </row>
    <row r="673" spans="1:28" x14ac:dyDescent="0.35">
      <c r="A673" s="12">
        <v>6135</v>
      </c>
      <c r="B673" s="12">
        <v>9012304</v>
      </c>
      <c r="C673" s="12" t="s">
        <v>103</v>
      </c>
      <c r="D673" s="12">
        <v>50069703</v>
      </c>
      <c r="E673" s="1" t="s">
        <v>3541</v>
      </c>
      <c r="F673" s="1" t="str">
        <f>VLOOKUP(A673,[1]Sheet1!$A$2:$E$1141,5,0)</f>
        <v>Spv of PP Boiler Operation</v>
      </c>
      <c r="G673" s="17" t="str">
        <f>VLOOKUP(A673,[1]Sheet1!$A$2:$F$1141,6,0)</f>
        <v>Supervisor</v>
      </c>
      <c r="H673" s="1" t="s">
        <v>3482</v>
      </c>
      <c r="I673" s="1" t="s">
        <v>1117</v>
      </c>
      <c r="J673" s="1" t="str">
        <f>VLOOKUP(A673,[1]Sheet1!$A$2:$H$1141,8,0)</f>
        <v>Dept. of Mining &amp; Power Plant</v>
      </c>
      <c r="K673" s="1" t="str">
        <f>VLOOKUP(A673,[1]Sheet1!$A$2:$I$1141,9,0)</f>
        <v>Unit of Power Plant Operation</v>
      </c>
      <c r="L673" s="1" t="str">
        <f>VLOOKUP(A673,[1]Sheet1!$A$2:$J$1141,10,0)</f>
        <v>Section of Power Plant Operation</v>
      </c>
      <c r="M673" s="2">
        <v>33178</v>
      </c>
      <c r="N673" s="1" t="s">
        <v>29</v>
      </c>
      <c r="O673" s="1" t="s">
        <v>30</v>
      </c>
      <c r="P673" s="1" t="s">
        <v>3542</v>
      </c>
      <c r="Q673" s="1" t="s">
        <v>3537</v>
      </c>
      <c r="R673" s="1" t="s">
        <v>3538</v>
      </c>
      <c r="S673" s="1" t="s">
        <v>3486</v>
      </c>
      <c r="T673" s="14">
        <v>53662</v>
      </c>
      <c r="U673" s="1" t="s">
        <v>3543</v>
      </c>
      <c r="V673" s="1" t="s">
        <v>36</v>
      </c>
      <c r="W673" s="3" t="str">
        <f t="shared" si="10"/>
        <v>35 tahun</v>
      </c>
      <c r="X673" s="1" t="s">
        <v>112</v>
      </c>
      <c r="Y673" s="1" t="s">
        <v>56</v>
      </c>
      <c r="Z673" s="2">
        <v>41275</v>
      </c>
      <c r="AA673" s="2">
        <v>41395</v>
      </c>
      <c r="AB673" s="2" t="s">
        <v>3544</v>
      </c>
    </row>
    <row r="674" spans="1:28" x14ac:dyDescent="0.35">
      <c r="A674" s="12">
        <v>5969</v>
      </c>
      <c r="B674" s="12">
        <v>8812137</v>
      </c>
      <c r="C674" s="12" t="s">
        <v>103</v>
      </c>
      <c r="D674" s="12">
        <v>50069704</v>
      </c>
      <c r="E674" s="1" t="s">
        <v>3545</v>
      </c>
      <c r="F674" s="1" t="str">
        <f>VLOOKUP(A674,[1]Sheet1!$A$2:$E$1141,5,0)</f>
        <v>Spv of PP Boiler Operation</v>
      </c>
      <c r="G674" s="17" t="str">
        <f>VLOOKUP(A674,[1]Sheet1!$A$2:$F$1141,6,0)</f>
        <v>Supervisor</v>
      </c>
      <c r="H674" s="1" t="s">
        <v>3482</v>
      </c>
      <c r="I674" s="1" t="s">
        <v>1117</v>
      </c>
      <c r="J674" s="1" t="str">
        <f>VLOOKUP(A674,[1]Sheet1!$A$2:$H$1141,8,0)</f>
        <v>Dept. of Mining &amp; Power Plant</v>
      </c>
      <c r="K674" s="1" t="str">
        <f>VLOOKUP(A674,[1]Sheet1!$A$2:$I$1141,9,0)</f>
        <v>Unit of Power Plant Operation</v>
      </c>
      <c r="L674" s="1" t="str">
        <f>VLOOKUP(A674,[1]Sheet1!$A$2:$J$1141,10,0)</f>
        <v>Section of Power Plant Operation</v>
      </c>
      <c r="M674" s="2">
        <v>32359</v>
      </c>
      <c r="N674" s="1" t="s">
        <v>29</v>
      </c>
      <c r="O674" s="1" t="s">
        <v>30</v>
      </c>
      <c r="P674" s="1" t="s">
        <v>3546</v>
      </c>
      <c r="Q674" s="1" t="s">
        <v>3537</v>
      </c>
      <c r="R674" s="1" t="s">
        <v>3538</v>
      </c>
      <c r="S674" s="1" t="s">
        <v>3486</v>
      </c>
      <c r="T674" s="14">
        <v>52841</v>
      </c>
      <c r="U674" s="1" t="s">
        <v>3547</v>
      </c>
      <c r="V674" s="1" t="s">
        <v>36</v>
      </c>
      <c r="W674" s="3" t="str">
        <f t="shared" si="10"/>
        <v>38 tahun</v>
      </c>
      <c r="X674" s="1" t="s">
        <v>112</v>
      </c>
      <c r="Y674" s="1" t="s">
        <v>48</v>
      </c>
      <c r="Z674" s="2">
        <v>41275</v>
      </c>
      <c r="AA674" s="2">
        <v>41426</v>
      </c>
      <c r="AB674" s="2" t="s">
        <v>3548</v>
      </c>
    </row>
    <row r="675" spans="1:28" x14ac:dyDescent="0.35">
      <c r="A675" s="12">
        <v>6257</v>
      </c>
      <c r="B675" s="12">
        <v>9212425</v>
      </c>
      <c r="C675" s="12" t="s">
        <v>103</v>
      </c>
      <c r="D675" s="12">
        <v>50069705</v>
      </c>
      <c r="E675" s="1" t="s">
        <v>3299</v>
      </c>
      <c r="F675" s="1" t="str">
        <f>VLOOKUP(A675,[1]Sheet1!$A$2:$E$1141,5,0)</f>
        <v>Spv of PP Boiler Operation</v>
      </c>
      <c r="G675" s="17" t="str">
        <f>VLOOKUP(A675,[1]Sheet1!$A$2:$F$1141,6,0)</f>
        <v>Supervisor</v>
      </c>
      <c r="H675" s="1" t="s">
        <v>3482</v>
      </c>
      <c r="I675" s="1" t="s">
        <v>1117</v>
      </c>
      <c r="J675" s="1" t="str">
        <f>VLOOKUP(A675,[1]Sheet1!$A$2:$H$1141,8,0)</f>
        <v>Dept. of Mining &amp; Power Plant</v>
      </c>
      <c r="K675" s="1" t="str">
        <f>VLOOKUP(A675,[1]Sheet1!$A$2:$I$1141,9,0)</f>
        <v>Unit of Power Plant Operation</v>
      </c>
      <c r="L675" s="1" t="str">
        <f>VLOOKUP(A675,[1]Sheet1!$A$2:$J$1141,10,0)</f>
        <v>Section of Power Plant Operation</v>
      </c>
      <c r="M675" s="2">
        <v>33765</v>
      </c>
      <c r="N675" s="1" t="s">
        <v>29</v>
      </c>
      <c r="O675" s="1" t="s">
        <v>30</v>
      </c>
      <c r="P675" s="1" t="s">
        <v>3549</v>
      </c>
      <c r="Q675" s="1" t="s">
        <v>3537</v>
      </c>
      <c r="R675" s="1" t="s">
        <v>3538</v>
      </c>
      <c r="S675" s="1" t="s">
        <v>3486</v>
      </c>
      <c r="T675" s="14">
        <v>54240</v>
      </c>
      <c r="U675" s="1" t="s">
        <v>3550</v>
      </c>
      <c r="V675" s="1" t="s">
        <v>36</v>
      </c>
      <c r="W675" s="3" t="str">
        <f t="shared" si="10"/>
        <v>34 tahun</v>
      </c>
      <c r="X675" s="1" t="s">
        <v>3551</v>
      </c>
      <c r="Y675" s="1" t="s">
        <v>56</v>
      </c>
      <c r="Z675" s="2">
        <v>41275</v>
      </c>
      <c r="AA675" s="2">
        <v>41426</v>
      </c>
      <c r="AB675" s="2" t="s">
        <v>3552</v>
      </c>
    </row>
    <row r="676" spans="1:28" x14ac:dyDescent="0.35">
      <c r="A676" s="12">
        <v>6093</v>
      </c>
      <c r="B676" s="12">
        <v>9012261</v>
      </c>
      <c r="C676" s="12" t="s">
        <v>103</v>
      </c>
      <c r="D676" s="12">
        <v>50069707</v>
      </c>
      <c r="E676" s="1" t="s">
        <v>3553</v>
      </c>
      <c r="F676" s="1" t="str">
        <f>VLOOKUP(A676,[1]Sheet1!$A$2:$E$1141,5,0)</f>
        <v>Spv of PP Turbin &amp; Generator Operation</v>
      </c>
      <c r="G676" s="17" t="str">
        <f>VLOOKUP(A676,[1]Sheet1!$A$2:$F$1141,6,0)</f>
        <v>Supervisor</v>
      </c>
      <c r="H676" s="1" t="s">
        <v>3482</v>
      </c>
      <c r="I676" s="1" t="s">
        <v>1117</v>
      </c>
      <c r="J676" s="1" t="str">
        <f>VLOOKUP(A676,[1]Sheet1!$A$2:$H$1141,8,0)</f>
        <v>Dept. of Mining &amp; Power Plant</v>
      </c>
      <c r="K676" s="1" t="str">
        <f>VLOOKUP(A676,[1]Sheet1!$A$2:$I$1141,9,0)</f>
        <v>Unit of Power Plant Operation</v>
      </c>
      <c r="L676" s="1" t="str">
        <f>VLOOKUP(A676,[1]Sheet1!$A$2:$J$1141,10,0)</f>
        <v>Section of Power Plant Operation</v>
      </c>
      <c r="M676" s="2">
        <v>32995</v>
      </c>
      <c r="N676" s="1" t="s">
        <v>29</v>
      </c>
      <c r="O676" s="1" t="s">
        <v>30</v>
      </c>
      <c r="P676" s="1" t="s">
        <v>3554</v>
      </c>
      <c r="Q676" s="1" t="s">
        <v>3555</v>
      </c>
      <c r="R676" s="1" t="s">
        <v>3556</v>
      </c>
      <c r="S676" s="1" t="s">
        <v>3486</v>
      </c>
      <c r="T676" s="14">
        <v>53479</v>
      </c>
      <c r="U676" s="1" t="s">
        <v>3557</v>
      </c>
      <c r="V676" s="1" t="s">
        <v>36</v>
      </c>
      <c r="W676" s="3" t="str">
        <f t="shared" si="10"/>
        <v>36 tahun</v>
      </c>
      <c r="X676" s="1" t="s">
        <v>595</v>
      </c>
      <c r="Y676" s="1" t="s">
        <v>56</v>
      </c>
      <c r="Z676" s="2">
        <v>41275</v>
      </c>
      <c r="AA676" s="2">
        <v>41395</v>
      </c>
      <c r="AB676" s="2" t="s">
        <v>3558</v>
      </c>
    </row>
    <row r="677" spans="1:28" x14ac:dyDescent="0.35">
      <c r="A677" s="12">
        <v>5953</v>
      </c>
      <c r="B677" s="12">
        <v>8812239</v>
      </c>
      <c r="C677" s="12" t="s">
        <v>103</v>
      </c>
      <c r="D677" s="12">
        <v>50069708</v>
      </c>
      <c r="E677" s="1" t="s">
        <v>3559</v>
      </c>
      <c r="F677" s="1" t="str">
        <f>VLOOKUP(A677,[1]Sheet1!$A$2:$E$1141,5,0)</f>
        <v>Spv of PP Turbin &amp; Generator Operation</v>
      </c>
      <c r="G677" s="17" t="str">
        <f>VLOOKUP(A677,[1]Sheet1!$A$2:$F$1141,6,0)</f>
        <v>Supervisor</v>
      </c>
      <c r="H677" s="1" t="s">
        <v>3482</v>
      </c>
      <c r="I677" s="1" t="s">
        <v>1117</v>
      </c>
      <c r="J677" s="1" t="str">
        <f>VLOOKUP(A677,[1]Sheet1!$A$2:$H$1141,8,0)</f>
        <v>Dept. of Mining &amp; Power Plant</v>
      </c>
      <c r="K677" s="1" t="str">
        <f>VLOOKUP(A677,[1]Sheet1!$A$2:$I$1141,9,0)</f>
        <v>Unit of Power Plant Operation</v>
      </c>
      <c r="L677" s="1" t="str">
        <f>VLOOKUP(A677,[1]Sheet1!$A$2:$J$1141,10,0)</f>
        <v>Section of Power Plant Operation</v>
      </c>
      <c r="M677" s="2">
        <v>32209</v>
      </c>
      <c r="N677" s="1" t="s">
        <v>29</v>
      </c>
      <c r="O677" s="1" t="s">
        <v>30</v>
      </c>
      <c r="P677" s="1" t="s">
        <v>3560</v>
      </c>
      <c r="Q677" s="1" t="s">
        <v>3555</v>
      </c>
      <c r="R677" s="1" t="s">
        <v>3556</v>
      </c>
      <c r="S677" s="1" t="s">
        <v>3486</v>
      </c>
      <c r="T677" s="14">
        <v>52688</v>
      </c>
      <c r="U677" s="1" t="s">
        <v>3561</v>
      </c>
      <c r="V677" s="1" t="s">
        <v>36</v>
      </c>
      <c r="W677" s="3" t="str">
        <f t="shared" si="10"/>
        <v>38 tahun</v>
      </c>
      <c r="X677" s="1" t="s">
        <v>137</v>
      </c>
      <c r="Y677" s="1" t="s">
        <v>48</v>
      </c>
      <c r="Z677" s="2">
        <v>41275</v>
      </c>
      <c r="AA677" s="2">
        <v>41395</v>
      </c>
      <c r="AB677" s="2" t="s">
        <v>3562</v>
      </c>
    </row>
    <row r="678" spans="1:28" x14ac:dyDescent="0.35">
      <c r="A678" s="12">
        <v>5937</v>
      </c>
      <c r="B678" s="12">
        <v>8712103</v>
      </c>
      <c r="C678" s="12" t="s">
        <v>103</v>
      </c>
      <c r="D678" s="12">
        <v>50069709</v>
      </c>
      <c r="E678" s="1" t="s">
        <v>3563</v>
      </c>
      <c r="F678" s="1" t="str">
        <f>VLOOKUP(A678,[1]Sheet1!$A$2:$E$1141,5,0)</f>
        <v>Spv of PP Turbin &amp; Generator Operation</v>
      </c>
      <c r="G678" s="17" t="str">
        <f>VLOOKUP(A678,[1]Sheet1!$A$2:$F$1141,6,0)</f>
        <v>Supervisor</v>
      </c>
      <c r="H678" s="1" t="s">
        <v>3482</v>
      </c>
      <c r="I678" s="1" t="s">
        <v>1117</v>
      </c>
      <c r="J678" s="1" t="str">
        <f>VLOOKUP(A678,[1]Sheet1!$A$2:$H$1141,8,0)</f>
        <v>Dept. of Mining &amp; Power Plant</v>
      </c>
      <c r="K678" s="1" t="str">
        <f>VLOOKUP(A678,[1]Sheet1!$A$2:$I$1141,9,0)</f>
        <v>Unit of Power Plant Operation</v>
      </c>
      <c r="L678" s="1" t="str">
        <f>VLOOKUP(A678,[1]Sheet1!$A$2:$J$1141,10,0)</f>
        <v>Section of Power Plant Operation</v>
      </c>
      <c r="M678" s="2">
        <v>32057</v>
      </c>
      <c r="N678" s="1" t="s">
        <v>29</v>
      </c>
      <c r="O678" s="1" t="s">
        <v>30</v>
      </c>
      <c r="P678" s="1" t="s">
        <v>3564</v>
      </c>
      <c r="Q678" s="1" t="s">
        <v>3555</v>
      </c>
      <c r="R678" s="1" t="s">
        <v>3556</v>
      </c>
      <c r="S678" s="1" t="s">
        <v>3486</v>
      </c>
      <c r="T678" s="14">
        <v>52536</v>
      </c>
      <c r="U678" s="1" t="s">
        <v>3565</v>
      </c>
      <c r="V678" s="1" t="s">
        <v>36</v>
      </c>
      <c r="W678" s="3" t="str">
        <f t="shared" si="10"/>
        <v>38 tahun</v>
      </c>
      <c r="X678" s="1" t="s">
        <v>55</v>
      </c>
      <c r="Y678" s="1" t="s">
        <v>56</v>
      </c>
      <c r="Z678" s="2">
        <v>41275</v>
      </c>
      <c r="AA678" s="2">
        <v>41395</v>
      </c>
      <c r="AB678" s="2" t="s">
        <v>3566</v>
      </c>
    </row>
    <row r="679" spans="1:28" x14ac:dyDescent="0.35">
      <c r="A679" s="12">
        <v>6162</v>
      </c>
      <c r="B679" s="12">
        <v>9112329</v>
      </c>
      <c r="C679" s="12" t="s">
        <v>103</v>
      </c>
      <c r="D679" s="12">
        <v>50069710</v>
      </c>
      <c r="E679" s="1" t="s">
        <v>3567</v>
      </c>
      <c r="F679" s="1" t="str">
        <f>VLOOKUP(A679,[1]Sheet1!$A$2:$E$1141,5,0)</f>
        <v>Spv of PP Turbin &amp; Generator Operation</v>
      </c>
      <c r="G679" s="17" t="str">
        <f>VLOOKUP(A679,[1]Sheet1!$A$2:$F$1141,6,0)</f>
        <v>Supervisor</v>
      </c>
      <c r="H679" s="1" t="s">
        <v>3482</v>
      </c>
      <c r="I679" s="1" t="s">
        <v>1117</v>
      </c>
      <c r="J679" s="1" t="str">
        <f>VLOOKUP(A679,[1]Sheet1!$A$2:$H$1141,8,0)</f>
        <v>Dept. of Mining &amp; Power Plant</v>
      </c>
      <c r="K679" s="1" t="str">
        <f>VLOOKUP(A679,[1]Sheet1!$A$2:$I$1141,9,0)</f>
        <v>Unit of Power Plant Operation</v>
      </c>
      <c r="L679" s="1" t="str">
        <f>VLOOKUP(A679,[1]Sheet1!$A$2:$J$1141,10,0)</f>
        <v>Section of Power Plant Operation</v>
      </c>
      <c r="M679" s="2">
        <v>33305</v>
      </c>
      <c r="N679" s="1" t="s">
        <v>29</v>
      </c>
      <c r="O679" s="1" t="s">
        <v>30</v>
      </c>
      <c r="P679" s="1" t="s">
        <v>3568</v>
      </c>
      <c r="Q679" s="1" t="s">
        <v>3555</v>
      </c>
      <c r="R679" s="1" t="s">
        <v>3556</v>
      </c>
      <c r="S679" s="1" t="s">
        <v>3486</v>
      </c>
      <c r="T679" s="14">
        <v>53783</v>
      </c>
      <c r="U679" s="1" t="s">
        <v>3569</v>
      </c>
      <c r="V679" s="1" t="s">
        <v>36</v>
      </c>
      <c r="W679" s="3" t="str">
        <f t="shared" si="10"/>
        <v>35 tahun</v>
      </c>
      <c r="X679" s="1" t="s">
        <v>2961</v>
      </c>
      <c r="Y679" s="1" t="s">
        <v>56</v>
      </c>
      <c r="Z679" s="2">
        <v>41275</v>
      </c>
      <c r="AA679" s="2">
        <v>41426</v>
      </c>
      <c r="AB679" s="2" t="s">
        <v>3570</v>
      </c>
    </row>
    <row r="680" spans="1:28" x14ac:dyDescent="0.35">
      <c r="A680" s="12">
        <v>6104</v>
      </c>
      <c r="B680" s="12">
        <v>9012273</v>
      </c>
      <c r="C680" s="12" t="s">
        <v>103</v>
      </c>
      <c r="D680" s="12">
        <v>50069712</v>
      </c>
      <c r="E680" s="1" t="s">
        <v>3571</v>
      </c>
      <c r="F680" s="1" t="str">
        <f>VLOOKUP(A680,[1]Sheet1!$A$2:$E$1141,5,0)</f>
        <v>Spv of PP Coal Mill Operation</v>
      </c>
      <c r="G680" s="17" t="str">
        <f>VLOOKUP(A680,[1]Sheet1!$A$2:$F$1141,6,0)</f>
        <v>Supervisor</v>
      </c>
      <c r="H680" s="1" t="s">
        <v>3482</v>
      </c>
      <c r="I680" s="1" t="s">
        <v>1117</v>
      </c>
      <c r="J680" s="1" t="str">
        <f>VLOOKUP(A680,[1]Sheet1!$A$2:$H$1141,8,0)</f>
        <v>Dept. of Mining &amp; Power Plant</v>
      </c>
      <c r="K680" s="1" t="str">
        <f>VLOOKUP(A680,[1]Sheet1!$A$2:$I$1141,9,0)</f>
        <v>Unit of Power Plant Operation</v>
      </c>
      <c r="L680" s="1" t="str">
        <f>VLOOKUP(A680,[1]Sheet1!$A$2:$J$1141,10,0)</f>
        <v>Section of Power Plant Operation</v>
      </c>
      <c r="M680" s="2">
        <v>33068</v>
      </c>
      <c r="N680" s="1" t="s">
        <v>29</v>
      </c>
      <c r="O680" s="1" t="s">
        <v>30</v>
      </c>
      <c r="P680" s="1" t="s">
        <v>3572</v>
      </c>
      <c r="Q680" s="1" t="s">
        <v>3573</v>
      </c>
      <c r="R680" s="1" t="s">
        <v>3574</v>
      </c>
      <c r="S680" s="1" t="s">
        <v>3486</v>
      </c>
      <c r="T680" s="14">
        <v>53540</v>
      </c>
      <c r="U680" s="1" t="s">
        <v>3575</v>
      </c>
      <c r="V680" s="1" t="s">
        <v>36</v>
      </c>
      <c r="W680" s="3" t="str">
        <f t="shared" si="10"/>
        <v>36 tahun</v>
      </c>
      <c r="X680" s="1" t="s">
        <v>595</v>
      </c>
      <c r="Y680" s="1" t="s">
        <v>56</v>
      </c>
      <c r="Z680" s="2">
        <v>41275</v>
      </c>
      <c r="AA680" s="2">
        <v>41456</v>
      </c>
      <c r="AB680" s="2" t="s">
        <v>1993</v>
      </c>
    </row>
    <row r="681" spans="1:28" x14ac:dyDescent="0.35">
      <c r="A681" s="12">
        <v>6204</v>
      </c>
      <c r="B681" s="12">
        <v>9112370</v>
      </c>
      <c r="C681" s="12" t="s">
        <v>103</v>
      </c>
      <c r="D681" s="12">
        <v>50069713</v>
      </c>
      <c r="E681" s="1" t="s">
        <v>3576</v>
      </c>
      <c r="F681" s="1" t="str">
        <f>VLOOKUP(A681,[1]Sheet1!$A$2:$E$1141,5,0)</f>
        <v>Spv of PP Coal Mill Operation</v>
      </c>
      <c r="G681" s="17" t="str">
        <f>VLOOKUP(A681,[1]Sheet1!$A$2:$F$1141,6,0)</f>
        <v>Supervisor</v>
      </c>
      <c r="H681" s="1" t="s">
        <v>3482</v>
      </c>
      <c r="I681" s="1" t="s">
        <v>1117</v>
      </c>
      <c r="J681" s="1" t="str">
        <f>VLOOKUP(A681,[1]Sheet1!$A$2:$H$1141,8,0)</f>
        <v>Dept. of Mining &amp; Power Plant</v>
      </c>
      <c r="K681" s="1" t="str">
        <f>VLOOKUP(A681,[1]Sheet1!$A$2:$I$1141,9,0)</f>
        <v>Unit of Power Plant Operation</v>
      </c>
      <c r="L681" s="1" t="str">
        <f>VLOOKUP(A681,[1]Sheet1!$A$2:$J$1141,10,0)</f>
        <v>Section of Power Plant Operation</v>
      </c>
      <c r="M681" s="2">
        <v>33468</v>
      </c>
      <c r="N681" s="1" t="s">
        <v>29</v>
      </c>
      <c r="O681" s="1" t="s">
        <v>30</v>
      </c>
      <c r="P681" s="1" t="s">
        <v>3577</v>
      </c>
      <c r="Q681" s="1" t="s">
        <v>3573</v>
      </c>
      <c r="R681" s="1" t="s">
        <v>3574</v>
      </c>
      <c r="S681" s="1" t="s">
        <v>3486</v>
      </c>
      <c r="T681" s="14">
        <v>53936</v>
      </c>
      <c r="U681" s="1" t="s">
        <v>3578</v>
      </c>
      <c r="V681" s="1" t="s">
        <v>36</v>
      </c>
      <c r="W681" s="3" t="str">
        <f t="shared" si="10"/>
        <v>35 tahun</v>
      </c>
      <c r="X681" s="1" t="s">
        <v>121</v>
      </c>
      <c r="Y681" s="1" t="s">
        <v>56</v>
      </c>
      <c r="Z681" s="2">
        <v>41275</v>
      </c>
      <c r="AA681" s="2">
        <v>41426</v>
      </c>
      <c r="AB681" s="2" t="s">
        <v>3579</v>
      </c>
    </row>
    <row r="682" spans="1:28" x14ac:dyDescent="0.35">
      <c r="A682" s="12">
        <v>5998</v>
      </c>
      <c r="B682" s="12">
        <v>8912165</v>
      </c>
      <c r="C682" s="12" t="s">
        <v>103</v>
      </c>
      <c r="D682" s="12">
        <v>50069714</v>
      </c>
      <c r="E682" s="1" t="s">
        <v>3580</v>
      </c>
      <c r="F682" s="1" t="str">
        <f>VLOOKUP(A682,[1]Sheet1!$A$2:$E$1141,5,0)</f>
        <v>Spv of PP Coal Mill Operation</v>
      </c>
      <c r="G682" s="17" t="str">
        <f>VLOOKUP(A682,[1]Sheet1!$A$2:$F$1141,6,0)</f>
        <v>Supervisor</v>
      </c>
      <c r="H682" s="1" t="s">
        <v>3482</v>
      </c>
      <c r="I682" s="1" t="s">
        <v>1117</v>
      </c>
      <c r="J682" s="1" t="str">
        <f>VLOOKUP(A682,[1]Sheet1!$A$2:$H$1141,8,0)</f>
        <v>Dept. of Mining &amp; Power Plant</v>
      </c>
      <c r="K682" s="1" t="str">
        <f>VLOOKUP(A682,[1]Sheet1!$A$2:$I$1141,9,0)</f>
        <v>Unit of Power Plant Operation</v>
      </c>
      <c r="L682" s="1" t="str">
        <f>VLOOKUP(A682,[1]Sheet1!$A$2:$J$1141,10,0)</f>
        <v>Section of Power Plant Operation</v>
      </c>
      <c r="M682" s="2">
        <v>32545</v>
      </c>
      <c r="N682" s="1" t="s">
        <v>29</v>
      </c>
      <c r="O682" s="1" t="s">
        <v>30</v>
      </c>
      <c r="P682" s="1" t="s">
        <v>3581</v>
      </c>
      <c r="Q682" s="1" t="s">
        <v>3573</v>
      </c>
      <c r="R682" s="1" t="s">
        <v>3574</v>
      </c>
      <c r="S682" s="1" t="s">
        <v>3486</v>
      </c>
      <c r="T682" s="14">
        <v>53022</v>
      </c>
      <c r="U682" s="1" t="s">
        <v>3582</v>
      </c>
      <c r="V682" s="1" t="s">
        <v>36</v>
      </c>
      <c r="W682" s="3" t="str">
        <f t="shared" si="10"/>
        <v>37 tahun</v>
      </c>
      <c r="X682" s="1" t="s">
        <v>112</v>
      </c>
      <c r="Y682" s="1" t="s">
        <v>68</v>
      </c>
      <c r="Z682" s="2">
        <v>41275</v>
      </c>
      <c r="AA682" s="2">
        <v>41395</v>
      </c>
      <c r="AB682" s="2" t="s">
        <v>3583</v>
      </c>
    </row>
    <row r="683" spans="1:28" x14ac:dyDescent="0.35">
      <c r="A683" s="12">
        <v>6096</v>
      </c>
      <c r="B683" s="12">
        <v>9012264</v>
      </c>
      <c r="C683" s="12" t="s">
        <v>103</v>
      </c>
      <c r="D683" s="12">
        <v>50069715</v>
      </c>
      <c r="E683" s="1" t="s">
        <v>3584</v>
      </c>
      <c r="F683" s="1" t="str">
        <f>VLOOKUP(A683,[1]Sheet1!$A$2:$E$1141,5,0)</f>
        <v>Spv of PP Coal Mill Operation</v>
      </c>
      <c r="G683" s="17" t="str">
        <f>VLOOKUP(A683,[1]Sheet1!$A$2:$F$1141,6,0)</f>
        <v>Supervisor</v>
      </c>
      <c r="H683" s="1" t="s">
        <v>3482</v>
      </c>
      <c r="I683" s="1" t="s">
        <v>1117</v>
      </c>
      <c r="J683" s="1" t="str">
        <f>VLOOKUP(A683,[1]Sheet1!$A$2:$H$1141,8,0)</f>
        <v>Dept. of Mining &amp; Power Plant</v>
      </c>
      <c r="K683" s="1" t="str">
        <f>VLOOKUP(A683,[1]Sheet1!$A$2:$I$1141,9,0)</f>
        <v>Unit of Power Plant Operation</v>
      </c>
      <c r="L683" s="1" t="str">
        <f>VLOOKUP(A683,[1]Sheet1!$A$2:$J$1141,10,0)</f>
        <v>Section of Power Plant Operation</v>
      </c>
      <c r="M683" s="2">
        <v>33017</v>
      </c>
      <c r="N683" s="1" t="s">
        <v>29</v>
      </c>
      <c r="O683" s="1" t="s">
        <v>30</v>
      </c>
      <c r="P683" s="1" t="s">
        <v>3585</v>
      </c>
      <c r="Q683" s="1" t="s">
        <v>3573</v>
      </c>
      <c r="R683" s="1" t="s">
        <v>3574</v>
      </c>
      <c r="S683" s="1" t="s">
        <v>3486</v>
      </c>
      <c r="T683" s="14">
        <v>53479</v>
      </c>
      <c r="U683" s="1" t="s">
        <v>3586</v>
      </c>
      <c r="V683" s="1" t="s">
        <v>36</v>
      </c>
      <c r="W683" s="3" t="str">
        <f t="shared" si="10"/>
        <v>36 tahun</v>
      </c>
      <c r="X683" s="1" t="s">
        <v>204</v>
      </c>
      <c r="Y683" s="1" t="s">
        <v>56</v>
      </c>
      <c r="Z683" s="2">
        <v>41275</v>
      </c>
      <c r="AA683" s="2">
        <v>41426</v>
      </c>
      <c r="AB683" s="2" t="s">
        <v>3587</v>
      </c>
    </row>
    <row r="684" spans="1:28" x14ac:dyDescent="0.35">
      <c r="A684" s="12">
        <v>6250</v>
      </c>
      <c r="B684" s="12">
        <v>9212418</v>
      </c>
      <c r="C684" s="12" t="s">
        <v>103</v>
      </c>
      <c r="D684" s="12">
        <v>50069717</v>
      </c>
      <c r="E684" s="1" t="s">
        <v>3588</v>
      </c>
      <c r="F684" s="1" t="str">
        <f>VLOOKUP(A684,[1]Sheet1!$A$2:$E$1141,5,0)</f>
        <v>PP Autonomous Opr Jr Officer</v>
      </c>
      <c r="G684" s="17" t="str">
        <f>VLOOKUP(A684,[1]Sheet1!$A$2:$F$1141,6,0)</f>
        <v>Supervisor</v>
      </c>
      <c r="H684" s="1" t="s">
        <v>3482</v>
      </c>
      <c r="I684" s="1" t="s">
        <v>1117</v>
      </c>
      <c r="J684" s="1" t="str">
        <f>VLOOKUP(A684,[1]Sheet1!$A$2:$H$1141,8,0)</f>
        <v>Dept. of Mining &amp; Power Plant</v>
      </c>
      <c r="K684" s="1" t="str">
        <f>VLOOKUP(A684,[1]Sheet1!$A$2:$I$1141,9,0)</f>
        <v>Unit of Power Plant Operation</v>
      </c>
      <c r="L684" s="1" t="str">
        <f>VLOOKUP(A684,[1]Sheet1!$A$2:$J$1141,10,0)</f>
        <v>Section of Power Plant Operation</v>
      </c>
      <c r="M684" s="2">
        <v>33725</v>
      </c>
      <c r="N684" s="1" t="s">
        <v>29</v>
      </c>
      <c r="O684" s="1" t="s">
        <v>30</v>
      </c>
      <c r="P684" s="1" t="s">
        <v>3589</v>
      </c>
      <c r="Q684" s="1" t="s">
        <v>3590</v>
      </c>
      <c r="R684" s="1" t="s">
        <v>3591</v>
      </c>
      <c r="S684" s="1" t="s">
        <v>3486</v>
      </c>
      <c r="T684" s="14">
        <v>54210</v>
      </c>
      <c r="U684" s="1" t="s">
        <v>3592</v>
      </c>
      <c r="V684" s="1" t="s">
        <v>36</v>
      </c>
      <c r="W684" s="3" t="str">
        <f t="shared" si="10"/>
        <v>34 tahun</v>
      </c>
      <c r="X684" s="1" t="s">
        <v>112</v>
      </c>
      <c r="Y684" s="1" t="s">
        <v>56</v>
      </c>
      <c r="Z684" s="2">
        <v>41275</v>
      </c>
      <c r="AA684" s="2">
        <v>41426</v>
      </c>
      <c r="AB684" s="2" t="s">
        <v>3593</v>
      </c>
    </row>
    <row r="685" spans="1:28" x14ac:dyDescent="0.35">
      <c r="A685" s="12">
        <v>4728</v>
      </c>
      <c r="B685" s="12">
        <v>7002139</v>
      </c>
      <c r="C685" s="12" t="s">
        <v>164</v>
      </c>
      <c r="D685" s="12">
        <v>50061772</v>
      </c>
      <c r="E685" s="1" t="s">
        <v>3594</v>
      </c>
      <c r="F685" s="1" t="str">
        <f>VLOOKUP(A685,[1]Sheet1!$A$2:$E$1141,5,0)</f>
        <v>Opr of Continuous System Unloading B</v>
      </c>
      <c r="G685" s="17" t="str">
        <f>VLOOKUP(A685,[1]Sheet1!$A$2:$F$1141,6,0)</f>
        <v>Associate</v>
      </c>
      <c r="H685" s="1" t="s">
        <v>3474</v>
      </c>
      <c r="I685" s="1" t="s">
        <v>1117</v>
      </c>
      <c r="J685" s="1" t="str">
        <f>VLOOKUP(A685,[1]Sheet1!$A$2:$H$1141,8,0)</f>
        <v>Dept. of Mining &amp; Power Plant</v>
      </c>
      <c r="K685" s="1" t="str">
        <f>VLOOKUP(A685,[1]Sheet1!$A$2:$I$1141,9,0)</f>
        <v>Unit of Power Plant Operation</v>
      </c>
      <c r="L685" s="1" t="str">
        <f>VLOOKUP(A685,[1]Sheet1!$A$2:$J$1141,10,0)</f>
        <v>Section of CUS</v>
      </c>
      <c r="M685" s="2">
        <v>25814</v>
      </c>
      <c r="N685" s="1" t="s">
        <v>29</v>
      </c>
      <c r="O685" s="1" t="s">
        <v>30</v>
      </c>
      <c r="P685" s="1" t="s">
        <v>3595</v>
      </c>
      <c r="Q685" s="1" t="s">
        <v>3596</v>
      </c>
      <c r="R685" s="1" t="s">
        <v>3597</v>
      </c>
      <c r="S685" s="1" t="s">
        <v>3478</v>
      </c>
      <c r="T685" s="14">
        <v>46296</v>
      </c>
      <c r="U685" s="1" t="s">
        <v>3598</v>
      </c>
      <c r="V685" s="1" t="s">
        <v>36</v>
      </c>
      <c r="W685" s="3" t="str">
        <f t="shared" si="10"/>
        <v>55 tahun</v>
      </c>
      <c r="X685" s="1" t="s">
        <v>600</v>
      </c>
      <c r="Y685" s="1" t="s">
        <v>56</v>
      </c>
      <c r="Z685" s="2">
        <v>37469</v>
      </c>
      <c r="AA685" s="2">
        <v>38718</v>
      </c>
      <c r="AB685" s="2" t="s">
        <v>84</v>
      </c>
    </row>
    <row r="686" spans="1:28" x14ac:dyDescent="0.35">
      <c r="A686" s="12">
        <v>4914</v>
      </c>
      <c r="B686" s="12">
        <v>7395014</v>
      </c>
      <c r="C686" s="12" t="s">
        <v>50</v>
      </c>
      <c r="D686" s="12">
        <v>50069796</v>
      </c>
      <c r="E686" s="16" t="s">
        <v>3599</v>
      </c>
      <c r="F686" s="1" t="str">
        <f>VLOOKUP(A686,[1]Sheet1!$A$2:$E$1141,5,0)</f>
        <v>Mgr of Water Treatment &amp; CUS Opr</v>
      </c>
      <c r="G686" s="16" t="str">
        <f>VLOOKUP(A686,[1]Sheet1!$A$2:$F$1141,6,0)</f>
        <v>Manager</v>
      </c>
      <c r="H686" s="1" t="s">
        <v>3600</v>
      </c>
      <c r="I686" s="1" t="s">
        <v>1117</v>
      </c>
      <c r="J686" s="1" t="str">
        <f>VLOOKUP(A686,[1]Sheet1!$A$2:$H$1141,8,0)</f>
        <v>Dept. of Mining &amp; Power Plant</v>
      </c>
      <c r="K686" s="1" t="str">
        <f>VLOOKUP(A686,[1]Sheet1!$A$2:$I$1141,9,0)</f>
        <v>Unit of Power Plant Operation</v>
      </c>
      <c r="L686" s="1" t="str">
        <f>VLOOKUP(A686,[1]Sheet1!$A$2:$J$1141,10,0)</f>
        <v>Section of Water Treatment &amp; CUS Opr</v>
      </c>
      <c r="M686" s="2">
        <v>26750</v>
      </c>
      <c r="N686" s="1" t="s">
        <v>29</v>
      </c>
      <c r="O686" s="1" t="s">
        <v>30</v>
      </c>
      <c r="P686" s="1" t="s">
        <v>3601</v>
      </c>
      <c r="Q686" s="1" t="s">
        <v>3602</v>
      </c>
      <c r="R686" s="1" t="s">
        <v>3603</v>
      </c>
      <c r="S686" s="1" t="s">
        <v>3604</v>
      </c>
      <c r="T686" s="14">
        <v>47209</v>
      </c>
      <c r="U686" s="1" t="s">
        <v>3605</v>
      </c>
      <c r="V686" s="1" t="s">
        <v>36</v>
      </c>
      <c r="W686" s="3" t="str">
        <f t="shared" si="10"/>
        <v>53 tahun</v>
      </c>
      <c r="X686" s="1" t="s">
        <v>55</v>
      </c>
      <c r="Y686" s="1" t="s">
        <v>56</v>
      </c>
      <c r="Z686" s="2">
        <v>34897</v>
      </c>
      <c r="AA686" s="2">
        <v>35278</v>
      </c>
      <c r="AB686" s="2" t="s">
        <v>3606</v>
      </c>
    </row>
    <row r="687" spans="1:28" x14ac:dyDescent="0.35">
      <c r="A687" s="12">
        <v>6197</v>
      </c>
      <c r="B687" s="12">
        <v>9112363</v>
      </c>
      <c r="C687" s="12" t="s">
        <v>103</v>
      </c>
      <c r="D687" s="12">
        <v>50069721</v>
      </c>
      <c r="E687" s="1" t="s">
        <v>3607</v>
      </c>
      <c r="F687" s="1" t="str">
        <f>VLOOKUP(A687,[1]Sheet1!$A$2:$E$1141,5,0)</f>
        <v>Spv of Balance of Plant &amp; Laboratory</v>
      </c>
      <c r="G687" s="17" t="str">
        <f>VLOOKUP(A687,[1]Sheet1!$A$2:$F$1141,6,0)</f>
        <v>Supervisor</v>
      </c>
      <c r="H687" s="1" t="s">
        <v>3600</v>
      </c>
      <c r="I687" s="1" t="s">
        <v>1117</v>
      </c>
      <c r="J687" s="1" t="str">
        <f>VLOOKUP(A687,[1]Sheet1!$A$2:$H$1141,8,0)</f>
        <v>Dept. of Mining &amp; Power Plant</v>
      </c>
      <c r="K687" s="1" t="str">
        <f>VLOOKUP(A687,[1]Sheet1!$A$2:$I$1141,9,0)</f>
        <v>Unit of Power Plant Operation</v>
      </c>
      <c r="L687" s="1" t="str">
        <f>VLOOKUP(A687,[1]Sheet1!$A$2:$J$1141,10,0)</f>
        <v>Section of Water Treatment &amp; CUS Opr</v>
      </c>
      <c r="M687" s="2">
        <v>33445</v>
      </c>
      <c r="N687" s="1" t="s">
        <v>29</v>
      </c>
      <c r="O687" s="1" t="s">
        <v>30</v>
      </c>
      <c r="P687" s="1" t="s">
        <v>3608</v>
      </c>
      <c r="Q687" s="1" t="s">
        <v>3609</v>
      </c>
      <c r="R687" s="1" t="s">
        <v>3610</v>
      </c>
      <c r="S687" s="1" t="s">
        <v>3604</v>
      </c>
      <c r="T687" s="14">
        <v>53905</v>
      </c>
      <c r="U687" s="1" t="s">
        <v>3611</v>
      </c>
      <c r="V687" s="1" t="s">
        <v>36</v>
      </c>
      <c r="W687" s="3" t="str">
        <f t="shared" si="10"/>
        <v>35 tahun</v>
      </c>
      <c r="X687" s="1" t="s">
        <v>121</v>
      </c>
      <c r="Y687" s="1" t="s">
        <v>56</v>
      </c>
      <c r="Z687" s="2">
        <v>41275</v>
      </c>
      <c r="AA687" s="2">
        <v>41426</v>
      </c>
      <c r="AB687" s="2" t="s">
        <v>3612</v>
      </c>
    </row>
    <row r="688" spans="1:28" x14ac:dyDescent="0.35">
      <c r="A688" s="12">
        <v>6173</v>
      </c>
      <c r="B688" s="12">
        <v>9112340</v>
      </c>
      <c r="C688" s="12" t="s">
        <v>103</v>
      </c>
      <c r="D688" s="12">
        <v>50069722</v>
      </c>
      <c r="E688" s="1" t="s">
        <v>3167</v>
      </c>
      <c r="F688" s="1" t="str">
        <f>VLOOKUP(A688,[1]Sheet1!$A$2:$E$1141,5,0)</f>
        <v>Spv of Balance of Plant &amp; Laboratory</v>
      </c>
      <c r="G688" s="17" t="str">
        <f>VLOOKUP(A688,[1]Sheet1!$A$2:$F$1141,6,0)</f>
        <v>Supervisor</v>
      </c>
      <c r="H688" s="1" t="s">
        <v>3600</v>
      </c>
      <c r="I688" s="1" t="s">
        <v>1117</v>
      </c>
      <c r="J688" s="1" t="str">
        <f>VLOOKUP(A688,[1]Sheet1!$A$2:$H$1141,8,0)</f>
        <v>Dept. of Mining &amp; Power Plant</v>
      </c>
      <c r="K688" s="1" t="str">
        <f>VLOOKUP(A688,[1]Sheet1!$A$2:$I$1141,9,0)</f>
        <v>Unit of Power Plant Operation</v>
      </c>
      <c r="L688" s="1" t="str">
        <f>VLOOKUP(A688,[1]Sheet1!$A$2:$J$1141,10,0)</f>
        <v>Section of Water Treatment &amp; CUS Opr</v>
      </c>
      <c r="M688" s="2">
        <v>33341</v>
      </c>
      <c r="N688" s="1" t="s">
        <v>29</v>
      </c>
      <c r="O688" s="1" t="s">
        <v>30</v>
      </c>
      <c r="P688" s="1" t="s">
        <v>3613</v>
      </c>
      <c r="Q688" s="1" t="s">
        <v>3609</v>
      </c>
      <c r="R688" s="1" t="s">
        <v>3610</v>
      </c>
      <c r="S688" s="1" t="s">
        <v>3604</v>
      </c>
      <c r="T688" s="14">
        <v>53813</v>
      </c>
      <c r="U688" s="1" t="s">
        <v>3614</v>
      </c>
      <c r="V688" s="1" t="s">
        <v>36</v>
      </c>
      <c r="W688" s="3" t="str">
        <f t="shared" si="10"/>
        <v>35 tahun</v>
      </c>
      <c r="X688" s="1" t="s">
        <v>667</v>
      </c>
      <c r="Y688" s="1" t="s">
        <v>56</v>
      </c>
      <c r="Z688" s="2">
        <v>41275</v>
      </c>
      <c r="AA688" s="2">
        <v>41426</v>
      </c>
      <c r="AB688" s="2" t="s">
        <v>3615</v>
      </c>
    </row>
    <row r="689" spans="1:28" x14ac:dyDescent="0.35">
      <c r="A689" s="12">
        <v>6095</v>
      </c>
      <c r="B689" s="12">
        <v>9012263</v>
      </c>
      <c r="C689" s="12" t="s">
        <v>103</v>
      </c>
      <c r="D689" s="12">
        <v>50069723</v>
      </c>
      <c r="E689" s="1" t="s">
        <v>3616</v>
      </c>
      <c r="F689" s="1" t="str">
        <f>VLOOKUP(A689,[1]Sheet1!$A$2:$E$1141,5,0)</f>
        <v>Spv of Balance of Plant &amp; Laboratory</v>
      </c>
      <c r="G689" s="17" t="str">
        <f>VLOOKUP(A689,[1]Sheet1!$A$2:$F$1141,6,0)</f>
        <v>Supervisor</v>
      </c>
      <c r="H689" s="1" t="s">
        <v>3600</v>
      </c>
      <c r="I689" s="1" t="s">
        <v>1117</v>
      </c>
      <c r="J689" s="1" t="str">
        <f>VLOOKUP(A689,[1]Sheet1!$A$2:$H$1141,8,0)</f>
        <v>Dept. of Mining &amp; Power Plant</v>
      </c>
      <c r="K689" s="1" t="str">
        <f>VLOOKUP(A689,[1]Sheet1!$A$2:$I$1141,9,0)</f>
        <v>Unit of Power Plant Operation</v>
      </c>
      <c r="L689" s="1" t="str">
        <f>VLOOKUP(A689,[1]Sheet1!$A$2:$J$1141,10,0)</f>
        <v>Section of Water Treatment &amp; CUS Opr</v>
      </c>
      <c r="M689" s="2">
        <v>33003</v>
      </c>
      <c r="N689" s="1" t="s">
        <v>29</v>
      </c>
      <c r="O689" s="1" t="s">
        <v>30</v>
      </c>
      <c r="P689" s="1" t="s">
        <v>3617</v>
      </c>
      <c r="Q689" s="1" t="s">
        <v>3609</v>
      </c>
      <c r="R689" s="1" t="s">
        <v>3610</v>
      </c>
      <c r="S689" s="1" t="s">
        <v>3604</v>
      </c>
      <c r="T689" s="14">
        <v>53479</v>
      </c>
      <c r="U689" s="1" t="s">
        <v>3618</v>
      </c>
      <c r="V689" s="1" t="s">
        <v>36</v>
      </c>
      <c r="W689" s="3" t="str">
        <f t="shared" si="10"/>
        <v>36 tahun</v>
      </c>
      <c r="X689" s="1" t="s">
        <v>2023</v>
      </c>
      <c r="Y689" s="1" t="s">
        <v>56</v>
      </c>
      <c r="Z689" s="2">
        <v>41275</v>
      </c>
      <c r="AA689" s="2">
        <v>41426</v>
      </c>
      <c r="AB689" s="2" t="s">
        <v>3619</v>
      </c>
    </row>
    <row r="690" spans="1:28" x14ac:dyDescent="0.35">
      <c r="A690" s="12">
        <v>6126</v>
      </c>
      <c r="B690" s="12">
        <v>9012295</v>
      </c>
      <c r="C690" s="12" t="s">
        <v>103</v>
      </c>
      <c r="D690" s="12">
        <v>50069724</v>
      </c>
      <c r="E690" s="1" t="s">
        <v>3620</v>
      </c>
      <c r="F690" s="1" t="str">
        <f>VLOOKUP(A690,[1]Sheet1!$A$2:$E$1141,5,0)</f>
        <v>Spv of Balance of Plant &amp; Laboratory</v>
      </c>
      <c r="G690" s="17" t="str">
        <f>VLOOKUP(A690,[1]Sheet1!$A$2:$F$1141,6,0)</f>
        <v>Supervisor</v>
      </c>
      <c r="H690" s="1" t="s">
        <v>3600</v>
      </c>
      <c r="I690" s="1" t="s">
        <v>1117</v>
      </c>
      <c r="J690" s="1" t="str">
        <f>VLOOKUP(A690,[1]Sheet1!$A$2:$H$1141,8,0)</f>
        <v>Dept. of Mining &amp; Power Plant</v>
      </c>
      <c r="K690" s="1" t="str">
        <f>VLOOKUP(A690,[1]Sheet1!$A$2:$I$1141,9,0)</f>
        <v>Unit of Power Plant Operation</v>
      </c>
      <c r="L690" s="1" t="str">
        <f>VLOOKUP(A690,[1]Sheet1!$A$2:$J$1141,10,0)</f>
        <v>Section of Water Treatment &amp; CUS Opr</v>
      </c>
      <c r="M690" s="2">
        <v>33143</v>
      </c>
      <c r="N690" s="1" t="s">
        <v>29</v>
      </c>
      <c r="O690" s="1" t="s">
        <v>30</v>
      </c>
      <c r="P690" s="1" t="s">
        <v>3621</v>
      </c>
      <c r="Q690" s="1" t="s">
        <v>3609</v>
      </c>
      <c r="R690" s="1" t="s">
        <v>3610</v>
      </c>
      <c r="S690" s="1" t="s">
        <v>3604</v>
      </c>
      <c r="T690" s="14">
        <v>53601</v>
      </c>
      <c r="U690" s="1" t="s">
        <v>3622</v>
      </c>
      <c r="V690" s="1" t="s">
        <v>36</v>
      </c>
      <c r="W690" s="3" t="str">
        <f t="shared" si="10"/>
        <v>35 tahun</v>
      </c>
      <c r="X690" s="1" t="s">
        <v>356</v>
      </c>
      <c r="Y690" s="1" t="s">
        <v>56</v>
      </c>
      <c r="Z690" s="2">
        <v>41275</v>
      </c>
      <c r="AA690" s="2">
        <v>41395</v>
      </c>
      <c r="AB690" s="2" t="s">
        <v>3623</v>
      </c>
    </row>
    <row r="691" spans="1:28" x14ac:dyDescent="0.35">
      <c r="A691" s="12">
        <v>4762</v>
      </c>
      <c r="B691" s="12">
        <v>7102167</v>
      </c>
      <c r="C691" s="12" t="s">
        <v>164</v>
      </c>
      <c r="D691" s="12">
        <v>50069727</v>
      </c>
      <c r="E691" s="1" t="s">
        <v>3624</v>
      </c>
      <c r="F691" s="1" t="str">
        <f>VLOOKUP(A691,[1]Sheet1!$A$2:$E$1141,5,0)</f>
        <v>Spv of CUS Operation</v>
      </c>
      <c r="G691" s="17" t="str">
        <f>VLOOKUP(A691,[1]Sheet1!$A$2:$F$1141,6,0)</f>
        <v>Supervisor</v>
      </c>
      <c r="H691" s="1" t="s">
        <v>3600</v>
      </c>
      <c r="I691" s="1" t="s">
        <v>1117</v>
      </c>
      <c r="J691" s="1" t="str">
        <f>VLOOKUP(A691,[1]Sheet1!$A$2:$H$1141,8,0)</f>
        <v>Dept. of Mining &amp; Power Plant</v>
      </c>
      <c r="K691" s="1" t="str">
        <f>VLOOKUP(A691,[1]Sheet1!$A$2:$I$1141,9,0)</f>
        <v>Unit of Power Plant Operation</v>
      </c>
      <c r="L691" s="1" t="str">
        <f>VLOOKUP(A691,[1]Sheet1!$A$2:$J$1141,10,0)</f>
        <v>Section of Water Treatment &amp; CUS Opr</v>
      </c>
      <c r="M691" s="2">
        <v>26074</v>
      </c>
      <c r="N691" s="1" t="s">
        <v>29</v>
      </c>
      <c r="O691" s="1" t="s">
        <v>30</v>
      </c>
      <c r="P691" s="1" t="s">
        <v>3625</v>
      </c>
      <c r="Q691" s="1" t="s">
        <v>3626</v>
      </c>
      <c r="R691" s="1" t="s">
        <v>3627</v>
      </c>
      <c r="S691" s="1" t="s">
        <v>3604</v>
      </c>
      <c r="T691" s="14">
        <v>46539</v>
      </c>
      <c r="U691" s="1" t="s">
        <v>3628</v>
      </c>
      <c r="V691" s="1" t="s">
        <v>36</v>
      </c>
      <c r="W691" s="3" t="str">
        <f t="shared" si="10"/>
        <v>55 tahun</v>
      </c>
      <c r="X691" s="1" t="s">
        <v>3629</v>
      </c>
      <c r="Y691" s="1" t="s">
        <v>56</v>
      </c>
      <c r="Z691" s="2">
        <v>37469</v>
      </c>
      <c r="AA691" s="2">
        <v>38718</v>
      </c>
      <c r="AB691" s="2" t="s">
        <v>84</v>
      </c>
    </row>
    <row r="692" spans="1:28" x14ac:dyDescent="0.35">
      <c r="A692" s="12">
        <v>4816</v>
      </c>
      <c r="B692" s="12">
        <v>7295167</v>
      </c>
      <c r="C692" s="12" t="s">
        <v>50</v>
      </c>
      <c r="D692" s="12">
        <v>50069728</v>
      </c>
      <c r="E692" s="1" t="s">
        <v>3630</v>
      </c>
      <c r="F692" s="1" t="str">
        <f>VLOOKUP(A692,[1]Sheet1!$A$2:$E$1141,5,0)</f>
        <v>Spv of CUS Operation</v>
      </c>
      <c r="G692" s="17" t="str">
        <f>VLOOKUP(A692,[1]Sheet1!$A$2:$F$1141,6,0)</f>
        <v>Supervisor</v>
      </c>
      <c r="H692" s="1" t="s">
        <v>3600</v>
      </c>
      <c r="I692" s="1" t="s">
        <v>1117</v>
      </c>
      <c r="J692" s="1" t="str">
        <f>VLOOKUP(A692,[1]Sheet1!$A$2:$H$1141,8,0)</f>
        <v>Dept. of Mining &amp; Power Plant</v>
      </c>
      <c r="K692" s="1" t="str">
        <f>VLOOKUP(A692,[1]Sheet1!$A$2:$I$1141,9,0)</f>
        <v>Unit of Power Plant Operation</v>
      </c>
      <c r="L692" s="1" t="str">
        <f>VLOOKUP(A692,[1]Sheet1!$A$2:$J$1141,10,0)</f>
        <v>Section of Water Treatment &amp; CUS Opr</v>
      </c>
      <c r="M692" s="2">
        <v>26369</v>
      </c>
      <c r="N692" s="1" t="s">
        <v>29</v>
      </c>
      <c r="O692" s="1" t="s">
        <v>30</v>
      </c>
      <c r="P692" s="1" t="s">
        <v>3631</v>
      </c>
      <c r="Q692" s="1" t="s">
        <v>3626</v>
      </c>
      <c r="R692" s="1" t="s">
        <v>3627</v>
      </c>
      <c r="S692" s="1" t="s">
        <v>3604</v>
      </c>
      <c r="T692" s="14">
        <v>46844</v>
      </c>
      <c r="U692" s="1" t="s">
        <v>3632</v>
      </c>
      <c r="V692" s="1" t="s">
        <v>36</v>
      </c>
      <c r="W692" s="3" t="str">
        <f t="shared" si="10"/>
        <v>54 tahun</v>
      </c>
      <c r="X692" s="1" t="s">
        <v>248</v>
      </c>
      <c r="Y692" s="1" t="s">
        <v>56</v>
      </c>
      <c r="Z692" s="2">
        <v>34974</v>
      </c>
      <c r="AA692" s="2">
        <v>35370</v>
      </c>
      <c r="AB692" s="2" t="s">
        <v>84</v>
      </c>
    </row>
    <row r="693" spans="1:28" x14ac:dyDescent="0.35">
      <c r="A693" s="12">
        <v>5127</v>
      </c>
      <c r="B693" s="12">
        <v>7595236</v>
      </c>
      <c r="C693" s="12" t="s">
        <v>50</v>
      </c>
      <c r="D693" s="12">
        <v>50069729</v>
      </c>
      <c r="E693" s="1" t="s">
        <v>3633</v>
      </c>
      <c r="F693" s="1" t="str">
        <f>VLOOKUP(A693,[1]Sheet1!$A$2:$E$1141,5,0)</f>
        <v>Spv of CUS Operation</v>
      </c>
      <c r="G693" s="17" t="str">
        <f>VLOOKUP(A693,[1]Sheet1!$A$2:$F$1141,6,0)</f>
        <v>Supervisor</v>
      </c>
      <c r="H693" s="1" t="s">
        <v>3600</v>
      </c>
      <c r="I693" s="1" t="s">
        <v>1117</v>
      </c>
      <c r="J693" s="1" t="str">
        <f>VLOOKUP(A693,[1]Sheet1!$A$2:$H$1141,8,0)</f>
        <v>Dept. of Mining &amp; Power Plant</v>
      </c>
      <c r="K693" s="1" t="str">
        <f>VLOOKUP(A693,[1]Sheet1!$A$2:$I$1141,9,0)</f>
        <v>Unit of Power Plant Operation</v>
      </c>
      <c r="L693" s="1" t="str">
        <f>VLOOKUP(A693,[1]Sheet1!$A$2:$J$1141,10,0)</f>
        <v>Section of Water Treatment &amp; CUS Opr</v>
      </c>
      <c r="M693" s="2">
        <v>27486</v>
      </c>
      <c r="N693" s="1" t="s">
        <v>29</v>
      </c>
      <c r="O693" s="1" t="s">
        <v>30</v>
      </c>
      <c r="P693" s="1" t="s">
        <v>3634</v>
      </c>
      <c r="Q693" s="1" t="s">
        <v>3626</v>
      </c>
      <c r="R693" s="1" t="s">
        <v>3627</v>
      </c>
      <c r="S693" s="1" t="s">
        <v>3604</v>
      </c>
      <c r="T693" s="14">
        <v>47969</v>
      </c>
      <c r="U693" s="1" t="s">
        <v>3635</v>
      </c>
      <c r="V693" s="1" t="s">
        <v>36</v>
      </c>
      <c r="W693" s="3" t="str">
        <f t="shared" si="10"/>
        <v>51 tahun</v>
      </c>
      <c r="X693" s="1" t="s">
        <v>486</v>
      </c>
      <c r="Y693" s="1" t="s">
        <v>56</v>
      </c>
      <c r="Z693" s="2">
        <v>35002</v>
      </c>
      <c r="AA693" s="2">
        <v>35370</v>
      </c>
      <c r="AB693" s="2" t="s">
        <v>3636</v>
      </c>
    </row>
    <row r="694" spans="1:28" x14ac:dyDescent="0.35">
      <c r="A694" s="12">
        <v>4497</v>
      </c>
      <c r="B694" s="12">
        <v>7306379</v>
      </c>
      <c r="C694" s="12" t="s">
        <v>219</v>
      </c>
      <c r="D694" s="12">
        <v>50071025</v>
      </c>
      <c r="E694" s="1" t="s">
        <v>3637</v>
      </c>
      <c r="F694" s="1" t="str">
        <f>VLOOKUP(A694,[1]Sheet1!$A$2:$E$1141,5,0)</f>
        <v>E Assc of CUS Operation</v>
      </c>
      <c r="G694" s="17" t="str">
        <f>VLOOKUP(A694,[1]Sheet1!$A$2:$F$1141,6,0)</f>
        <v>Associate</v>
      </c>
      <c r="H694" s="1" t="s">
        <v>3600</v>
      </c>
      <c r="I694" s="1" t="s">
        <v>1117</v>
      </c>
      <c r="J694" s="1" t="str">
        <f>VLOOKUP(A694,[1]Sheet1!$A$2:$H$1141,8,0)</f>
        <v>Dept. of Mining &amp; Power Plant</v>
      </c>
      <c r="K694" s="1" t="str">
        <f>VLOOKUP(A694,[1]Sheet1!$A$2:$I$1141,9,0)</f>
        <v>Unit of Power Plant Operation</v>
      </c>
      <c r="L694" s="1" t="str">
        <f>VLOOKUP(A694,[1]Sheet1!$A$2:$J$1141,10,0)</f>
        <v>Section of Water Treatment &amp; CUS Opr</v>
      </c>
      <c r="M694" s="2">
        <v>26685</v>
      </c>
      <c r="N694" s="1" t="s">
        <v>29</v>
      </c>
      <c r="O694" s="1" t="s">
        <v>30</v>
      </c>
      <c r="P694" s="1" t="s">
        <v>3638</v>
      </c>
      <c r="Q694" s="1" t="s">
        <v>3626</v>
      </c>
      <c r="R694" s="1" t="s">
        <v>3627</v>
      </c>
      <c r="S694" s="1" t="s">
        <v>3604</v>
      </c>
      <c r="T694" s="14">
        <v>47150</v>
      </c>
      <c r="U694" s="1" t="s">
        <v>3639</v>
      </c>
      <c r="V694" s="1" t="s">
        <v>36</v>
      </c>
      <c r="W694" s="3" t="str">
        <f t="shared" si="10"/>
        <v>53 tahun</v>
      </c>
      <c r="X694" s="1" t="s">
        <v>107</v>
      </c>
      <c r="Y694" s="1" t="s">
        <v>56</v>
      </c>
      <c r="Z694" s="2">
        <v>38718</v>
      </c>
      <c r="AA694" s="2">
        <v>41030</v>
      </c>
      <c r="AB694" s="2" t="s">
        <v>3640</v>
      </c>
    </row>
    <row r="695" spans="1:28" x14ac:dyDescent="0.35">
      <c r="A695" s="12">
        <v>4731</v>
      </c>
      <c r="B695" s="12">
        <v>7002142</v>
      </c>
      <c r="C695" s="12" t="s">
        <v>164</v>
      </c>
      <c r="D695" s="12">
        <v>50071027</v>
      </c>
      <c r="E695" s="1" t="s">
        <v>3641</v>
      </c>
      <c r="F695" s="1" t="str">
        <f>VLOOKUP(A695,[1]Sheet1!$A$2:$E$1141,5,0)</f>
        <v>E Assc of CUS Operation</v>
      </c>
      <c r="G695" s="17" t="str">
        <f>VLOOKUP(A695,[1]Sheet1!$A$2:$F$1141,6,0)</f>
        <v>Associate</v>
      </c>
      <c r="H695" s="1" t="s">
        <v>3600</v>
      </c>
      <c r="I695" s="1" t="s">
        <v>1117</v>
      </c>
      <c r="J695" s="1" t="str">
        <f>VLOOKUP(A695,[1]Sheet1!$A$2:$H$1141,8,0)</f>
        <v>Dept. of Mining &amp; Power Plant</v>
      </c>
      <c r="K695" s="1" t="str">
        <f>VLOOKUP(A695,[1]Sheet1!$A$2:$I$1141,9,0)</f>
        <v>Unit of Power Plant Operation</v>
      </c>
      <c r="L695" s="1" t="str">
        <f>VLOOKUP(A695,[1]Sheet1!$A$2:$J$1141,10,0)</f>
        <v>Section of Water Treatment &amp; CUS Opr</v>
      </c>
      <c r="M695" s="2">
        <v>25830</v>
      </c>
      <c r="N695" s="1" t="s">
        <v>29</v>
      </c>
      <c r="O695" s="1" t="s">
        <v>30</v>
      </c>
      <c r="P695" s="1" t="s">
        <v>3642</v>
      </c>
      <c r="Q695" s="1" t="s">
        <v>3626</v>
      </c>
      <c r="R695" s="1" t="s">
        <v>3627</v>
      </c>
      <c r="S695" s="1" t="s">
        <v>3604</v>
      </c>
      <c r="T695" s="14">
        <v>46296</v>
      </c>
      <c r="U695" s="1" t="s">
        <v>3643</v>
      </c>
      <c r="V695" s="1" t="s">
        <v>36</v>
      </c>
      <c r="W695" s="3" t="str">
        <f t="shared" si="10"/>
        <v>55 tahun</v>
      </c>
      <c r="X695" s="1" t="s">
        <v>248</v>
      </c>
      <c r="Y695" s="1" t="s">
        <v>56</v>
      </c>
      <c r="Z695" s="2">
        <v>37469</v>
      </c>
      <c r="AA695" s="2">
        <v>38718</v>
      </c>
      <c r="AB695" s="2" t="s">
        <v>3644</v>
      </c>
    </row>
    <row r="696" spans="1:28" x14ac:dyDescent="0.35">
      <c r="A696" s="12">
        <v>4766</v>
      </c>
      <c r="B696" s="12">
        <v>7102162</v>
      </c>
      <c r="C696" s="12" t="s">
        <v>164</v>
      </c>
      <c r="D696" s="12">
        <v>50071028</v>
      </c>
      <c r="E696" s="1" t="s">
        <v>3645</v>
      </c>
      <c r="F696" s="1" t="str">
        <f>VLOOKUP(A696,[1]Sheet1!$A$2:$E$1141,5,0)</f>
        <v>E Assc of CUS Operation</v>
      </c>
      <c r="G696" s="17" t="str">
        <f>VLOOKUP(A696,[1]Sheet1!$A$2:$F$1141,6,0)</f>
        <v>Associate</v>
      </c>
      <c r="H696" s="1" t="s">
        <v>3600</v>
      </c>
      <c r="I696" s="1" t="s">
        <v>1117</v>
      </c>
      <c r="J696" s="1" t="str">
        <f>VLOOKUP(A696,[1]Sheet1!$A$2:$H$1141,8,0)</f>
        <v>Dept. of Mining &amp; Power Plant</v>
      </c>
      <c r="K696" s="1" t="str">
        <f>VLOOKUP(A696,[1]Sheet1!$A$2:$I$1141,9,0)</f>
        <v>Unit of Power Plant Operation</v>
      </c>
      <c r="L696" s="1" t="str">
        <f>VLOOKUP(A696,[1]Sheet1!$A$2:$J$1141,10,0)</f>
        <v>Section of Water Treatment &amp; CUS Opr</v>
      </c>
      <c r="M696" s="2">
        <v>26087</v>
      </c>
      <c r="N696" s="1" t="s">
        <v>29</v>
      </c>
      <c r="O696" s="1" t="s">
        <v>30</v>
      </c>
      <c r="P696" s="1" t="s">
        <v>3646</v>
      </c>
      <c r="Q696" s="1" t="s">
        <v>3626</v>
      </c>
      <c r="R696" s="1" t="s">
        <v>3627</v>
      </c>
      <c r="S696" s="1" t="s">
        <v>3604</v>
      </c>
      <c r="T696" s="14">
        <v>46569</v>
      </c>
      <c r="U696" s="1" t="s">
        <v>3647</v>
      </c>
      <c r="V696" s="1" t="s">
        <v>36</v>
      </c>
      <c r="W696" s="3" t="str">
        <f t="shared" si="10"/>
        <v>55 tahun</v>
      </c>
      <c r="X696" s="1" t="s">
        <v>121</v>
      </c>
      <c r="Y696" s="1" t="s">
        <v>56</v>
      </c>
      <c r="Z696" s="2">
        <v>37469</v>
      </c>
      <c r="AA696" s="2">
        <v>38718</v>
      </c>
      <c r="AB696" s="2" t="s">
        <v>3648</v>
      </c>
    </row>
    <row r="697" spans="1:28" x14ac:dyDescent="0.35">
      <c r="A697" s="12">
        <v>4839</v>
      </c>
      <c r="B697" s="12">
        <v>7306390</v>
      </c>
      <c r="C697" s="12" t="s">
        <v>219</v>
      </c>
      <c r="D697" s="12">
        <v>50071029</v>
      </c>
      <c r="E697" s="1" t="s">
        <v>3649</v>
      </c>
      <c r="F697" s="1" t="str">
        <f>VLOOKUP(A697,[1]Sheet1!$A$2:$E$1141,5,0)</f>
        <v>E Assc of CUS Operation</v>
      </c>
      <c r="G697" s="17" t="str">
        <f>VLOOKUP(A697,[1]Sheet1!$A$2:$F$1141,6,0)</f>
        <v>Associate</v>
      </c>
      <c r="H697" s="1" t="s">
        <v>3600</v>
      </c>
      <c r="I697" s="1" t="s">
        <v>1117</v>
      </c>
      <c r="J697" s="1" t="str">
        <f>VLOOKUP(A697,[1]Sheet1!$A$2:$H$1141,8,0)</f>
        <v>Dept. of Mining &amp; Power Plant</v>
      </c>
      <c r="K697" s="1" t="str">
        <f>VLOOKUP(A697,[1]Sheet1!$A$2:$I$1141,9,0)</f>
        <v>Unit of Power Plant Operation</v>
      </c>
      <c r="L697" s="1" t="str">
        <f>VLOOKUP(A697,[1]Sheet1!$A$2:$J$1141,10,0)</f>
        <v>Section of Water Treatment &amp; CUS Opr</v>
      </c>
      <c r="M697" s="2">
        <v>26799</v>
      </c>
      <c r="N697" s="1" t="s">
        <v>29</v>
      </c>
      <c r="O697" s="1" t="s">
        <v>30</v>
      </c>
      <c r="P697" s="1" t="s">
        <v>3650</v>
      </c>
      <c r="Q697" s="1" t="s">
        <v>3626</v>
      </c>
      <c r="R697" s="1" t="s">
        <v>3627</v>
      </c>
      <c r="S697" s="1" t="s">
        <v>3604</v>
      </c>
      <c r="T697" s="14">
        <v>47270</v>
      </c>
      <c r="U697" s="1" t="s">
        <v>3651</v>
      </c>
      <c r="V697" s="1" t="s">
        <v>36</v>
      </c>
      <c r="W697" s="3" t="str">
        <f t="shared" si="10"/>
        <v>53 tahun</v>
      </c>
      <c r="X697" s="1" t="s">
        <v>137</v>
      </c>
      <c r="Y697" s="1" t="s">
        <v>56</v>
      </c>
      <c r="Z697" s="2">
        <v>38718</v>
      </c>
      <c r="AA697" s="2">
        <v>41030</v>
      </c>
      <c r="AB697" s="2" t="s">
        <v>84</v>
      </c>
    </row>
    <row r="698" spans="1:28" x14ac:dyDescent="0.35">
      <c r="A698" s="12">
        <v>5060</v>
      </c>
      <c r="B698" s="12">
        <v>7402157</v>
      </c>
      <c r="C698" s="12" t="s">
        <v>164</v>
      </c>
      <c r="D698" s="12">
        <v>50069732</v>
      </c>
      <c r="E698" s="1" t="s">
        <v>3652</v>
      </c>
      <c r="F698" s="1" t="str">
        <f>VLOOKUP(A698,[1]Sheet1!$A$2:$E$1141,5,0)</f>
        <v>Autonomous Wat Treat &amp; CUS Op Jr Officer</v>
      </c>
      <c r="G698" s="17" t="str">
        <f>VLOOKUP(A698,[1]Sheet1!$A$2:$F$1141,6,0)</f>
        <v>Supervisor</v>
      </c>
      <c r="H698" s="1" t="s">
        <v>3600</v>
      </c>
      <c r="I698" s="1" t="s">
        <v>1117</v>
      </c>
      <c r="J698" s="1" t="str">
        <f>VLOOKUP(A698,[1]Sheet1!$A$2:$H$1141,8,0)</f>
        <v>Dept. of Mining &amp; Power Plant</v>
      </c>
      <c r="K698" s="1" t="str">
        <f>VLOOKUP(A698,[1]Sheet1!$A$2:$I$1141,9,0)</f>
        <v>Unit of Power Plant Operation</v>
      </c>
      <c r="L698" s="1" t="str">
        <f>VLOOKUP(A698,[1]Sheet1!$A$2:$J$1141,10,0)</f>
        <v>Section of Water Treatment &amp; CUS Opr</v>
      </c>
      <c r="M698" s="2">
        <v>27273</v>
      </c>
      <c r="N698" s="1" t="s">
        <v>29</v>
      </c>
      <c r="O698" s="1" t="s">
        <v>30</v>
      </c>
      <c r="P698" s="1" t="s">
        <v>3653</v>
      </c>
      <c r="Q698" s="1" t="s">
        <v>3626</v>
      </c>
      <c r="R698" s="1" t="s">
        <v>3627</v>
      </c>
      <c r="S698" s="1" t="s">
        <v>3604</v>
      </c>
      <c r="T698" s="14">
        <v>47757</v>
      </c>
      <c r="U698" s="1" t="s">
        <v>3654</v>
      </c>
      <c r="V698" s="1" t="s">
        <v>36</v>
      </c>
      <c r="W698" s="3" t="str">
        <f t="shared" si="10"/>
        <v>51 tahun</v>
      </c>
      <c r="X698" s="1" t="s">
        <v>882</v>
      </c>
      <c r="Y698" s="1" t="s">
        <v>56</v>
      </c>
      <c r="Z698" s="2">
        <v>37469</v>
      </c>
      <c r="AA698" s="2">
        <v>38718</v>
      </c>
      <c r="AB698" s="2" t="s">
        <v>84</v>
      </c>
    </row>
    <row r="699" spans="1:28" x14ac:dyDescent="0.35">
      <c r="A699" s="12">
        <v>6238</v>
      </c>
      <c r="B699" s="12">
        <v>9212406</v>
      </c>
      <c r="C699" s="12" t="s">
        <v>103</v>
      </c>
      <c r="D699" s="12">
        <v>50069731</v>
      </c>
      <c r="E699" s="1" t="s">
        <v>3655</v>
      </c>
      <c r="F699" s="1" t="str">
        <f>VLOOKUP(A699,[1]Sheet1!$A$2:$E$1141,5,0)</f>
        <v>Autonomous Wat Treat &amp; CUS Op Jr Officer</v>
      </c>
      <c r="G699" s="17" t="str">
        <f>VLOOKUP(A699,[1]Sheet1!$A$2:$F$1141,6,0)</f>
        <v>Supervisor</v>
      </c>
      <c r="H699" s="1" t="s">
        <v>3600</v>
      </c>
      <c r="I699" s="1" t="s">
        <v>1117</v>
      </c>
      <c r="J699" s="1" t="str">
        <f>VLOOKUP(A699,[1]Sheet1!$A$2:$H$1141,8,0)</f>
        <v>Dept. of Mining &amp; Power Plant</v>
      </c>
      <c r="K699" s="1" t="str">
        <f>VLOOKUP(A699,[1]Sheet1!$A$2:$I$1141,9,0)</f>
        <v>Unit of Power Plant Operation</v>
      </c>
      <c r="L699" s="1" t="str">
        <f>VLOOKUP(A699,[1]Sheet1!$A$2:$J$1141,10,0)</f>
        <v>Section of Water Treatment &amp; CUS Opr</v>
      </c>
      <c r="M699" s="2">
        <v>33668</v>
      </c>
      <c r="N699" s="1" t="s">
        <v>29</v>
      </c>
      <c r="O699" s="1" t="s">
        <v>30</v>
      </c>
      <c r="P699" s="1" t="s">
        <v>3656</v>
      </c>
      <c r="Q699" s="1" t="s">
        <v>3657</v>
      </c>
      <c r="R699" s="1" t="s">
        <v>3658</v>
      </c>
      <c r="S699" s="1" t="s">
        <v>3604</v>
      </c>
      <c r="T699" s="14">
        <v>54149</v>
      </c>
      <c r="U699" s="1" t="s">
        <v>3659</v>
      </c>
      <c r="V699" s="1" t="s">
        <v>36</v>
      </c>
      <c r="W699" s="3" t="str">
        <f t="shared" si="10"/>
        <v>34 tahun</v>
      </c>
      <c r="X699" s="1" t="s">
        <v>3660</v>
      </c>
      <c r="Y699" s="1" t="s">
        <v>56</v>
      </c>
      <c r="Z699" s="2">
        <v>41275</v>
      </c>
      <c r="AA699" s="2">
        <v>41426</v>
      </c>
      <c r="AB699" s="2" t="s">
        <v>3661</v>
      </c>
    </row>
    <row r="700" spans="1:28" x14ac:dyDescent="0.35">
      <c r="A700" s="12">
        <v>6263</v>
      </c>
      <c r="B700" s="12">
        <v>9212432</v>
      </c>
      <c r="C700" s="12" t="s">
        <v>103</v>
      </c>
      <c r="D700" s="12">
        <v>50069734</v>
      </c>
      <c r="E700" s="16" t="s">
        <v>3662</v>
      </c>
      <c r="F700" s="1" t="str">
        <f>VLOOKUP(A700,[1]Sheet1!$A$2:$E$1141,5,0)</f>
        <v>Mgr of PP Performance &amp; Evaluation</v>
      </c>
      <c r="G700" s="16" t="str">
        <f>VLOOKUP(A700,[1]Sheet1!$A$2:$F$1141,6,0)</f>
        <v>Manager</v>
      </c>
      <c r="H700" s="1" t="s">
        <v>3663</v>
      </c>
      <c r="I700" s="1" t="s">
        <v>1117</v>
      </c>
      <c r="J700" s="1" t="str">
        <f>VLOOKUP(A700,[1]Sheet1!$A$2:$H$1141,8,0)</f>
        <v>Dept. of Mining &amp; Power Plant</v>
      </c>
      <c r="K700" s="1" t="str">
        <f>VLOOKUP(A700,[1]Sheet1!$A$2:$I$1141,9,0)</f>
        <v>Unit of Power Plant Operation</v>
      </c>
      <c r="L700" s="1" t="str">
        <f>VLOOKUP(A700,[1]Sheet1!$A$2:$J$1141,10,0)</f>
        <v>Section of PP Performance &amp; Evaluation</v>
      </c>
      <c r="M700" s="2">
        <v>33818</v>
      </c>
      <c r="N700" s="1" t="s">
        <v>29</v>
      </c>
      <c r="O700" s="1" t="s">
        <v>30</v>
      </c>
      <c r="P700" s="1" t="s">
        <v>3664</v>
      </c>
      <c r="Q700" s="1" t="s">
        <v>3665</v>
      </c>
      <c r="R700" s="1" t="s">
        <v>3666</v>
      </c>
      <c r="S700" s="1" t="s">
        <v>3667</v>
      </c>
      <c r="T700" s="14">
        <v>54302</v>
      </c>
      <c r="U700" s="1" t="s">
        <v>3668</v>
      </c>
      <c r="V700" s="1" t="s">
        <v>36</v>
      </c>
      <c r="W700" s="3" t="str">
        <f t="shared" si="10"/>
        <v>34 tahun</v>
      </c>
      <c r="X700" s="1" t="s">
        <v>3669</v>
      </c>
      <c r="Y700" s="1" t="s">
        <v>48</v>
      </c>
      <c r="Z700" s="2">
        <v>41275</v>
      </c>
      <c r="AA700" s="2">
        <v>41395</v>
      </c>
      <c r="AB700" s="2" t="s">
        <v>3670</v>
      </c>
    </row>
    <row r="701" spans="1:28" x14ac:dyDescent="0.35">
      <c r="A701" s="12">
        <v>4845</v>
      </c>
      <c r="B701" s="12">
        <v>7295087</v>
      </c>
      <c r="C701" s="12" t="s">
        <v>50</v>
      </c>
      <c r="D701" s="12">
        <v>50069736</v>
      </c>
      <c r="E701" s="1" t="s">
        <v>3671</v>
      </c>
      <c r="F701" s="1" t="str">
        <f>VLOOKUP(A701,[1]Sheet1!$A$2:$E$1141,5,0)</f>
        <v>PP Performance &amp; Evaluation Jr Officer</v>
      </c>
      <c r="G701" s="17" t="str">
        <f>VLOOKUP(A701,[1]Sheet1!$A$2:$F$1141,6,0)</f>
        <v>Supervisor</v>
      </c>
      <c r="H701" s="1" t="s">
        <v>3663</v>
      </c>
      <c r="I701" s="1" t="s">
        <v>1117</v>
      </c>
      <c r="J701" s="1" t="str">
        <f>VLOOKUP(A701,[1]Sheet1!$A$2:$H$1141,8,0)</f>
        <v>Dept. of Mining &amp; Power Plant</v>
      </c>
      <c r="K701" s="1" t="str">
        <f>VLOOKUP(A701,[1]Sheet1!$A$2:$I$1141,9,0)</f>
        <v>Unit of Power Plant Operation</v>
      </c>
      <c r="L701" s="1" t="str">
        <f>VLOOKUP(A701,[1]Sheet1!$A$2:$J$1141,10,0)</f>
        <v>Section of PP Performance &amp; Evaluation</v>
      </c>
      <c r="M701" s="2">
        <v>26456</v>
      </c>
      <c r="N701" s="1" t="s">
        <v>29</v>
      </c>
      <c r="O701" s="1" t="s">
        <v>30</v>
      </c>
      <c r="P701" s="1" t="s">
        <v>3672</v>
      </c>
      <c r="Q701" s="1" t="s">
        <v>3673</v>
      </c>
      <c r="R701" s="1" t="s">
        <v>3674</v>
      </c>
      <c r="S701" s="1" t="s">
        <v>3667</v>
      </c>
      <c r="T701" s="14">
        <v>46935</v>
      </c>
      <c r="U701" s="1" t="s">
        <v>3675</v>
      </c>
      <c r="V701" s="1" t="s">
        <v>36</v>
      </c>
      <c r="W701" s="3" t="str">
        <f t="shared" si="10"/>
        <v>54 tahun</v>
      </c>
      <c r="X701" s="1" t="s">
        <v>3676</v>
      </c>
      <c r="Y701" s="1" t="s">
        <v>56</v>
      </c>
      <c r="Z701" s="2">
        <v>34932</v>
      </c>
      <c r="AA701" s="2">
        <v>35309</v>
      </c>
      <c r="AB701" s="2" t="s">
        <v>1993</v>
      </c>
    </row>
    <row r="702" spans="1:28" x14ac:dyDescent="0.35">
      <c r="A702" s="12">
        <v>6048</v>
      </c>
      <c r="B702" s="12">
        <v>8912216</v>
      </c>
      <c r="C702" s="12" t="s">
        <v>103</v>
      </c>
      <c r="D702" s="12">
        <v>50069737</v>
      </c>
      <c r="E702" s="1" t="s">
        <v>3677</v>
      </c>
      <c r="F702" s="1" t="str">
        <f>VLOOKUP(A702,[1]Sheet1!$A$2:$E$1141,5,0)</f>
        <v>PP Performance &amp; Evaluation Jr Officer</v>
      </c>
      <c r="G702" s="17" t="str">
        <f>VLOOKUP(A702,[1]Sheet1!$A$2:$F$1141,6,0)</f>
        <v>Supervisor</v>
      </c>
      <c r="H702" s="1" t="s">
        <v>3663</v>
      </c>
      <c r="I702" s="1" t="s">
        <v>1117</v>
      </c>
      <c r="J702" s="1" t="str">
        <f>VLOOKUP(A702,[1]Sheet1!$A$2:$H$1141,8,0)</f>
        <v>Dept. of Mining &amp; Power Plant</v>
      </c>
      <c r="K702" s="1" t="str">
        <f>VLOOKUP(A702,[1]Sheet1!$A$2:$I$1141,9,0)</f>
        <v>Unit of Power Plant Operation</v>
      </c>
      <c r="L702" s="1" t="str">
        <f>VLOOKUP(A702,[1]Sheet1!$A$2:$J$1141,10,0)</f>
        <v>Section of PP Performance &amp; Evaluation</v>
      </c>
      <c r="M702" s="2">
        <v>32771</v>
      </c>
      <c r="N702" s="1" t="s">
        <v>29</v>
      </c>
      <c r="O702" s="1" t="s">
        <v>30</v>
      </c>
      <c r="P702" s="1" t="s">
        <v>3678</v>
      </c>
      <c r="Q702" s="1" t="s">
        <v>3673</v>
      </c>
      <c r="R702" s="1" t="s">
        <v>3674</v>
      </c>
      <c r="S702" s="1" t="s">
        <v>3667</v>
      </c>
      <c r="T702" s="14">
        <v>53236</v>
      </c>
      <c r="U702" s="1" t="s">
        <v>3679</v>
      </c>
      <c r="V702" s="1" t="s">
        <v>36</v>
      </c>
      <c r="W702" s="3" t="str">
        <f t="shared" si="10"/>
        <v>36 tahun</v>
      </c>
      <c r="X702" s="1" t="s">
        <v>137</v>
      </c>
      <c r="Y702" s="1" t="s">
        <v>48</v>
      </c>
      <c r="Z702" s="2">
        <v>41275</v>
      </c>
      <c r="AA702" s="2">
        <v>41395</v>
      </c>
      <c r="AB702" s="2" t="s">
        <v>3680</v>
      </c>
    </row>
    <row r="703" spans="1:28" x14ac:dyDescent="0.35">
      <c r="A703" s="12">
        <v>5263</v>
      </c>
      <c r="B703" s="12">
        <v>8110009</v>
      </c>
      <c r="C703" s="12" t="s">
        <v>139</v>
      </c>
      <c r="D703" s="12">
        <v>50023522</v>
      </c>
      <c r="E703" s="15" t="s">
        <v>3681</v>
      </c>
      <c r="F703" s="1" t="str">
        <f>VLOOKUP(A703,[1]Sheet1!$A$2:$E$1141,5,0)</f>
        <v>SM of Power Plant Machine Maint</v>
      </c>
      <c r="G703" s="15" t="str">
        <f>VLOOKUP(A703,[1]Sheet1!$A$2:$F$1141,6,0)</f>
        <v>Senior Manager</v>
      </c>
      <c r="H703" s="1" t="s">
        <v>3682</v>
      </c>
      <c r="I703" s="1" t="s">
        <v>1117</v>
      </c>
      <c r="J703" s="1" t="str">
        <f>VLOOKUP(A703,[1]Sheet1!$A$2:$H$1141,8,0)</f>
        <v>Dept. of Mining &amp; Power Plant</v>
      </c>
      <c r="K703" s="1" t="str">
        <f>VLOOKUP(A703,[1]Sheet1!$A$2:$I$1141,9,0)</f>
        <v>Unit of Power Plant Machine Maint</v>
      </c>
      <c r="L703" s="1" t="e">
        <f>VLOOKUP(A703,[1]Sheet1!$A$2:$J$1141,10,0)</f>
        <v>#REF!</v>
      </c>
      <c r="M703" s="2">
        <v>29804</v>
      </c>
      <c r="N703" s="1" t="s">
        <v>29</v>
      </c>
      <c r="O703" s="1" t="s">
        <v>30</v>
      </c>
      <c r="P703" s="1" t="s">
        <v>3683</v>
      </c>
      <c r="Q703" s="1" t="s">
        <v>3684</v>
      </c>
      <c r="R703" s="1" t="s">
        <v>3685</v>
      </c>
      <c r="S703" s="1" t="s">
        <v>3686</v>
      </c>
      <c r="T703" s="14">
        <v>50284</v>
      </c>
      <c r="U703" s="1" t="s">
        <v>3687</v>
      </c>
      <c r="V703" s="1" t="s">
        <v>36</v>
      </c>
      <c r="W703" s="3" t="str">
        <f t="shared" si="10"/>
        <v>45 tahun</v>
      </c>
      <c r="X703" s="1" t="s">
        <v>3688</v>
      </c>
      <c r="Y703" s="1" t="s">
        <v>48</v>
      </c>
      <c r="Z703" s="2">
        <v>40544</v>
      </c>
      <c r="AA703" s="2">
        <v>40664</v>
      </c>
      <c r="AB703" s="2" t="s">
        <v>3689</v>
      </c>
    </row>
    <row r="704" spans="1:28" x14ac:dyDescent="0.35">
      <c r="A704" s="12">
        <v>5193</v>
      </c>
      <c r="B704" s="12">
        <v>7695245</v>
      </c>
      <c r="C704" s="12" t="s">
        <v>50</v>
      </c>
      <c r="D704" s="12">
        <v>50023550</v>
      </c>
      <c r="E704" s="16" t="s">
        <v>3690</v>
      </c>
      <c r="F704" s="1" t="str">
        <f>VLOOKUP(A704,[1]Sheet1!$A$2:$E$1141,5,0)</f>
        <v>Mgr of Power Plant II Machine Maint</v>
      </c>
      <c r="G704" s="16" t="str">
        <f>VLOOKUP(A704,[1]Sheet1!$A$2:$F$1141,6,0)</f>
        <v>Manager</v>
      </c>
      <c r="H704" s="1" t="s">
        <v>3691</v>
      </c>
      <c r="I704" s="1" t="s">
        <v>1117</v>
      </c>
      <c r="J704" s="1" t="str">
        <f>VLOOKUP(A704,[1]Sheet1!$A$2:$H$1141,8,0)</f>
        <v>Dept. of Mining &amp; Power Plant</v>
      </c>
      <c r="K704" s="1" t="str">
        <f>VLOOKUP(A704,[1]Sheet1!$A$2:$I$1141,9,0)</f>
        <v>Unit of Power Plant Machine Maint</v>
      </c>
      <c r="L704" s="1" t="str">
        <f>VLOOKUP(A704,[1]Sheet1!$A$2:$J$1141,10,0)</f>
        <v>Section of Power Plant Machine Maint</v>
      </c>
      <c r="M704" s="2">
        <v>27776</v>
      </c>
      <c r="N704" s="1" t="s">
        <v>29</v>
      </c>
      <c r="O704" s="1" t="s">
        <v>30</v>
      </c>
      <c r="P704" s="1" t="s">
        <v>3692</v>
      </c>
      <c r="Q704" s="1" t="s">
        <v>3693</v>
      </c>
      <c r="R704" s="1" t="s">
        <v>3694</v>
      </c>
      <c r="S704" s="1" t="s">
        <v>3695</v>
      </c>
      <c r="T704" s="14">
        <v>48245</v>
      </c>
      <c r="U704" s="1" t="s">
        <v>3696</v>
      </c>
      <c r="V704" s="1" t="s">
        <v>186</v>
      </c>
      <c r="W704" s="3" t="str">
        <f t="shared" si="10"/>
        <v>50 tahun</v>
      </c>
      <c r="X704" s="1" t="s">
        <v>248</v>
      </c>
      <c r="Y704" s="1" t="s">
        <v>48</v>
      </c>
      <c r="Z704" s="2">
        <v>35002</v>
      </c>
      <c r="AA704" s="2">
        <v>35370</v>
      </c>
      <c r="AB704" s="2" t="s">
        <v>3697</v>
      </c>
    </row>
    <row r="705" spans="1:28" x14ac:dyDescent="0.35">
      <c r="A705" s="12">
        <v>5914</v>
      </c>
      <c r="B705" s="12">
        <v>8712081</v>
      </c>
      <c r="C705" s="12" t="s">
        <v>103</v>
      </c>
      <c r="D705" s="12">
        <v>50024213</v>
      </c>
      <c r="E705" s="1" t="s">
        <v>3698</v>
      </c>
      <c r="F705" s="1" t="str">
        <f>VLOOKUP(A705,[1]Sheet1!$A$2:$E$1141,5,0)</f>
        <v>PdM &amp; PM Sch PP Machine Maint Jr officer</v>
      </c>
      <c r="G705" s="17" t="str">
        <f>VLOOKUP(A705,[1]Sheet1!$A$2:$F$1141,6,0)</f>
        <v>Supervisor</v>
      </c>
      <c r="H705" s="1" t="s">
        <v>3691</v>
      </c>
      <c r="I705" s="1" t="s">
        <v>1117</v>
      </c>
      <c r="J705" s="1" t="str">
        <f>VLOOKUP(A705,[1]Sheet1!$A$2:$H$1141,8,0)</f>
        <v>Dept. of Mining &amp; Power Plant</v>
      </c>
      <c r="K705" s="1" t="str">
        <f>VLOOKUP(A705,[1]Sheet1!$A$2:$I$1141,9,0)</f>
        <v>Unit of Power Plant Machine Maint</v>
      </c>
      <c r="L705" s="1" t="str">
        <f>VLOOKUP(A705,[1]Sheet1!$A$2:$J$1141,10,0)</f>
        <v>Section of Power Plant Machine Maint</v>
      </c>
      <c r="M705" s="2">
        <v>31912</v>
      </c>
      <c r="N705" s="1" t="s">
        <v>29</v>
      </c>
      <c r="O705" s="1" t="s">
        <v>30</v>
      </c>
      <c r="P705" s="1" t="s">
        <v>3699</v>
      </c>
      <c r="Q705" s="1" t="s">
        <v>3700</v>
      </c>
      <c r="R705" s="1" t="s">
        <v>3701</v>
      </c>
      <c r="S705" s="1" t="s">
        <v>3695</v>
      </c>
      <c r="T705" s="14">
        <v>52383</v>
      </c>
      <c r="U705" s="1" t="s">
        <v>3702</v>
      </c>
      <c r="V705" s="1" t="s">
        <v>36</v>
      </c>
      <c r="W705" s="3" t="str">
        <f t="shared" si="10"/>
        <v>39 tahun</v>
      </c>
      <c r="X705" s="1" t="s">
        <v>112</v>
      </c>
      <c r="Y705" s="1" t="s">
        <v>56</v>
      </c>
      <c r="Z705" s="2">
        <v>41275</v>
      </c>
      <c r="AA705" s="2">
        <v>41426</v>
      </c>
      <c r="AB705" s="2" t="s">
        <v>3703</v>
      </c>
    </row>
    <row r="706" spans="1:28" x14ac:dyDescent="0.35">
      <c r="A706" s="12">
        <v>5874</v>
      </c>
      <c r="B706" s="12">
        <v>8612041</v>
      </c>
      <c r="C706" s="12" t="s">
        <v>103</v>
      </c>
      <c r="D706" s="12">
        <v>50024236</v>
      </c>
      <c r="E706" s="1" t="s">
        <v>3704</v>
      </c>
      <c r="F706" s="1" t="str">
        <f>VLOOKUP(A706,[1]Sheet1!$A$2:$E$1141,5,0)</f>
        <v>PdM &amp; PM Sch PP Machine Maint Jr officer</v>
      </c>
      <c r="G706" s="17" t="str">
        <f>VLOOKUP(A706,[1]Sheet1!$A$2:$F$1141,6,0)</f>
        <v>Supervisor</v>
      </c>
      <c r="H706" s="1" t="s">
        <v>3691</v>
      </c>
      <c r="I706" s="1" t="s">
        <v>1117</v>
      </c>
      <c r="J706" s="1" t="str">
        <f>VLOOKUP(A706,[1]Sheet1!$A$2:$H$1141,8,0)</f>
        <v>Dept. of Mining &amp; Power Plant</v>
      </c>
      <c r="K706" s="1" t="str">
        <f>VLOOKUP(A706,[1]Sheet1!$A$2:$I$1141,9,0)</f>
        <v>Unit of Power Plant Machine Maint</v>
      </c>
      <c r="L706" s="1" t="str">
        <f>VLOOKUP(A706,[1]Sheet1!$A$2:$J$1141,10,0)</f>
        <v>Section of Power Plant Machine Maint</v>
      </c>
      <c r="M706" s="2">
        <v>31501</v>
      </c>
      <c r="N706" s="1" t="s">
        <v>29</v>
      </c>
      <c r="O706" s="1" t="s">
        <v>30</v>
      </c>
      <c r="P706" s="1" t="s">
        <v>3705</v>
      </c>
      <c r="Q706" s="1" t="s">
        <v>3700</v>
      </c>
      <c r="R706" s="1" t="s">
        <v>3701</v>
      </c>
      <c r="S706" s="1" t="s">
        <v>3695</v>
      </c>
      <c r="T706" s="14">
        <v>51957</v>
      </c>
      <c r="U706" s="1" t="s">
        <v>3706</v>
      </c>
      <c r="V706" s="1" t="s">
        <v>36</v>
      </c>
      <c r="W706" s="3" t="str">
        <f t="shared" si="10"/>
        <v>40 tahun</v>
      </c>
      <c r="X706" s="1" t="s">
        <v>121</v>
      </c>
      <c r="Y706" s="1" t="s">
        <v>56</v>
      </c>
      <c r="Z706" s="2">
        <v>41275</v>
      </c>
      <c r="AA706" s="2">
        <v>41426</v>
      </c>
      <c r="AB706" s="2" t="s">
        <v>3707</v>
      </c>
    </row>
    <row r="707" spans="1:28" x14ac:dyDescent="0.35">
      <c r="A707" s="12">
        <v>6117</v>
      </c>
      <c r="B707" s="12">
        <v>9012286</v>
      </c>
      <c r="C707" s="12" t="s">
        <v>103</v>
      </c>
      <c r="D707" s="12">
        <v>50066820</v>
      </c>
      <c r="E707" s="1" t="s">
        <v>3708</v>
      </c>
      <c r="F707" s="1" t="str">
        <f>VLOOKUP(A707,[1]Sheet1!$A$2:$E$1141,5,0)</f>
        <v>PdM &amp; PM Sch PP Machine Maint Jr officer</v>
      </c>
      <c r="G707" s="17" t="str">
        <f>VLOOKUP(A707,[1]Sheet1!$A$2:$F$1141,6,0)</f>
        <v>Supervisor</v>
      </c>
      <c r="H707" s="1" t="s">
        <v>3691</v>
      </c>
      <c r="I707" s="1" t="s">
        <v>1117</v>
      </c>
      <c r="J707" s="1" t="str">
        <f>VLOOKUP(A707,[1]Sheet1!$A$2:$H$1141,8,0)</f>
        <v>Dept. of Mining &amp; Power Plant</v>
      </c>
      <c r="K707" s="1" t="str">
        <f>VLOOKUP(A707,[1]Sheet1!$A$2:$I$1141,9,0)</f>
        <v>Unit of Power Plant Machine Maint</v>
      </c>
      <c r="L707" s="1" t="str">
        <f>VLOOKUP(A707,[1]Sheet1!$A$2:$J$1141,10,0)</f>
        <v>Section of Power Plant Machine Maint</v>
      </c>
      <c r="M707" s="2">
        <v>33123</v>
      </c>
      <c r="N707" s="1" t="s">
        <v>29</v>
      </c>
      <c r="O707" s="1" t="s">
        <v>30</v>
      </c>
      <c r="P707" s="1" t="s">
        <v>3709</v>
      </c>
      <c r="Q707" s="1" t="s">
        <v>3700</v>
      </c>
      <c r="R707" s="1" t="s">
        <v>3701</v>
      </c>
      <c r="S707" s="1" t="s">
        <v>3695</v>
      </c>
      <c r="T707" s="14">
        <v>53601</v>
      </c>
      <c r="U707" s="1" t="s">
        <v>3710</v>
      </c>
      <c r="V707" s="1" t="s">
        <v>36</v>
      </c>
      <c r="W707" s="3" t="str">
        <f t="shared" ref="W707:W770" si="11">DATEDIF(M707,$W$1,"Y")&amp;" "&amp;"tahun"</f>
        <v>35 tahun</v>
      </c>
      <c r="X707" s="1" t="s">
        <v>3711</v>
      </c>
      <c r="Y707" s="1" t="s">
        <v>56</v>
      </c>
      <c r="Z707" s="2">
        <v>41275</v>
      </c>
      <c r="AA707" s="2">
        <v>41456</v>
      </c>
      <c r="AB707" s="2" t="s">
        <v>3712</v>
      </c>
    </row>
    <row r="708" spans="1:28" x14ac:dyDescent="0.35">
      <c r="A708" s="12">
        <v>5155</v>
      </c>
      <c r="B708" s="12">
        <v>7595062</v>
      </c>
      <c r="C708" s="12" t="s">
        <v>50</v>
      </c>
      <c r="D708" s="12">
        <v>50069664</v>
      </c>
      <c r="E708" s="16" t="s">
        <v>3713</v>
      </c>
      <c r="F708" s="1" t="str">
        <f>VLOOKUP(A708,[1]Sheet1!$A$2:$E$1141,5,0)</f>
        <v>Mgr of CUS Maintenance</v>
      </c>
      <c r="G708" s="16" t="str">
        <f>VLOOKUP(A708,[1]Sheet1!$A$2:$F$1141,6,0)</f>
        <v>Manager</v>
      </c>
      <c r="H708" s="1" t="s">
        <v>3714</v>
      </c>
      <c r="I708" s="1" t="s">
        <v>1117</v>
      </c>
      <c r="J708" s="1" t="str">
        <f>VLOOKUP(A708,[1]Sheet1!$A$2:$H$1141,8,0)</f>
        <v>Dept. of Mining &amp; Power Plant</v>
      </c>
      <c r="K708" s="1" t="str">
        <f>VLOOKUP(A708,[1]Sheet1!$A$2:$I$1141,9,0)</f>
        <v>Unit of Power Plant Machine Maint</v>
      </c>
      <c r="L708" s="1" t="str">
        <f>VLOOKUP(A708,[1]Sheet1!$A$2:$J$1141,10,0)</f>
        <v>Section of CUS Maintenance</v>
      </c>
      <c r="M708" s="2">
        <v>27616</v>
      </c>
      <c r="N708" s="1" t="s">
        <v>29</v>
      </c>
      <c r="O708" s="1" t="s">
        <v>30</v>
      </c>
      <c r="P708" s="1" t="s">
        <v>3715</v>
      </c>
      <c r="Q708" s="1" t="s">
        <v>3716</v>
      </c>
      <c r="R708" s="1" t="s">
        <v>3717</v>
      </c>
      <c r="S708" s="1" t="s">
        <v>3718</v>
      </c>
      <c r="T708" s="14">
        <v>48092</v>
      </c>
      <c r="U708" s="1" t="s">
        <v>3719</v>
      </c>
      <c r="V708" s="1" t="s">
        <v>36</v>
      </c>
      <c r="W708" s="3" t="str">
        <f t="shared" si="11"/>
        <v>51 tahun</v>
      </c>
      <c r="X708" s="1" t="s">
        <v>2555</v>
      </c>
      <c r="Y708" s="1" t="s">
        <v>56</v>
      </c>
      <c r="Z708" s="2">
        <v>34897</v>
      </c>
      <c r="AA708" s="2">
        <v>35278</v>
      </c>
      <c r="AB708" s="2" t="e">
        <v>#N/A</v>
      </c>
    </row>
    <row r="709" spans="1:28" x14ac:dyDescent="0.35">
      <c r="A709" s="12">
        <v>4967</v>
      </c>
      <c r="B709" s="12">
        <v>7406470</v>
      </c>
      <c r="C709" s="12" t="s">
        <v>219</v>
      </c>
      <c r="D709" s="12">
        <v>50069669</v>
      </c>
      <c r="E709" s="1" t="s">
        <v>3720</v>
      </c>
      <c r="F709" s="1" t="str">
        <f>VLOOKUP(A709,[1]Sheet1!$A$2:$E$1141,5,0)</f>
        <v>Spv of PdM &amp; PM Schedule CUS Elins</v>
      </c>
      <c r="G709" s="17" t="str">
        <f>VLOOKUP(A709,[1]Sheet1!$A$2:$F$1141,6,0)</f>
        <v>Supervisor</v>
      </c>
      <c r="H709" s="1" t="s">
        <v>3600</v>
      </c>
      <c r="I709" s="1" t="s">
        <v>1117</v>
      </c>
      <c r="J709" s="1" t="str">
        <f>VLOOKUP(A709,[1]Sheet1!$A$2:$H$1141,8,0)</f>
        <v>Dept. of Mining &amp; Power Plant</v>
      </c>
      <c r="K709" s="1" t="str">
        <f>VLOOKUP(A709,[1]Sheet1!$A$2:$I$1141,9,0)</f>
        <v>Unit of Power Plant Machine Maint</v>
      </c>
      <c r="L709" s="1" t="str">
        <f>VLOOKUP(A709,[1]Sheet1!$A$2:$J$1141,10,0)</f>
        <v>Section of CUS Maintenance</v>
      </c>
      <c r="M709" s="2">
        <v>27289</v>
      </c>
      <c r="N709" s="1" t="s">
        <v>29</v>
      </c>
      <c r="O709" s="1" t="s">
        <v>30</v>
      </c>
      <c r="P709" s="1" t="s">
        <v>3721</v>
      </c>
      <c r="Q709" s="1" t="s">
        <v>3626</v>
      </c>
      <c r="R709" s="1" t="s">
        <v>3627</v>
      </c>
      <c r="S709" s="1" t="s">
        <v>3604</v>
      </c>
      <c r="T709" s="14">
        <v>47757</v>
      </c>
      <c r="U709" s="1" t="s">
        <v>3722</v>
      </c>
      <c r="V709" s="1" t="s">
        <v>36</v>
      </c>
      <c r="W709" s="3" t="str">
        <f t="shared" si="11"/>
        <v>51 tahun</v>
      </c>
      <c r="X709" s="1" t="s">
        <v>3723</v>
      </c>
      <c r="Y709" s="1" t="s">
        <v>56</v>
      </c>
      <c r="Z709" s="2">
        <v>38718</v>
      </c>
      <c r="AA709" s="2">
        <v>41030</v>
      </c>
      <c r="AB709" s="2" t="s">
        <v>3724</v>
      </c>
    </row>
    <row r="710" spans="1:28" x14ac:dyDescent="0.35">
      <c r="A710" s="12">
        <v>6230</v>
      </c>
      <c r="B710" s="12">
        <v>9212397</v>
      </c>
      <c r="C710" s="12" t="s">
        <v>103</v>
      </c>
      <c r="D710" s="12">
        <v>50069670</v>
      </c>
      <c r="E710" s="1" t="s">
        <v>3725</v>
      </c>
      <c r="F710" s="1" t="str">
        <f>VLOOKUP(A710,[1]Sheet1!$A$2:$E$1141,5,0)</f>
        <v>Spv of PvM CUS Elins</v>
      </c>
      <c r="G710" s="17" t="str">
        <f>VLOOKUP(A710,[1]Sheet1!$A$2:$F$1141,6,0)</f>
        <v>Supervisor</v>
      </c>
      <c r="H710" s="1" t="s">
        <v>3714</v>
      </c>
      <c r="I710" s="1" t="s">
        <v>1117</v>
      </c>
      <c r="J710" s="1" t="str">
        <f>VLOOKUP(A710,[1]Sheet1!$A$2:$H$1141,8,0)</f>
        <v>Dept. of Mining &amp; Power Plant</v>
      </c>
      <c r="K710" s="1" t="str">
        <f>VLOOKUP(A710,[1]Sheet1!$A$2:$I$1141,9,0)</f>
        <v>Unit of Power Plant Machine Maint</v>
      </c>
      <c r="L710" s="1" t="str">
        <f>VLOOKUP(A710,[1]Sheet1!$A$2:$J$1141,10,0)</f>
        <v>Section of CUS Maintenance</v>
      </c>
      <c r="M710" s="2">
        <v>33630</v>
      </c>
      <c r="N710" s="1" t="s">
        <v>29</v>
      </c>
      <c r="O710" s="1" t="s">
        <v>30</v>
      </c>
      <c r="P710" s="1" t="s">
        <v>3726</v>
      </c>
      <c r="Q710" s="1" t="s">
        <v>3727</v>
      </c>
      <c r="R710" s="1" t="s">
        <v>3728</v>
      </c>
      <c r="S710" s="1" t="s">
        <v>3718</v>
      </c>
      <c r="T710" s="14">
        <v>54089</v>
      </c>
      <c r="U710" s="1" t="s">
        <v>3729</v>
      </c>
      <c r="V710" s="1" t="s">
        <v>36</v>
      </c>
      <c r="W710" s="3" t="str">
        <f t="shared" si="11"/>
        <v>34 tahun</v>
      </c>
      <c r="X710" s="1" t="s">
        <v>107</v>
      </c>
      <c r="Y710" s="1" t="s">
        <v>56</v>
      </c>
      <c r="Z710" s="2">
        <v>41275</v>
      </c>
      <c r="AA710" s="2">
        <v>41426</v>
      </c>
      <c r="AB710" s="2" t="s">
        <v>3730</v>
      </c>
    </row>
    <row r="711" spans="1:28" x14ac:dyDescent="0.35">
      <c r="A711" s="12">
        <v>5843</v>
      </c>
      <c r="B711" s="12">
        <v>8512010</v>
      </c>
      <c r="C711" s="12" t="s">
        <v>103</v>
      </c>
      <c r="D711" s="12">
        <v>50069671</v>
      </c>
      <c r="E711" s="1" t="s">
        <v>3731</v>
      </c>
      <c r="F711" s="1" t="str">
        <f>VLOOKUP(A711,[1]Sheet1!$A$2:$E$1141,5,0)</f>
        <v>Spv of PdM &amp; PM Scdl CUS Machine</v>
      </c>
      <c r="G711" s="17" t="str">
        <f>VLOOKUP(A711,[1]Sheet1!$A$2:$F$1141,6,0)</f>
        <v>Supervisor</v>
      </c>
      <c r="H711" s="1" t="s">
        <v>3714</v>
      </c>
      <c r="I711" s="1" t="s">
        <v>1117</v>
      </c>
      <c r="J711" s="1" t="str">
        <f>VLOOKUP(A711,[1]Sheet1!$A$2:$H$1141,8,0)</f>
        <v>Dept. of Mining &amp; Power Plant</v>
      </c>
      <c r="K711" s="1" t="str">
        <f>VLOOKUP(A711,[1]Sheet1!$A$2:$I$1141,9,0)</f>
        <v>Unit of Power Plant Machine Maint</v>
      </c>
      <c r="L711" s="1" t="str">
        <f>VLOOKUP(A711,[1]Sheet1!$A$2:$J$1141,10,0)</f>
        <v>Section of CUS Maintenance</v>
      </c>
      <c r="M711" s="2">
        <v>31175</v>
      </c>
      <c r="N711" s="1" t="s">
        <v>29</v>
      </c>
      <c r="O711" s="1" t="s">
        <v>30</v>
      </c>
      <c r="P711" s="1" t="s">
        <v>3732</v>
      </c>
      <c r="Q711" s="1" t="s">
        <v>3733</v>
      </c>
      <c r="R711" s="1" t="s">
        <v>3734</v>
      </c>
      <c r="S711" s="1" t="s">
        <v>3718</v>
      </c>
      <c r="T711" s="14">
        <v>51653</v>
      </c>
      <c r="U711" s="1" t="s">
        <v>3735</v>
      </c>
      <c r="V711" s="1" t="s">
        <v>36</v>
      </c>
      <c r="W711" s="3" t="str">
        <f t="shared" si="11"/>
        <v>41 tahun</v>
      </c>
      <c r="X711" s="1" t="s">
        <v>3736</v>
      </c>
      <c r="Y711" s="1" t="s">
        <v>56</v>
      </c>
      <c r="Z711" s="2">
        <v>41275</v>
      </c>
      <c r="AA711" s="2">
        <v>41426</v>
      </c>
      <c r="AB711" s="2" t="s">
        <v>96</v>
      </c>
    </row>
    <row r="712" spans="1:28" x14ac:dyDescent="0.35">
      <c r="A712" s="12">
        <v>5973</v>
      </c>
      <c r="B712" s="12">
        <v>8812141</v>
      </c>
      <c r="C712" s="12" t="s">
        <v>103</v>
      </c>
      <c r="D712" s="12">
        <v>50066491</v>
      </c>
      <c r="E712" s="1" t="s">
        <v>3737</v>
      </c>
      <c r="F712" s="1" t="str">
        <f>VLOOKUP(A712,[1]Sheet1!$A$2:$E$1141,5,0)</f>
        <v>Spv of PP Machine Maintenance</v>
      </c>
      <c r="G712" s="17" t="str">
        <f>VLOOKUP(A712,[1]Sheet1!$A$2:$F$1141,6,0)</f>
        <v>Supervisor</v>
      </c>
      <c r="H712" s="1" t="s">
        <v>3691</v>
      </c>
      <c r="I712" s="1" t="s">
        <v>1117</v>
      </c>
      <c r="J712" s="1" t="str">
        <f>VLOOKUP(A712,[1]Sheet1!$A$2:$H$1141,8,0)</f>
        <v>Dept. of Mining &amp; Power Plant</v>
      </c>
      <c r="K712" s="1" t="str">
        <f>VLOOKUP(A712,[1]Sheet1!$A$2:$I$1141,9,0)</f>
        <v>Unit of Power Plant Machine Maint</v>
      </c>
      <c r="L712" s="1" t="str">
        <f>VLOOKUP(A712,[1]Sheet1!$A$2:$J$1141,10,0)</f>
        <v>Section of Power Plant Machine Maint</v>
      </c>
      <c r="M712" s="2">
        <v>32372</v>
      </c>
      <c r="N712" s="1" t="s">
        <v>29</v>
      </c>
      <c r="O712" s="1" t="s">
        <v>30</v>
      </c>
      <c r="P712" s="1" t="s">
        <v>3732</v>
      </c>
      <c r="Q712" s="1" t="s">
        <v>3733</v>
      </c>
      <c r="R712" s="1" t="s">
        <v>3738</v>
      </c>
      <c r="S712" s="1" t="s">
        <v>3695</v>
      </c>
      <c r="T712" s="14">
        <v>52841</v>
      </c>
      <c r="U712" s="1" t="s">
        <v>3739</v>
      </c>
      <c r="V712" s="1" t="s">
        <v>36</v>
      </c>
      <c r="W712" s="3" t="str">
        <f t="shared" si="11"/>
        <v>38 tahun</v>
      </c>
      <c r="X712" s="1" t="s">
        <v>600</v>
      </c>
      <c r="Y712" s="1" t="s">
        <v>56</v>
      </c>
      <c r="Z712" s="2">
        <v>41275</v>
      </c>
      <c r="AA712" s="2">
        <v>41426</v>
      </c>
      <c r="AB712" s="2" t="s">
        <v>3740</v>
      </c>
    </row>
    <row r="713" spans="1:28" x14ac:dyDescent="0.35">
      <c r="A713" s="12">
        <v>6232</v>
      </c>
      <c r="B713" s="12">
        <v>9212400</v>
      </c>
      <c r="C713" s="12" t="s">
        <v>103</v>
      </c>
      <c r="D713" s="12">
        <v>50066604</v>
      </c>
      <c r="E713" s="1" t="s">
        <v>3741</v>
      </c>
      <c r="F713" s="1" t="str">
        <f>VLOOKUP(A713,[1]Sheet1!$A$2:$E$1141,5,0)</f>
        <v>Spv of PP Machine Maintenance</v>
      </c>
      <c r="G713" s="17" t="str">
        <f>VLOOKUP(A713,[1]Sheet1!$A$2:$F$1141,6,0)</f>
        <v>Supervisor</v>
      </c>
      <c r="H713" s="1" t="s">
        <v>3691</v>
      </c>
      <c r="I713" s="1" t="s">
        <v>1117</v>
      </c>
      <c r="J713" s="1" t="str">
        <f>VLOOKUP(A713,[1]Sheet1!$A$2:$H$1141,8,0)</f>
        <v>Dept. of Mining &amp; Power Plant</v>
      </c>
      <c r="K713" s="1" t="str">
        <f>VLOOKUP(A713,[1]Sheet1!$A$2:$I$1141,9,0)</f>
        <v>Unit of Power Plant Machine Maint</v>
      </c>
      <c r="L713" s="1" t="str">
        <f>VLOOKUP(A713,[1]Sheet1!$A$2:$J$1141,10,0)</f>
        <v>Section of Power Plant Machine Maint</v>
      </c>
      <c r="M713" s="2">
        <v>33633</v>
      </c>
      <c r="N713" s="1" t="s">
        <v>29</v>
      </c>
      <c r="O713" s="1" t="s">
        <v>30</v>
      </c>
      <c r="P713" s="1" t="s">
        <v>3742</v>
      </c>
      <c r="Q713" s="1" t="s">
        <v>3733</v>
      </c>
      <c r="R713" s="1" t="s">
        <v>3738</v>
      </c>
      <c r="S713" s="1" t="s">
        <v>3695</v>
      </c>
      <c r="T713" s="14">
        <v>54089</v>
      </c>
      <c r="U713" s="1" t="s">
        <v>3743</v>
      </c>
      <c r="V713" s="1" t="s">
        <v>36</v>
      </c>
      <c r="W713" s="3" t="str">
        <f t="shared" si="11"/>
        <v>34 tahun</v>
      </c>
      <c r="X713" s="1" t="s">
        <v>112</v>
      </c>
      <c r="Y713" s="1" t="s">
        <v>56</v>
      </c>
      <c r="Z713" s="2">
        <v>41275</v>
      </c>
      <c r="AA713" s="2">
        <v>41456</v>
      </c>
      <c r="AB713" s="2" t="s">
        <v>3744</v>
      </c>
    </row>
    <row r="714" spans="1:28" x14ac:dyDescent="0.35">
      <c r="A714" s="12">
        <v>5092</v>
      </c>
      <c r="B714" s="12">
        <v>7402259</v>
      </c>
      <c r="C714" s="12" t="s">
        <v>164</v>
      </c>
      <c r="D714" s="12">
        <v>50066605</v>
      </c>
      <c r="E714" s="1" t="s">
        <v>3745</v>
      </c>
      <c r="F714" s="1" t="str">
        <f>VLOOKUP(A714,[1]Sheet1!$A$2:$E$1141,5,0)</f>
        <v>Spv of PP Machine Maintenance</v>
      </c>
      <c r="G714" s="17" t="str">
        <f>VLOOKUP(A714,[1]Sheet1!$A$2:$F$1141,6,0)</f>
        <v>Supervisor</v>
      </c>
      <c r="H714" s="1" t="s">
        <v>3691</v>
      </c>
      <c r="I714" s="1" t="s">
        <v>1117</v>
      </c>
      <c r="J714" s="1" t="str">
        <f>VLOOKUP(A714,[1]Sheet1!$A$2:$H$1141,8,0)</f>
        <v>Dept. of Mining &amp; Power Plant</v>
      </c>
      <c r="K714" s="1" t="str">
        <f>VLOOKUP(A714,[1]Sheet1!$A$2:$I$1141,9,0)</f>
        <v>Unit of Power Plant Machine Maint</v>
      </c>
      <c r="L714" s="1" t="str">
        <f>VLOOKUP(A714,[1]Sheet1!$A$2:$J$1141,10,0)</f>
        <v>Section of Power Plant Machine Maint</v>
      </c>
      <c r="M714" s="2">
        <v>27392</v>
      </c>
      <c r="N714" s="1" t="s">
        <v>29</v>
      </c>
      <c r="O714" s="1" t="s">
        <v>30</v>
      </c>
      <c r="P714" s="1" t="s">
        <v>3746</v>
      </c>
      <c r="Q714" s="1" t="s">
        <v>3733</v>
      </c>
      <c r="R714" s="1" t="s">
        <v>3738</v>
      </c>
      <c r="S714" s="1" t="s">
        <v>3695</v>
      </c>
      <c r="T714" s="14">
        <v>47849</v>
      </c>
      <c r="U714" s="1" t="s">
        <v>3747</v>
      </c>
      <c r="V714" s="1" t="s">
        <v>186</v>
      </c>
      <c r="W714" s="3" t="str">
        <f t="shared" si="11"/>
        <v>51 tahun</v>
      </c>
      <c r="X714" s="1" t="s">
        <v>1146</v>
      </c>
      <c r="Y714" s="1" t="s">
        <v>56</v>
      </c>
      <c r="Z714" s="2">
        <v>37469</v>
      </c>
      <c r="AA714" s="2">
        <v>38718</v>
      </c>
      <c r="AB714" s="2" t="s">
        <v>3748</v>
      </c>
    </row>
    <row r="715" spans="1:28" x14ac:dyDescent="0.35">
      <c r="A715" s="12">
        <v>6133</v>
      </c>
      <c r="B715" s="12">
        <v>9012302</v>
      </c>
      <c r="C715" s="12" t="s">
        <v>103</v>
      </c>
      <c r="D715" s="12">
        <v>50066606</v>
      </c>
      <c r="E715" s="1" t="s">
        <v>3749</v>
      </c>
      <c r="F715" s="1" t="str">
        <f>VLOOKUP(A715,[1]Sheet1!$A$2:$E$1141,5,0)</f>
        <v>Spv of PP Machine Maintenance</v>
      </c>
      <c r="G715" s="17" t="str">
        <f>VLOOKUP(A715,[1]Sheet1!$A$2:$F$1141,6,0)</f>
        <v>Supervisor</v>
      </c>
      <c r="H715" s="1" t="s">
        <v>3691</v>
      </c>
      <c r="I715" s="1" t="s">
        <v>1117</v>
      </c>
      <c r="J715" s="1" t="str">
        <f>VLOOKUP(A715,[1]Sheet1!$A$2:$H$1141,8,0)</f>
        <v>Dept. of Mining &amp; Power Plant</v>
      </c>
      <c r="K715" s="1" t="str">
        <f>VLOOKUP(A715,[1]Sheet1!$A$2:$I$1141,9,0)</f>
        <v>Unit of Power Plant Machine Maint</v>
      </c>
      <c r="L715" s="1" t="str">
        <f>VLOOKUP(A715,[1]Sheet1!$A$2:$J$1141,10,0)</f>
        <v>Section of Power Plant Machine Maint</v>
      </c>
      <c r="M715" s="2">
        <v>33166</v>
      </c>
      <c r="N715" s="1" t="s">
        <v>29</v>
      </c>
      <c r="O715" s="1" t="s">
        <v>30</v>
      </c>
      <c r="P715" s="1" t="s">
        <v>3750</v>
      </c>
      <c r="Q715" s="1" t="s">
        <v>3733</v>
      </c>
      <c r="R715" s="1" t="s">
        <v>3738</v>
      </c>
      <c r="S715" s="1" t="s">
        <v>3695</v>
      </c>
      <c r="T715" s="14">
        <v>53632</v>
      </c>
      <c r="U715" s="1" t="s">
        <v>3751</v>
      </c>
      <c r="V715" s="1" t="s">
        <v>36</v>
      </c>
      <c r="W715" s="3" t="str">
        <f t="shared" si="11"/>
        <v>35 tahun</v>
      </c>
      <c r="X715" s="1" t="s">
        <v>1654</v>
      </c>
      <c r="Y715" s="1" t="s">
        <v>56</v>
      </c>
      <c r="Z715" s="2">
        <v>41275</v>
      </c>
      <c r="AA715" s="2">
        <v>41456</v>
      </c>
      <c r="AB715" s="2" t="s">
        <v>3752</v>
      </c>
    </row>
    <row r="716" spans="1:28" x14ac:dyDescent="0.35">
      <c r="A716" s="12">
        <v>5871</v>
      </c>
      <c r="B716" s="12">
        <v>8612038</v>
      </c>
      <c r="C716" s="12" t="s">
        <v>103</v>
      </c>
      <c r="D716" s="12">
        <v>50069672</v>
      </c>
      <c r="E716" s="1" t="s">
        <v>3753</v>
      </c>
      <c r="F716" s="1" t="str">
        <f>VLOOKUP(A716,[1]Sheet1!$A$2:$E$1141,5,0)</f>
        <v>Spv of PvM CUS Machine</v>
      </c>
      <c r="G716" s="17" t="str">
        <f>VLOOKUP(A716,[1]Sheet1!$A$2:$F$1141,6,0)</f>
        <v>Supervisor</v>
      </c>
      <c r="H716" s="1" t="s">
        <v>3714</v>
      </c>
      <c r="I716" s="1" t="s">
        <v>1117</v>
      </c>
      <c r="J716" s="1" t="str">
        <f>VLOOKUP(A716,[1]Sheet1!$A$2:$H$1141,8,0)</f>
        <v>Dept. of Mining &amp; Power Plant</v>
      </c>
      <c r="K716" s="1" t="str">
        <f>VLOOKUP(A716,[1]Sheet1!$A$2:$I$1141,9,0)</f>
        <v>Unit of Power Plant Machine Maint</v>
      </c>
      <c r="L716" s="1" t="str">
        <f>VLOOKUP(A716,[1]Sheet1!$A$2:$J$1141,10,0)</f>
        <v>Section of CUS Maintenance</v>
      </c>
      <c r="M716" s="2">
        <v>31491</v>
      </c>
      <c r="N716" s="1" t="s">
        <v>29</v>
      </c>
      <c r="O716" s="1" t="s">
        <v>30</v>
      </c>
      <c r="P716" s="1" t="s">
        <v>3754</v>
      </c>
      <c r="Q716" s="1" t="s">
        <v>3755</v>
      </c>
      <c r="R716" s="1" t="s">
        <v>3756</v>
      </c>
      <c r="S716" s="1" t="s">
        <v>3718</v>
      </c>
      <c r="T716" s="14">
        <v>51957</v>
      </c>
      <c r="U716" s="1" t="s">
        <v>3757</v>
      </c>
      <c r="V716" s="1" t="s">
        <v>36</v>
      </c>
      <c r="W716" s="3" t="str">
        <f t="shared" si="11"/>
        <v>40 tahun</v>
      </c>
      <c r="X716" s="1" t="s">
        <v>121</v>
      </c>
      <c r="Y716" s="1" t="s">
        <v>56</v>
      </c>
      <c r="Z716" s="2">
        <v>41275</v>
      </c>
      <c r="AA716" s="2">
        <v>41426</v>
      </c>
      <c r="AB716" s="2" t="s">
        <v>3758</v>
      </c>
    </row>
    <row r="717" spans="1:28" x14ac:dyDescent="0.35">
      <c r="A717" s="12">
        <v>5077</v>
      </c>
      <c r="B717" s="12">
        <v>7495117</v>
      </c>
      <c r="C717" s="12" t="s">
        <v>50</v>
      </c>
      <c r="D717" s="12">
        <v>50069675</v>
      </c>
      <c r="E717" s="1" t="s">
        <v>3759</v>
      </c>
      <c r="F717" s="1" t="str">
        <f>VLOOKUP(A717,[1]Sheet1!$A$2:$E$1141,5,0)</f>
        <v>PP Planning &amp; Controlling Jr Officer</v>
      </c>
      <c r="G717" s="17" t="str">
        <f>VLOOKUP(A717,[1]Sheet1!$A$2:$F$1141,6,0)</f>
        <v>Supervisor</v>
      </c>
      <c r="H717" s="1" t="s">
        <v>3760</v>
      </c>
      <c r="I717" s="1" t="s">
        <v>1117</v>
      </c>
      <c r="J717" s="1" t="str">
        <f>VLOOKUP(A717,[1]Sheet1!$A$2:$H$1141,8,0)</f>
        <v>Dept. of Mining &amp; Power Plant</v>
      </c>
      <c r="K717" s="1" t="str">
        <f>VLOOKUP(A717,[1]Sheet1!$A$2:$I$1141,9,0)</f>
        <v>Unit of Power Plant Machine Maint</v>
      </c>
      <c r="L717" s="1" t="str">
        <f>VLOOKUP(A717,[1]Sheet1!$A$2:$J$1141,10,0)</f>
        <v>Section of PP Planning &amp; Controlling</v>
      </c>
      <c r="M717" s="2">
        <v>27295</v>
      </c>
      <c r="N717" s="1" t="s">
        <v>29</v>
      </c>
      <c r="O717" s="1" t="s">
        <v>30</v>
      </c>
      <c r="P717" s="1" t="s">
        <v>3761</v>
      </c>
      <c r="Q717" s="1" t="s">
        <v>3762</v>
      </c>
      <c r="R717" s="1" t="s">
        <v>3763</v>
      </c>
      <c r="S717" s="1" t="s">
        <v>3764</v>
      </c>
      <c r="T717" s="14">
        <v>47757</v>
      </c>
      <c r="U717" s="1" t="s">
        <v>3765</v>
      </c>
      <c r="V717" s="1" t="s">
        <v>186</v>
      </c>
      <c r="W717" s="3" t="str">
        <f t="shared" si="11"/>
        <v>51 tahun</v>
      </c>
      <c r="X717" s="1" t="s">
        <v>91</v>
      </c>
      <c r="Y717" s="1" t="s">
        <v>48</v>
      </c>
      <c r="Z717" s="2">
        <v>34932</v>
      </c>
      <c r="AA717" s="2">
        <v>35309</v>
      </c>
      <c r="AB717" s="2" t="s">
        <v>3766</v>
      </c>
    </row>
    <row r="718" spans="1:28" x14ac:dyDescent="0.35">
      <c r="A718" s="12">
        <v>4934</v>
      </c>
      <c r="B718" s="12">
        <v>7395100</v>
      </c>
      <c r="C718" s="12" t="s">
        <v>50</v>
      </c>
      <c r="D718" s="12">
        <v>50069678</v>
      </c>
      <c r="E718" s="1" t="s">
        <v>3767</v>
      </c>
      <c r="F718" s="1" t="str">
        <f>VLOOKUP(A718,[1]Sheet1!$A$2:$E$1141,5,0)</f>
        <v>PP Planning &amp; Controlling Jr Officer</v>
      </c>
      <c r="G718" s="17" t="str">
        <f>VLOOKUP(A718,[1]Sheet1!$A$2:$F$1141,6,0)</f>
        <v>Supervisor</v>
      </c>
      <c r="H718" s="1" t="s">
        <v>3760</v>
      </c>
      <c r="I718" s="1" t="s">
        <v>1117</v>
      </c>
      <c r="J718" s="1" t="str">
        <f>VLOOKUP(A718,[1]Sheet1!$A$2:$H$1141,8,0)</f>
        <v>Dept. of Mining &amp; Power Plant</v>
      </c>
      <c r="K718" s="1" t="str">
        <f>VLOOKUP(A718,[1]Sheet1!$A$2:$I$1141,9,0)</f>
        <v>Unit of Power Plant Machine Maint</v>
      </c>
      <c r="L718" s="1" t="str">
        <f>VLOOKUP(A718,[1]Sheet1!$A$2:$J$1141,10,0)</f>
        <v>Section of PP Planning &amp; Controlling</v>
      </c>
      <c r="M718" s="2">
        <v>26818</v>
      </c>
      <c r="N718" s="1" t="s">
        <v>29</v>
      </c>
      <c r="O718" s="1" t="s">
        <v>30</v>
      </c>
      <c r="P718" s="1" t="s">
        <v>3768</v>
      </c>
      <c r="Q718" s="1" t="s">
        <v>3762</v>
      </c>
      <c r="R718" s="1" t="s">
        <v>3763</v>
      </c>
      <c r="S718" s="1" t="s">
        <v>3764</v>
      </c>
      <c r="T718" s="14">
        <v>47300</v>
      </c>
      <c r="U718" s="1" t="s">
        <v>3769</v>
      </c>
      <c r="V718" s="1" t="s">
        <v>186</v>
      </c>
      <c r="W718" s="3" t="str">
        <f t="shared" si="11"/>
        <v>53 tahun</v>
      </c>
      <c r="X718" s="1" t="s">
        <v>1146</v>
      </c>
      <c r="Y718" s="1" t="s">
        <v>56</v>
      </c>
      <c r="Z718" s="2">
        <v>34932</v>
      </c>
      <c r="AA718" s="2">
        <v>35309</v>
      </c>
      <c r="AB718" s="2" t="s">
        <v>3770</v>
      </c>
    </row>
    <row r="719" spans="1:28" x14ac:dyDescent="0.35">
      <c r="A719" s="12">
        <v>4980</v>
      </c>
      <c r="B719" s="12">
        <v>7302232</v>
      </c>
      <c r="C719" s="12" t="s">
        <v>164</v>
      </c>
      <c r="D719" s="12">
        <v>50069679</v>
      </c>
      <c r="E719" s="1" t="s">
        <v>3771</v>
      </c>
      <c r="F719" s="1" t="str">
        <f>VLOOKUP(A719,[1]Sheet1!$A$2:$E$1141,5,0)</f>
        <v>PP Planning &amp; Controlling Jr Officer</v>
      </c>
      <c r="G719" s="17" t="str">
        <f>VLOOKUP(A719,[1]Sheet1!$A$2:$F$1141,6,0)</f>
        <v>Supervisor</v>
      </c>
      <c r="H719" s="1" t="s">
        <v>3760</v>
      </c>
      <c r="I719" s="1" t="s">
        <v>1117</v>
      </c>
      <c r="J719" s="1" t="str">
        <f>VLOOKUP(A719,[1]Sheet1!$A$2:$H$1141,8,0)</f>
        <v>Dept. of Mining &amp; Power Plant</v>
      </c>
      <c r="K719" s="1" t="str">
        <f>VLOOKUP(A719,[1]Sheet1!$A$2:$I$1141,9,0)</f>
        <v>Unit of Power Plant Machine Maint</v>
      </c>
      <c r="L719" s="1" t="str">
        <f>VLOOKUP(A719,[1]Sheet1!$A$2:$J$1141,10,0)</f>
        <v>Section of PP Planning &amp; Controlling</v>
      </c>
      <c r="M719" s="2">
        <v>26975</v>
      </c>
      <c r="N719" s="1" t="s">
        <v>29</v>
      </c>
      <c r="O719" s="1" t="s">
        <v>30</v>
      </c>
      <c r="P719" s="1" t="s">
        <v>3772</v>
      </c>
      <c r="Q719" s="1" t="s">
        <v>3762</v>
      </c>
      <c r="R719" s="1" t="s">
        <v>3763</v>
      </c>
      <c r="S719" s="1" t="s">
        <v>3764</v>
      </c>
      <c r="T719" s="14">
        <v>47453</v>
      </c>
      <c r="U719" s="1" t="s">
        <v>3773</v>
      </c>
      <c r="V719" s="1" t="s">
        <v>36</v>
      </c>
      <c r="W719" s="3" t="str">
        <f t="shared" si="11"/>
        <v>52 tahun</v>
      </c>
      <c r="X719" s="1" t="s">
        <v>91</v>
      </c>
      <c r="Y719" s="1" t="s">
        <v>38</v>
      </c>
      <c r="Z719" s="2">
        <v>37469</v>
      </c>
      <c r="AA719" s="2">
        <v>38718</v>
      </c>
      <c r="AB719" s="2" t="s">
        <v>3774</v>
      </c>
    </row>
    <row r="720" spans="1:28" x14ac:dyDescent="0.35">
      <c r="A720" s="12">
        <v>5260</v>
      </c>
      <c r="B720" s="12">
        <v>8110008</v>
      </c>
      <c r="C720" s="12" t="s">
        <v>139</v>
      </c>
      <c r="D720" s="12">
        <v>50023552</v>
      </c>
      <c r="E720" s="15" t="s">
        <v>3775</v>
      </c>
      <c r="F720" s="1" t="str">
        <f>VLOOKUP(A720,[1]Sheet1!$A$2:$E$1141,5,0)</f>
        <v>SM of Power Distribution</v>
      </c>
      <c r="G720" s="15" t="str">
        <f>VLOOKUP(A720,[1]Sheet1!$A$2:$F$1141,6,0)</f>
        <v>Senior Manager</v>
      </c>
      <c r="H720" s="1" t="s">
        <v>3776</v>
      </c>
      <c r="I720" s="1" t="s">
        <v>1117</v>
      </c>
      <c r="J720" s="1" t="str">
        <f>VLOOKUP(A720,[1]Sheet1!$A$2:$H$1141,8,0)</f>
        <v>Dept. of Mining &amp; Power Plant</v>
      </c>
      <c r="K720" s="1" t="str">
        <f>VLOOKUP(A720,[1]Sheet1!$A$2:$I$1141,9,0)</f>
        <v>Unit of Power Distribution</v>
      </c>
      <c r="L720" s="1" t="e">
        <f>VLOOKUP(A720,[1]Sheet1!$A$2:$J$1141,10,0)</f>
        <v>#REF!</v>
      </c>
      <c r="M720" s="2">
        <v>29710</v>
      </c>
      <c r="N720" s="1" t="s">
        <v>29</v>
      </c>
      <c r="O720" s="1" t="s">
        <v>30</v>
      </c>
      <c r="P720" s="1" t="s">
        <v>3777</v>
      </c>
      <c r="Q720" s="1" t="s">
        <v>3778</v>
      </c>
      <c r="R720" s="1" t="s">
        <v>3779</v>
      </c>
      <c r="S720" s="1" t="s">
        <v>3780</v>
      </c>
      <c r="T720" s="14">
        <v>50192</v>
      </c>
      <c r="U720" s="1" t="s">
        <v>3781</v>
      </c>
      <c r="V720" s="1" t="s">
        <v>36</v>
      </c>
      <c r="W720" s="3" t="str">
        <f t="shared" si="11"/>
        <v>45 tahun</v>
      </c>
      <c r="X720" s="1" t="s">
        <v>55</v>
      </c>
      <c r="Y720" s="1" t="s">
        <v>38</v>
      </c>
      <c r="Z720" s="2">
        <v>40544</v>
      </c>
      <c r="AA720" s="2">
        <v>40664</v>
      </c>
      <c r="AB720" s="2" t="s">
        <v>3782</v>
      </c>
    </row>
    <row r="721" spans="1:28" x14ac:dyDescent="0.35">
      <c r="A721" s="12">
        <v>5032</v>
      </c>
      <c r="B721" s="12">
        <v>7495031</v>
      </c>
      <c r="C721" s="12" t="s">
        <v>50</v>
      </c>
      <c r="D721" s="12">
        <v>50008450</v>
      </c>
      <c r="E721" s="16" t="s">
        <v>3783</v>
      </c>
      <c r="F721" s="1" t="str">
        <f>VLOOKUP(A721,[1]Sheet1!$A$2:$E$1141,5,0)</f>
        <v>Mgr of Electricity Load Control</v>
      </c>
      <c r="G721" s="16" t="str">
        <f>VLOOKUP(A721,[1]Sheet1!$A$2:$F$1141,6,0)</f>
        <v>Manager</v>
      </c>
      <c r="H721" s="1" t="s">
        <v>3784</v>
      </c>
      <c r="I721" s="1" t="s">
        <v>1117</v>
      </c>
      <c r="J721" s="1" t="str">
        <f>VLOOKUP(A721,[1]Sheet1!$A$2:$H$1141,8,0)</f>
        <v>Dept. of Mining &amp; Power Plant</v>
      </c>
      <c r="K721" s="1" t="str">
        <f>VLOOKUP(A721,[1]Sheet1!$A$2:$I$1141,9,0)</f>
        <v>Unit of Power Distribution</v>
      </c>
      <c r="L721" s="1" t="str">
        <f>VLOOKUP(A721,[1]Sheet1!$A$2:$J$1141,10,0)</f>
        <v>Section of Electricity Load Control</v>
      </c>
      <c r="M721" s="2">
        <v>27178</v>
      </c>
      <c r="N721" s="1" t="s">
        <v>29</v>
      </c>
      <c r="O721" s="1" t="s">
        <v>30</v>
      </c>
      <c r="P721" s="1" t="s">
        <v>3785</v>
      </c>
      <c r="Q721" s="1" t="s">
        <v>3786</v>
      </c>
      <c r="R721" s="1" t="s">
        <v>3787</v>
      </c>
      <c r="S721" s="1" t="s">
        <v>3788</v>
      </c>
      <c r="T721" s="14">
        <v>47635</v>
      </c>
      <c r="U721" s="1" t="s">
        <v>3789</v>
      </c>
      <c r="V721" s="1" t="s">
        <v>36</v>
      </c>
      <c r="W721" s="3" t="str">
        <f t="shared" si="11"/>
        <v>52 tahun</v>
      </c>
      <c r="X721" s="1" t="s">
        <v>91</v>
      </c>
      <c r="Y721" s="1" t="s">
        <v>48</v>
      </c>
      <c r="Z721" s="2">
        <v>34897</v>
      </c>
      <c r="AA721" s="2">
        <v>35278</v>
      </c>
      <c r="AB721" s="2" t="s">
        <v>3790</v>
      </c>
    </row>
    <row r="722" spans="1:28" x14ac:dyDescent="0.35">
      <c r="A722" s="12">
        <v>6184</v>
      </c>
      <c r="B722" s="12">
        <v>9112351</v>
      </c>
      <c r="C722" s="12" t="s">
        <v>103</v>
      </c>
      <c r="D722" s="12">
        <v>50024533</v>
      </c>
      <c r="E722" s="1" t="s">
        <v>3791</v>
      </c>
      <c r="F722" s="1" t="str">
        <f>VLOOKUP(A722,[1]Sheet1!$A$2:$E$1141,5,0)</f>
        <v>Spv of PP Electr Load Control (1)</v>
      </c>
      <c r="G722" s="17" t="str">
        <f>VLOOKUP(A722,[1]Sheet1!$A$2:$F$1141,6,0)</f>
        <v>Supervisor</v>
      </c>
      <c r="H722" s="1" t="s">
        <v>3784</v>
      </c>
      <c r="I722" s="1" t="s">
        <v>1117</v>
      </c>
      <c r="J722" s="1" t="str">
        <f>VLOOKUP(A722,[1]Sheet1!$A$2:$H$1141,8,0)</f>
        <v>Dept. of Mining &amp; Power Plant</v>
      </c>
      <c r="K722" s="1" t="str">
        <f>VLOOKUP(A722,[1]Sheet1!$A$2:$I$1141,9,0)</f>
        <v>Unit of Power Distribution</v>
      </c>
      <c r="L722" s="1" t="str">
        <f>VLOOKUP(A722,[1]Sheet1!$A$2:$J$1141,10,0)</f>
        <v>Section of Electricity Load Control</v>
      </c>
      <c r="M722" s="2">
        <v>33403</v>
      </c>
      <c r="N722" s="1" t="s">
        <v>29</v>
      </c>
      <c r="O722" s="1" t="s">
        <v>30</v>
      </c>
      <c r="P722" s="1" t="s">
        <v>3792</v>
      </c>
      <c r="Q722" s="1" t="s">
        <v>3793</v>
      </c>
      <c r="R722" s="1" t="s">
        <v>3794</v>
      </c>
      <c r="S722" s="1" t="s">
        <v>3788</v>
      </c>
      <c r="T722" s="14">
        <v>53874</v>
      </c>
      <c r="U722" s="1" t="s">
        <v>3795</v>
      </c>
      <c r="V722" s="1" t="s">
        <v>36</v>
      </c>
      <c r="W722" s="3" t="str">
        <f t="shared" si="11"/>
        <v>35 tahun</v>
      </c>
      <c r="X722" s="1" t="s">
        <v>2237</v>
      </c>
      <c r="Y722" s="1" t="s">
        <v>56</v>
      </c>
      <c r="Z722" s="2">
        <v>41275</v>
      </c>
      <c r="AA722" s="2">
        <v>41395</v>
      </c>
      <c r="AB722" s="2" t="s">
        <v>3796</v>
      </c>
    </row>
    <row r="723" spans="1:28" x14ac:dyDescent="0.35">
      <c r="A723" s="12">
        <v>4925</v>
      </c>
      <c r="B723" s="12">
        <v>7395098</v>
      </c>
      <c r="C723" s="12" t="s">
        <v>50</v>
      </c>
      <c r="D723" s="12">
        <v>50008475</v>
      </c>
      <c r="E723" s="1" t="s">
        <v>3797</v>
      </c>
      <c r="F723" s="1" t="str">
        <f>VLOOKUP(A723,[1]Sheet1!$A$2:$E$1141,5,0)</f>
        <v>Spv of PP Electr Load Ctrl (2/3/4/5)</v>
      </c>
      <c r="G723" s="17" t="str">
        <f>VLOOKUP(A723,[1]Sheet1!$A$2:$F$1141,6,0)</f>
        <v>Supervisor</v>
      </c>
      <c r="H723" s="1" t="s">
        <v>3784</v>
      </c>
      <c r="I723" s="1" t="s">
        <v>1117</v>
      </c>
      <c r="J723" s="1" t="str">
        <f>VLOOKUP(A723,[1]Sheet1!$A$2:$H$1141,8,0)</f>
        <v>Dept. of Mining &amp; Power Plant</v>
      </c>
      <c r="K723" s="1" t="str">
        <f>VLOOKUP(A723,[1]Sheet1!$A$2:$I$1141,9,0)</f>
        <v>Unit of Power Distribution</v>
      </c>
      <c r="L723" s="1" t="str">
        <f>VLOOKUP(A723,[1]Sheet1!$A$2:$J$1141,10,0)</f>
        <v>Section of Electricity Load Control</v>
      </c>
      <c r="M723" s="2">
        <v>26795</v>
      </c>
      <c r="N723" s="1" t="s">
        <v>29</v>
      </c>
      <c r="O723" s="1" t="s">
        <v>30</v>
      </c>
      <c r="P723" s="1" t="s">
        <v>3798</v>
      </c>
      <c r="Q723" s="1" t="s">
        <v>3799</v>
      </c>
      <c r="R723" s="1" t="s">
        <v>3800</v>
      </c>
      <c r="S723" s="1" t="s">
        <v>3788</v>
      </c>
      <c r="T723" s="14">
        <v>47270</v>
      </c>
      <c r="U723" s="1" t="s">
        <v>3801</v>
      </c>
      <c r="V723" s="1" t="s">
        <v>186</v>
      </c>
      <c r="W723" s="3" t="str">
        <f t="shared" si="11"/>
        <v>53 tahun</v>
      </c>
      <c r="X723" s="1" t="s">
        <v>55</v>
      </c>
      <c r="Y723" s="1" t="s">
        <v>48</v>
      </c>
      <c r="Z723" s="2">
        <v>34932</v>
      </c>
      <c r="AA723" s="2">
        <v>35309</v>
      </c>
      <c r="AB723" s="2" t="s">
        <v>3802</v>
      </c>
    </row>
    <row r="724" spans="1:28" x14ac:dyDescent="0.35">
      <c r="A724" s="12">
        <v>6106</v>
      </c>
      <c r="B724" s="12">
        <v>9012275</v>
      </c>
      <c r="C724" s="12" t="s">
        <v>103</v>
      </c>
      <c r="D724" s="12">
        <v>50069696</v>
      </c>
      <c r="E724" s="1" t="s">
        <v>3803</v>
      </c>
      <c r="F724" s="1" t="str">
        <f>VLOOKUP(A724,[1]Sheet1!$A$2:$E$1141,5,0)</f>
        <v>Spv of PP Troubleshooting</v>
      </c>
      <c r="G724" s="17" t="str">
        <f>VLOOKUP(A724,[1]Sheet1!$A$2:$F$1141,6,0)</f>
        <v>Supervisor</v>
      </c>
      <c r="H724" s="1" t="s">
        <v>3784</v>
      </c>
      <c r="I724" s="1" t="s">
        <v>1117</v>
      </c>
      <c r="J724" s="1" t="str">
        <f>VLOOKUP(A724,[1]Sheet1!$A$2:$H$1141,8,0)</f>
        <v>Dept. of Mining &amp; Power Plant</v>
      </c>
      <c r="K724" s="1" t="str">
        <f>VLOOKUP(A724,[1]Sheet1!$A$2:$I$1141,9,0)</f>
        <v>Unit of Power Distribution</v>
      </c>
      <c r="L724" s="1" t="str">
        <f>VLOOKUP(A724,[1]Sheet1!$A$2:$J$1141,10,0)</f>
        <v>Section of Electricity Load Control</v>
      </c>
      <c r="M724" s="2">
        <v>33073</v>
      </c>
      <c r="N724" s="1" t="s">
        <v>29</v>
      </c>
      <c r="O724" s="1" t="s">
        <v>30</v>
      </c>
      <c r="P724" s="1" t="s">
        <v>3804</v>
      </c>
      <c r="Q724" s="1" t="s">
        <v>3805</v>
      </c>
      <c r="R724" s="1" t="s">
        <v>3806</v>
      </c>
      <c r="S724" s="1" t="s">
        <v>3788</v>
      </c>
      <c r="T724" s="14">
        <v>53540</v>
      </c>
      <c r="U724" s="1" t="s">
        <v>3807</v>
      </c>
      <c r="V724" s="1" t="s">
        <v>36</v>
      </c>
      <c r="W724" s="3" t="str">
        <f t="shared" si="11"/>
        <v>36 tahun</v>
      </c>
      <c r="X724" s="1" t="s">
        <v>551</v>
      </c>
      <c r="Y724" s="1" t="s">
        <v>56</v>
      </c>
      <c r="Z724" s="2">
        <v>41275</v>
      </c>
      <c r="AA724" s="2">
        <v>41395</v>
      </c>
      <c r="AB724" s="2" t="s">
        <v>3808</v>
      </c>
    </row>
    <row r="725" spans="1:28" x14ac:dyDescent="0.35">
      <c r="A725" s="12">
        <v>5078</v>
      </c>
      <c r="B725" s="12">
        <v>7495216</v>
      </c>
      <c r="C725" s="12" t="s">
        <v>50</v>
      </c>
      <c r="D725" s="12">
        <v>50024565</v>
      </c>
      <c r="E725" s="1" t="s">
        <v>3809</v>
      </c>
      <c r="F725" s="1" t="str">
        <f>VLOOKUP(A725,[1]Sheet1!$A$2:$E$1141,5,0)</f>
        <v>Spv of Electrical Instalation Maint</v>
      </c>
      <c r="G725" s="17" t="str">
        <f>VLOOKUP(A725,[1]Sheet1!$A$2:$F$1141,6,0)</f>
        <v>Supervisor</v>
      </c>
      <c r="H725" s="1" t="s">
        <v>3784</v>
      </c>
      <c r="I725" s="1" t="s">
        <v>1117</v>
      </c>
      <c r="J725" s="1" t="str">
        <f>VLOOKUP(A725,[1]Sheet1!$A$2:$H$1141,8,0)</f>
        <v>Dept. of Mining &amp; Power Plant</v>
      </c>
      <c r="K725" s="1" t="str">
        <f>VLOOKUP(A725,[1]Sheet1!$A$2:$I$1141,9,0)</f>
        <v>Unit of Power Distribution</v>
      </c>
      <c r="L725" s="1" t="str">
        <f>VLOOKUP(A725,[1]Sheet1!$A$2:$J$1141,10,0)</f>
        <v>Section of Electrical Network Maint</v>
      </c>
      <c r="M725" s="2">
        <v>27137</v>
      </c>
      <c r="N725" s="1" t="s">
        <v>29</v>
      </c>
      <c r="O725" s="1" t="s">
        <v>30</v>
      </c>
      <c r="P725" s="1" t="s">
        <v>3810</v>
      </c>
      <c r="Q725" s="1" t="s">
        <v>3811</v>
      </c>
      <c r="R725" s="1" t="s">
        <v>3794</v>
      </c>
      <c r="S725" s="1" t="s">
        <v>3788</v>
      </c>
      <c r="T725" s="14">
        <v>47604</v>
      </c>
      <c r="U725" s="1" t="s">
        <v>3812</v>
      </c>
      <c r="V725" s="1" t="s">
        <v>186</v>
      </c>
      <c r="W725" s="3" t="str">
        <f t="shared" si="11"/>
        <v>52 tahun</v>
      </c>
      <c r="X725" s="1" t="s">
        <v>55</v>
      </c>
      <c r="Y725" s="1" t="s">
        <v>56</v>
      </c>
      <c r="Z725" s="2">
        <v>35002</v>
      </c>
      <c r="AA725" s="2">
        <v>35370</v>
      </c>
      <c r="AB725" s="2" t="s">
        <v>3813</v>
      </c>
    </row>
    <row r="726" spans="1:28" x14ac:dyDescent="0.35">
      <c r="A726" s="12">
        <v>6254</v>
      </c>
      <c r="B726" s="12">
        <v>9212422</v>
      </c>
      <c r="C726" s="12" t="s">
        <v>103</v>
      </c>
      <c r="D726" s="12">
        <v>50066987</v>
      </c>
      <c r="E726" s="1" t="s">
        <v>3814</v>
      </c>
      <c r="F726" s="1" t="str">
        <f>VLOOKUP(A726,[1]Sheet1!$A$2:$E$1141,5,0)</f>
        <v>Trafo 70KV &amp; Switch Gear 6,3KV Jr Office</v>
      </c>
      <c r="G726" s="17" t="str">
        <f>VLOOKUP(A726,[1]Sheet1!$A$2:$F$1141,6,0)</f>
        <v>Supervisor</v>
      </c>
      <c r="H726" s="1" t="s">
        <v>3815</v>
      </c>
      <c r="I726" s="1" t="s">
        <v>1117</v>
      </c>
      <c r="J726" s="1" t="str">
        <f>VLOOKUP(A726,[1]Sheet1!$A$2:$H$1141,8,0)</f>
        <v>Dept. of Mining &amp; Power Plant</v>
      </c>
      <c r="K726" s="1" t="str">
        <f>VLOOKUP(A726,[1]Sheet1!$A$2:$I$1141,9,0)</f>
        <v>Unit of Power Distribution</v>
      </c>
      <c r="L726" s="1" t="str">
        <f>VLOOKUP(A726,[1]Sheet1!$A$2:$J$1141,10,0)</f>
        <v>Section of Electrical Network Maint</v>
      </c>
      <c r="M726" s="2">
        <v>33744</v>
      </c>
      <c r="N726" s="1" t="s">
        <v>29</v>
      </c>
      <c r="O726" s="1" t="s">
        <v>30</v>
      </c>
      <c r="P726" s="1" t="s">
        <v>3816</v>
      </c>
      <c r="Q726" s="1" t="s">
        <v>3805</v>
      </c>
      <c r="R726" s="1" t="s">
        <v>3817</v>
      </c>
      <c r="S726" s="1" t="s">
        <v>3818</v>
      </c>
      <c r="T726" s="14">
        <v>54210</v>
      </c>
      <c r="U726" s="1" t="s">
        <v>3819</v>
      </c>
      <c r="V726" s="1" t="s">
        <v>36</v>
      </c>
      <c r="W726" s="3" t="str">
        <f t="shared" si="11"/>
        <v>34 tahun</v>
      </c>
      <c r="X726" s="1" t="s">
        <v>112</v>
      </c>
      <c r="Y726" s="1" t="s">
        <v>56</v>
      </c>
      <c r="Z726" s="2">
        <v>41275</v>
      </c>
      <c r="AA726" s="2">
        <v>41426</v>
      </c>
      <c r="AB726" s="2" t="s">
        <v>3820</v>
      </c>
    </row>
    <row r="727" spans="1:28" x14ac:dyDescent="0.35">
      <c r="A727" s="12">
        <v>5929</v>
      </c>
      <c r="B727" s="12">
        <v>8712095</v>
      </c>
      <c r="C727" s="12" t="s">
        <v>103</v>
      </c>
      <c r="D727" s="12">
        <v>50069698</v>
      </c>
      <c r="E727" s="1" t="s">
        <v>3821</v>
      </c>
      <c r="F727" s="1" t="str">
        <f>VLOOKUP(A727,[1]Sheet1!$A$2:$E$1141,5,0)</f>
        <v>Spv of PP Troubleshooting</v>
      </c>
      <c r="G727" s="17" t="str">
        <f>VLOOKUP(A727,[1]Sheet1!$A$2:$F$1141,6,0)</f>
        <v>Supervisor</v>
      </c>
      <c r="H727" s="1" t="s">
        <v>3784</v>
      </c>
      <c r="I727" s="1" t="s">
        <v>1117</v>
      </c>
      <c r="J727" s="1" t="str">
        <f>VLOOKUP(A727,[1]Sheet1!$A$2:$H$1141,8,0)</f>
        <v>Dept. of Mining &amp; Power Plant</v>
      </c>
      <c r="K727" s="1" t="str">
        <f>VLOOKUP(A727,[1]Sheet1!$A$2:$I$1141,9,0)</f>
        <v>Unit of Power Distribution</v>
      </c>
      <c r="L727" s="1" t="str">
        <f>VLOOKUP(A727,[1]Sheet1!$A$2:$J$1141,10,0)</f>
        <v>Section of Electricity Load Control</v>
      </c>
      <c r="M727" s="2">
        <v>32005</v>
      </c>
      <c r="N727" s="1" t="s">
        <v>29</v>
      </c>
      <c r="O727" s="1" t="s">
        <v>30</v>
      </c>
      <c r="P727" s="1" t="s">
        <v>3822</v>
      </c>
      <c r="Q727" s="1" t="s">
        <v>3805</v>
      </c>
      <c r="R727" s="1" t="s">
        <v>3806</v>
      </c>
      <c r="S727" s="1" t="s">
        <v>3788</v>
      </c>
      <c r="T727" s="14">
        <v>52475</v>
      </c>
      <c r="U727" s="1" t="s">
        <v>3823</v>
      </c>
      <c r="V727" s="1" t="s">
        <v>36</v>
      </c>
      <c r="W727" s="3" t="str">
        <f t="shared" si="11"/>
        <v>39 tahun</v>
      </c>
      <c r="X727" s="1" t="s">
        <v>486</v>
      </c>
      <c r="Y727" s="1" t="s">
        <v>56</v>
      </c>
      <c r="Z727" s="2">
        <v>41275</v>
      </c>
      <c r="AA727" s="2">
        <v>41487</v>
      </c>
      <c r="AB727" s="2" t="s">
        <v>1993</v>
      </c>
    </row>
    <row r="728" spans="1:28" x14ac:dyDescent="0.35">
      <c r="A728" s="12">
        <v>5927</v>
      </c>
      <c r="B728" s="12">
        <v>8712093</v>
      </c>
      <c r="C728" s="12" t="s">
        <v>103</v>
      </c>
      <c r="D728" s="12">
        <v>50023554</v>
      </c>
      <c r="E728" s="16" t="s">
        <v>3824</v>
      </c>
      <c r="F728" s="1" t="str">
        <f>VLOOKUP(A728,[1]Sheet1!$A$2:$E$1141,5,0)</f>
        <v>Mgr of Electrical Network Maint</v>
      </c>
      <c r="G728" s="16" t="str">
        <f>VLOOKUP(A728,[1]Sheet1!$A$2:$F$1141,6,0)</f>
        <v>Manager</v>
      </c>
      <c r="H728" s="1" t="s">
        <v>3815</v>
      </c>
      <c r="I728" s="1" t="s">
        <v>1117</v>
      </c>
      <c r="J728" s="1" t="str">
        <f>VLOOKUP(A728,[1]Sheet1!$A$2:$H$1141,8,0)</f>
        <v>Dept. of Mining &amp; Power Plant</v>
      </c>
      <c r="K728" s="1" t="str">
        <f>VLOOKUP(A728,[1]Sheet1!$A$2:$I$1141,9,0)</f>
        <v>Unit of Power Distribution</v>
      </c>
      <c r="L728" s="1" t="str">
        <f>VLOOKUP(A728,[1]Sheet1!$A$2:$J$1141,10,0)</f>
        <v>Section of Electrical Network Maint</v>
      </c>
      <c r="M728" s="2">
        <v>31994</v>
      </c>
      <c r="N728" s="1" t="s">
        <v>29</v>
      </c>
      <c r="O728" s="1" t="s">
        <v>30</v>
      </c>
      <c r="P728" s="1" t="s">
        <v>3825</v>
      </c>
      <c r="Q728" s="1" t="s">
        <v>3826</v>
      </c>
      <c r="R728" s="1" t="s">
        <v>3827</v>
      </c>
      <c r="S728" s="1" t="s">
        <v>3818</v>
      </c>
      <c r="T728" s="14">
        <v>52475</v>
      </c>
      <c r="U728" s="1" t="s">
        <v>3828</v>
      </c>
      <c r="V728" s="1" t="s">
        <v>36</v>
      </c>
      <c r="W728" s="3" t="str">
        <f t="shared" si="11"/>
        <v>39 tahun</v>
      </c>
      <c r="X728" s="1" t="s">
        <v>55</v>
      </c>
      <c r="Y728" s="1" t="s">
        <v>56</v>
      </c>
      <c r="Z728" s="2">
        <v>41275</v>
      </c>
      <c r="AA728" s="2">
        <v>41426</v>
      </c>
      <c r="AB728" s="2" t="s">
        <v>3829</v>
      </c>
    </row>
    <row r="729" spans="1:28" x14ac:dyDescent="0.35">
      <c r="A729" s="12">
        <v>4913</v>
      </c>
      <c r="B729" s="12">
        <v>7395013</v>
      </c>
      <c r="C729" s="12" t="s">
        <v>50</v>
      </c>
      <c r="D729" s="12">
        <v>50069693</v>
      </c>
      <c r="E729" s="1" t="s">
        <v>3830</v>
      </c>
      <c r="F729" s="1" t="str">
        <f>VLOOKUP(A729,[1]Sheet1!$A$2:$E$1141,5,0)</f>
        <v>Autonomous Elect Load Control Jr Officer</v>
      </c>
      <c r="G729" s="17" t="str">
        <f>VLOOKUP(A729,[1]Sheet1!$A$2:$F$1141,6,0)</f>
        <v>Supervisor</v>
      </c>
      <c r="H729" s="1" t="s">
        <v>3784</v>
      </c>
      <c r="I729" s="1" t="s">
        <v>1117</v>
      </c>
      <c r="J729" s="1" t="str">
        <f>VLOOKUP(A729,[1]Sheet1!$A$2:$H$1141,8,0)</f>
        <v>Dept. of Mining &amp; Power Plant</v>
      </c>
      <c r="K729" s="1" t="str">
        <f>VLOOKUP(A729,[1]Sheet1!$A$2:$I$1141,9,0)</f>
        <v>Unit of Power Distribution</v>
      </c>
      <c r="L729" s="1" t="str">
        <f>VLOOKUP(A729,[1]Sheet1!$A$2:$J$1141,10,0)</f>
        <v>Section of Electricity Load Control</v>
      </c>
      <c r="M729" s="2">
        <v>26734</v>
      </c>
      <c r="N729" s="1" t="s">
        <v>29</v>
      </c>
      <c r="O729" s="1" t="s">
        <v>30</v>
      </c>
      <c r="P729" s="1" t="s">
        <v>3831</v>
      </c>
      <c r="Q729" s="1" t="s">
        <v>3832</v>
      </c>
      <c r="R729" s="1" t="s">
        <v>3833</v>
      </c>
      <c r="S729" s="1" t="s">
        <v>3788</v>
      </c>
      <c r="T729" s="14">
        <v>47209</v>
      </c>
      <c r="U729" s="1" t="s">
        <v>3834</v>
      </c>
      <c r="V729" s="1" t="s">
        <v>36</v>
      </c>
      <c r="W729" s="3" t="str">
        <f t="shared" si="11"/>
        <v>53 tahun</v>
      </c>
      <c r="X729" s="1" t="s">
        <v>204</v>
      </c>
      <c r="Y729" s="1" t="s">
        <v>56</v>
      </c>
      <c r="Z729" s="2">
        <v>34897</v>
      </c>
      <c r="AA729" s="2">
        <v>35278</v>
      </c>
      <c r="AB729" s="2" t="s">
        <v>3835</v>
      </c>
    </row>
    <row r="730" spans="1:28" x14ac:dyDescent="0.35">
      <c r="A730" s="12">
        <v>6027</v>
      </c>
      <c r="B730" s="12">
        <v>8912194</v>
      </c>
      <c r="C730" s="12" t="s">
        <v>103</v>
      </c>
      <c r="D730" s="12">
        <v>50054054</v>
      </c>
      <c r="E730" s="1" t="s">
        <v>696</v>
      </c>
      <c r="F730" s="1" t="str">
        <f>VLOOKUP(A730,[1]Sheet1!$A$2:$E$1141,5,0)</f>
        <v>Trafo 70KV &amp; Switch Gear 6,3KV Jr Office</v>
      </c>
      <c r="G730" s="17" t="str">
        <f>VLOOKUP(A730,[1]Sheet1!$A$2:$F$1141,6,0)</f>
        <v>Supervisor</v>
      </c>
      <c r="H730" s="1" t="s">
        <v>3815</v>
      </c>
      <c r="I730" s="1" t="s">
        <v>1117</v>
      </c>
      <c r="J730" s="1" t="str">
        <f>VLOOKUP(A730,[1]Sheet1!$A$2:$H$1141,8,0)</f>
        <v>Dept. of Mining &amp; Power Plant</v>
      </c>
      <c r="K730" s="1" t="str">
        <f>VLOOKUP(A730,[1]Sheet1!$A$2:$I$1141,9,0)</f>
        <v>Unit of Power Distribution</v>
      </c>
      <c r="L730" s="1" t="str">
        <f>VLOOKUP(A730,[1]Sheet1!$A$2:$J$1141,10,0)</f>
        <v>Section of Electrical Network Maint</v>
      </c>
      <c r="M730" s="2">
        <v>32671</v>
      </c>
      <c r="N730" s="1" t="s">
        <v>29</v>
      </c>
      <c r="O730" s="1" t="s">
        <v>30</v>
      </c>
      <c r="P730" s="1" t="s">
        <v>3836</v>
      </c>
      <c r="Q730" s="1" t="s">
        <v>3837</v>
      </c>
      <c r="R730" s="1" t="s">
        <v>3817</v>
      </c>
      <c r="S730" s="1" t="s">
        <v>3818</v>
      </c>
      <c r="T730" s="14">
        <v>53144</v>
      </c>
      <c r="U730" s="1" t="s">
        <v>3838</v>
      </c>
      <c r="V730" s="1" t="s">
        <v>36</v>
      </c>
      <c r="W730" s="3" t="str">
        <f t="shared" si="11"/>
        <v>37 tahun</v>
      </c>
      <c r="X730" s="1" t="s">
        <v>55</v>
      </c>
      <c r="Y730" s="1" t="s">
        <v>56</v>
      </c>
      <c r="Z730" s="2">
        <v>41275</v>
      </c>
      <c r="AA730" s="2">
        <v>41395</v>
      </c>
      <c r="AB730" s="2" t="s">
        <v>3839</v>
      </c>
    </row>
    <row r="731" spans="1:28" x14ac:dyDescent="0.35">
      <c r="A731" s="12">
        <v>6131</v>
      </c>
      <c r="B731" s="12">
        <v>9012300</v>
      </c>
      <c r="C731" s="12" t="s">
        <v>103</v>
      </c>
      <c r="D731" s="12">
        <v>50069700</v>
      </c>
      <c r="E731" s="1" t="s">
        <v>3840</v>
      </c>
      <c r="F731" s="1" t="str">
        <f>VLOOKUP(A731,[1]Sheet1!$A$2:$E$1141,5,0)</f>
        <v>Spv of PdM &amp; PM Schd Elect Network Mai</v>
      </c>
      <c r="G731" s="17" t="str">
        <f>VLOOKUP(A731,[1]Sheet1!$A$2:$F$1141,6,0)</f>
        <v>Supervisor</v>
      </c>
      <c r="H731" s="1" t="s">
        <v>3815</v>
      </c>
      <c r="I731" s="1" t="s">
        <v>1117</v>
      </c>
      <c r="J731" s="1" t="str">
        <f>VLOOKUP(A731,[1]Sheet1!$A$2:$H$1141,8,0)</f>
        <v>Dept. of Mining &amp; Power Plant</v>
      </c>
      <c r="K731" s="1" t="str">
        <f>VLOOKUP(A731,[1]Sheet1!$A$2:$I$1141,9,0)</f>
        <v>Unit of Power Distribution</v>
      </c>
      <c r="L731" s="1" t="str">
        <f>VLOOKUP(A731,[1]Sheet1!$A$2:$J$1141,10,0)</f>
        <v>Section of Electrical Network Maint</v>
      </c>
      <c r="M731" s="2">
        <v>33158</v>
      </c>
      <c r="N731" s="1" t="s">
        <v>29</v>
      </c>
      <c r="O731" s="1" t="s">
        <v>30</v>
      </c>
      <c r="P731" s="1" t="s">
        <v>3841</v>
      </c>
      <c r="Q731" s="1" t="s">
        <v>3837</v>
      </c>
      <c r="R731" s="1" t="s">
        <v>3842</v>
      </c>
      <c r="S731" s="1" t="s">
        <v>3818</v>
      </c>
      <c r="T731" s="14">
        <v>53632</v>
      </c>
      <c r="U731" s="1" t="s">
        <v>3843</v>
      </c>
      <c r="V731" s="1" t="s">
        <v>36</v>
      </c>
      <c r="W731" s="3" t="str">
        <f t="shared" si="11"/>
        <v>35 tahun</v>
      </c>
      <c r="X731" s="1" t="s">
        <v>3844</v>
      </c>
      <c r="Y731" s="1" t="s">
        <v>56</v>
      </c>
      <c r="Z731" s="2">
        <v>41275</v>
      </c>
      <c r="AA731" s="2">
        <v>41426</v>
      </c>
      <c r="AB731" s="2" t="s">
        <v>3845</v>
      </c>
    </row>
    <row r="732" spans="1:28" x14ac:dyDescent="0.35">
      <c r="A732" s="12">
        <v>4852</v>
      </c>
      <c r="B732" s="12">
        <v>7202192</v>
      </c>
      <c r="C732" s="12" t="s">
        <v>164</v>
      </c>
      <c r="D732" s="12">
        <v>50024559</v>
      </c>
      <c r="E732" s="1" t="s">
        <v>3846</v>
      </c>
      <c r="F732" s="1" t="str">
        <f>VLOOKUP(A732,[1]Sheet1!$A$2:$E$1141,5,0)</f>
        <v>Spv of Trans Net 70KV &amp;Dist 22KV Maint</v>
      </c>
      <c r="G732" s="17" t="str">
        <f>VLOOKUP(A732,[1]Sheet1!$A$2:$F$1141,6,0)</f>
        <v>Supervisor</v>
      </c>
      <c r="H732" s="1" t="s">
        <v>3815</v>
      </c>
      <c r="I732" s="1" t="s">
        <v>1117</v>
      </c>
      <c r="J732" s="1" t="str">
        <f>VLOOKUP(A732,[1]Sheet1!$A$2:$H$1141,8,0)</f>
        <v>Dept. of Mining &amp; Power Plant</v>
      </c>
      <c r="K732" s="1" t="str">
        <f>VLOOKUP(A732,[1]Sheet1!$A$2:$I$1141,9,0)</f>
        <v>Unit of Power Distribution</v>
      </c>
      <c r="L732" s="1" t="str">
        <f>VLOOKUP(A732,[1]Sheet1!$A$2:$J$1141,10,0)</f>
        <v>Section of Electrical Network Maint</v>
      </c>
      <c r="M732" s="2">
        <v>26493</v>
      </c>
      <c r="N732" s="1" t="s">
        <v>29</v>
      </c>
      <c r="O732" s="1" t="s">
        <v>30</v>
      </c>
      <c r="P732" s="1" t="s">
        <v>3847</v>
      </c>
      <c r="Q732" s="1" t="s">
        <v>3837</v>
      </c>
      <c r="R732" s="1" t="s">
        <v>3848</v>
      </c>
      <c r="S732" s="1" t="s">
        <v>3818</v>
      </c>
      <c r="T732" s="14">
        <v>46966</v>
      </c>
      <c r="U732" s="1" t="s">
        <v>3849</v>
      </c>
      <c r="V732" s="1" t="s">
        <v>36</v>
      </c>
      <c r="W732" s="3" t="str">
        <f t="shared" si="11"/>
        <v>54 tahun</v>
      </c>
      <c r="X732" s="1" t="s">
        <v>486</v>
      </c>
      <c r="Y732" s="1" t="s">
        <v>56</v>
      </c>
      <c r="Z732" s="2">
        <v>37469</v>
      </c>
      <c r="AA732" s="2">
        <v>38718</v>
      </c>
      <c r="AB732" s="2" t="s">
        <v>3850</v>
      </c>
    </row>
    <row r="733" spans="1:28" x14ac:dyDescent="0.35">
      <c r="A733" s="12">
        <v>5849</v>
      </c>
      <c r="B733" s="12">
        <v>8512016</v>
      </c>
      <c r="C733" s="12" t="s">
        <v>103</v>
      </c>
      <c r="D733" s="12">
        <v>50069697</v>
      </c>
      <c r="E733" s="1" t="s">
        <v>3851</v>
      </c>
      <c r="F733" s="1" t="str">
        <f>VLOOKUP(A733,[1]Sheet1!$A$2:$E$1141,5,0)</f>
        <v>Spv of PP Troubleshooting</v>
      </c>
      <c r="G733" s="17" t="str">
        <f>VLOOKUP(A733,[1]Sheet1!$A$2:$F$1141,6,0)</f>
        <v>Supervisor</v>
      </c>
      <c r="H733" s="1" t="s">
        <v>3784</v>
      </c>
      <c r="I733" s="1" t="s">
        <v>1117</v>
      </c>
      <c r="J733" s="1" t="str">
        <f>VLOOKUP(A733,[1]Sheet1!$A$2:$H$1141,8,0)</f>
        <v>Dept. of Mining &amp; Power Plant</v>
      </c>
      <c r="K733" s="1" t="str">
        <f>VLOOKUP(A733,[1]Sheet1!$A$2:$I$1141,9,0)</f>
        <v>Unit of Power Distribution</v>
      </c>
      <c r="L733" s="1" t="str">
        <f>VLOOKUP(A733,[1]Sheet1!$A$2:$J$1141,10,0)</f>
        <v>Section of Electricity Load Control</v>
      </c>
      <c r="M733" s="2">
        <v>31262</v>
      </c>
      <c r="N733" s="1" t="s">
        <v>29</v>
      </c>
      <c r="O733" s="1" t="s">
        <v>30</v>
      </c>
      <c r="P733" s="1" t="s">
        <v>3852</v>
      </c>
      <c r="Q733" s="1" t="s">
        <v>3837</v>
      </c>
      <c r="R733" s="1" t="s">
        <v>3806</v>
      </c>
      <c r="S733" s="1" t="s">
        <v>3788</v>
      </c>
      <c r="T733" s="14">
        <v>51745</v>
      </c>
      <c r="U733" s="1" t="s">
        <v>3853</v>
      </c>
      <c r="V733" s="1" t="s">
        <v>36</v>
      </c>
      <c r="W733" s="3" t="str">
        <f t="shared" si="11"/>
        <v>41 tahun</v>
      </c>
      <c r="X733" s="1" t="s">
        <v>37</v>
      </c>
      <c r="Y733" s="1" t="s">
        <v>56</v>
      </c>
      <c r="Z733" s="2">
        <v>41275</v>
      </c>
      <c r="AA733" s="2">
        <v>41487</v>
      </c>
      <c r="AB733" s="2" t="s">
        <v>3854</v>
      </c>
    </row>
    <row r="734" spans="1:28" x14ac:dyDescent="0.35">
      <c r="A734" s="12">
        <v>5838</v>
      </c>
      <c r="B734" s="12">
        <v>8512005</v>
      </c>
      <c r="C734" s="12" t="s">
        <v>103</v>
      </c>
      <c r="D734" s="12">
        <v>50069695</v>
      </c>
      <c r="E734" s="1" t="s">
        <v>3855</v>
      </c>
      <c r="F734" s="1" t="str">
        <f>VLOOKUP(A734,[1]Sheet1!$A$2:$E$1141,5,0)</f>
        <v>Spv of PP Troubleshooting</v>
      </c>
      <c r="G734" s="17" t="str">
        <f>VLOOKUP(A734,[1]Sheet1!$A$2:$F$1141,6,0)</f>
        <v>Supervisor</v>
      </c>
      <c r="H734" s="1" t="s">
        <v>3784</v>
      </c>
      <c r="I734" s="1" t="s">
        <v>1117</v>
      </c>
      <c r="J734" s="1" t="str">
        <f>VLOOKUP(A734,[1]Sheet1!$A$2:$H$1141,8,0)</f>
        <v>Dept. of Mining &amp; Power Plant</v>
      </c>
      <c r="K734" s="1" t="str">
        <f>VLOOKUP(A734,[1]Sheet1!$A$2:$I$1141,9,0)</f>
        <v>Unit of Power Distribution</v>
      </c>
      <c r="L734" s="1" t="str">
        <f>VLOOKUP(A734,[1]Sheet1!$A$2:$J$1141,10,0)</f>
        <v>Section of Electricity Load Control</v>
      </c>
      <c r="M734" s="2">
        <v>31147</v>
      </c>
      <c r="N734" s="1" t="s">
        <v>29</v>
      </c>
      <c r="O734" s="1" t="s">
        <v>30</v>
      </c>
      <c r="P734" s="1" t="s">
        <v>3856</v>
      </c>
      <c r="Q734" s="1" t="s">
        <v>3857</v>
      </c>
      <c r="R734" s="1" t="s">
        <v>3806</v>
      </c>
      <c r="S734" s="1" t="s">
        <v>3788</v>
      </c>
      <c r="T734" s="14">
        <v>51622</v>
      </c>
      <c r="U734" s="1" t="s">
        <v>3858</v>
      </c>
      <c r="V734" s="1" t="s">
        <v>36</v>
      </c>
      <c r="W734" s="3" t="str">
        <f t="shared" si="11"/>
        <v>41 tahun</v>
      </c>
      <c r="X734" s="1" t="s">
        <v>101</v>
      </c>
      <c r="Y734" s="1" t="s">
        <v>56</v>
      </c>
      <c r="Z734" s="2">
        <v>41275</v>
      </c>
      <c r="AA734" s="2">
        <v>41426</v>
      </c>
      <c r="AB734" s="2" t="s">
        <v>3859</v>
      </c>
    </row>
    <row r="735" spans="1:28" x14ac:dyDescent="0.35">
      <c r="A735" s="12">
        <v>5082</v>
      </c>
      <c r="B735" s="12">
        <v>7495041</v>
      </c>
      <c r="C735" s="12" t="s">
        <v>50</v>
      </c>
      <c r="D735" s="12">
        <v>50034735</v>
      </c>
      <c r="E735" s="15" t="s">
        <v>3860</v>
      </c>
      <c r="F735" s="1" t="str">
        <f>VLOOKUP(A735,[1]Sheet1!$A$2:$E$1141,5,0)</f>
        <v>SM of Power Plant Elec Instr Maint</v>
      </c>
      <c r="G735" s="15" t="str">
        <f>VLOOKUP(A735,[1]Sheet1!$A$2:$F$1141,6,0)</f>
        <v>Senior Manager</v>
      </c>
      <c r="H735" s="1" t="s">
        <v>3861</v>
      </c>
      <c r="I735" s="1" t="s">
        <v>1117</v>
      </c>
      <c r="J735" s="1" t="str">
        <f>VLOOKUP(A735,[1]Sheet1!$A$2:$H$1141,8,0)</f>
        <v>Dept. of Mining &amp; Power Plant</v>
      </c>
      <c r="K735" s="1" t="str">
        <f>VLOOKUP(A735,[1]Sheet1!$A$2:$I$1141,9,0)</f>
        <v>Unit of Power Plant Elins Maintenance</v>
      </c>
      <c r="L735" s="1" t="e">
        <f>VLOOKUP(A735,[1]Sheet1!$A$2:$J$1141,10,0)</f>
        <v>#REF!</v>
      </c>
      <c r="M735" s="2">
        <v>27322</v>
      </c>
      <c r="N735" s="1" t="s">
        <v>29</v>
      </c>
      <c r="O735" s="1" t="s">
        <v>30</v>
      </c>
      <c r="P735" s="1" t="s">
        <v>3862</v>
      </c>
      <c r="Q735" s="1" t="s">
        <v>3863</v>
      </c>
      <c r="R735" s="1" t="s">
        <v>3864</v>
      </c>
      <c r="S735" s="1" t="s">
        <v>3865</v>
      </c>
      <c r="T735" s="14">
        <v>47788</v>
      </c>
      <c r="U735" s="1" t="s">
        <v>3866</v>
      </c>
      <c r="V735" s="1" t="s">
        <v>36</v>
      </c>
      <c r="W735" s="3" t="str">
        <f t="shared" si="11"/>
        <v>51 tahun</v>
      </c>
      <c r="X735" s="1" t="s">
        <v>67</v>
      </c>
      <c r="Y735" s="1" t="s">
        <v>56</v>
      </c>
      <c r="Z735" s="2">
        <v>34897</v>
      </c>
      <c r="AA735" s="2">
        <v>35278</v>
      </c>
      <c r="AB735" s="2" t="s">
        <v>3867</v>
      </c>
    </row>
    <row r="736" spans="1:28" x14ac:dyDescent="0.35">
      <c r="A736" s="12">
        <v>5417</v>
      </c>
      <c r="B736" s="12">
        <v>8810093</v>
      </c>
      <c r="C736" s="12" t="s">
        <v>139</v>
      </c>
      <c r="D736" s="12">
        <v>50008427</v>
      </c>
      <c r="E736" s="16" t="s">
        <v>3868</v>
      </c>
      <c r="F736" s="1" t="str">
        <f>VLOOKUP(A736,[1]Sheet1!$A$2:$E$1141,5,0)</f>
        <v>Mgr of Power Plant Elctrical Maint.</v>
      </c>
      <c r="G736" s="16" t="str">
        <f>VLOOKUP(A736,[1]Sheet1!$A$2:$F$1141,6,0)</f>
        <v>Manager</v>
      </c>
      <c r="H736" s="1" t="s">
        <v>3869</v>
      </c>
      <c r="I736" s="1" t="s">
        <v>1117</v>
      </c>
      <c r="J736" s="1" t="str">
        <f>VLOOKUP(A736,[1]Sheet1!$A$2:$H$1141,8,0)</f>
        <v>Dept. of Mining &amp; Power Plant</v>
      </c>
      <c r="K736" s="1" t="str">
        <f>VLOOKUP(A736,[1]Sheet1!$A$2:$I$1141,9,0)</f>
        <v>Unit of Power Plant Elins Maintenance</v>
      </c>
      <c r="L736" s="1" t="str">
        <f>VLOOKUP(A736,[1]Sheet1!$A$2:$J$1141,10,0)</f>
        <v>Section of Power Plant Elctrical Maint.</v>
      </c>
      <c r="M736" s="2">
        <v>32331</v>
      </c>
      <c r="N736" s="1" t="s">
        <v>29</v>
      </c>
      <c r="O736" s="1" t="s">
        <v>30</v>
      </c>
      <c r="P736" s="1" t="s">
        <v>3870</v>
      </c>
      <c r="Q736" s="1" t="s">
        <v>3871</v>
      </c>
      <c r="R736" s="1" t="s">
        <v>3872</v>
      </c>
      <c r="S736" s="1" t="s">
        <v>3873</v>
      </c>
      <c r="T736" s="14">
        <v>52810</v>
      </c>
      <c r="U736" s="1" t="s">
        <v>3874</v>
      </c>
      <c r="V736" s="1" t="s">
        <v>36</v>
      </c>
      <c r="W736" s="3" t="str">
        <f t="shared" si="11"/>
        <v>38 tahun</v>
      </c>
      <c r="X736" s="1" t="s">
        <v>101</v>
      </c>
      <c r="Y736" s="1" t="s">
        <v>48</v>
      </c>
      <c r="Z736" s="2">
        <v>40544</v>
      </c>
      <c r="AA736" s="2">
        <v>40695</v>
      </c>
      <c r="AB736" s="2" t="s">
        <v>866</v>
      </c>
    </row>
    <row r="737" spans="1:28" x14ac:dyDescent="0.35">
      <c r="A737" s="12">
        <v>6068</v>
      </c>
      <c r="B737" s="12">
        <v>9012235</v>
      </c>
      <c r="C737" s="12" t="s">
        <v>103</v>
      </c>
      <c r="D737" s="12">
        <v>50008428</v>
      </c>
      <c r="E737" s="1" t="s">
        <v>3875</v>
      </c>
      <c r="F737" s="1" t="str">
        <f>VLOOKUP(A737,[1]Sheet1!$A$2:$E$1141,5,0)</f>
        <v>Spv of Electrical Control</v>
      </c>
      <c r="G737" s="17" t="str">
        <f>VLOOKUP(A737,[1]Sheet1!$A$2:$F$1141,6,0)</f>
        <v>Supervisor</v>
      </c>
      <c r="H737" s="1" t="s">
        <v>3869</v>
      </c>
      <c r="I737" s="1" t="s">
        <v>1117</v>
      </c>
      <c r="J737" s="1" t="str">
        <f>VLOOKUP(A737,[1]Sheet1!$A$2:$H$1141,8,0)</f>
        <v>Dept. of Mining &amp; Power Plant</v>
      </c>
      <c r="K737" s="1" t="str">
        <f>VLOOKUP(A737,[1]Sheet1!$A$2:$I$1141,9,0)</f>
        <v>Unit of Power Plant Elins Maintenance</v>
      </c>
      <c r="L737" s="1" t="str">
        <f>VLOOKUP(A737,[1]Sheet1!$A$2:$J$1141,10,0)</f>
        <v>Section of Power Plant Elctrical Maint.</v>
      </c>
      <c r="M737" s="2">
        <v>32889</v>
      </c>
      <c r="N737" s="1" t="s">
        <v>29</v>
      </c>
      <c r="O737" s="1" t="s">
        <v>30</v>
      </c>
      <c r="P737" s="1" t="s">
        <v>3876</v>
      </c>
      <c r="Q737" s="1" t="s">
        <v>3877</v>
      </c>
      <c r="R737" s="1" t="s">
        <v>3878</v>
      </c>
      <c r="S737" s="1" t="s">
        <v>3873</v>
      </c>
      <c r="T737" s="14">
        <v>53359</v>
      </c>
      <c r="U737" s="1" t="s">
        <v>3879</v>
      </c>
      <c r="V737" s="1" t="s">
        <v>36</v>
      </c>
      <c r="W737" s="3" t="str">
        <f t="shared" si="11"/>
        <v>36 tahun</v>
      </c>
      <c r="X737" s="1" t="s">
        <v>55</v>
      </c>
      <c r="Y737" s="1" t="s">
        <v>56</v>
      </c>
      <c r="Z737" s="2">
        <v>41275</v>
      </c>
      <c r="AA737" s="2">
        <v>41456</v>
      </c>
      <c r="AB737" s="2" t="s">
        <v>3880</v>
      </c>
    </row>
    <row r="738" spans="1:28" x14ac:dyDescent="0.35">
      <c r="A738" s="12">
        <v>5845</v>
      </c>
      <c r="B738" s="12">
        <v>8512012</v>
      </c>
      <c r="C738" s="12" t="s">
        <v>103</v>
      </c>
      <c r="D738" s="12">
        <v>50008437</v>
      </c>
      <c r="E738" s="1" t="s">
        <v>3881</v>
      </c>
      <c r="F738" s="1" t="str">
        <f>VLOOKUP(A738,[1]Sheet1!$A$2:$E$1141,5,0)</f>
        <v>Spv of PP Electrical</v>
      </c>
      <c r="G738" s="17" t="str">
        <f>VLOOKUP(A738,[1]Sheet1!$A$2:$F$1141,6,0)</f>
        <v>Supervisor</v>
      </c>
      <c r="H738" s="1" t="s">
        <v>3869</v>
      </c>
      <c r="I738" s="1" t="s">
        <v>1117</v>
      </c>
      <c r="J738" s="1" t="str">
        <f>VLOOKUP(A738,[1]Sheet1!$A$2:$H$1141,8,0)</f>
        <v>Dept. of Mining &amp; Power Plant</v>
      </c>
      <c r="K738" s="1" t="str">
        <f>VLOOKUP(A738,[1]Sheet1!$A$2:$I$1141,9,0)</f>
        <v>Unit of Power Plant Elins Maintenance</v>
      </c>
      <c r="L738" s="1" t="str">
        <f>VLOOKUP(A738,[1]Sheet1!$A$2:$J$1141,10,0)</f>
        <v>Section of Power Plant Elctrical Maint.</v>
      </c>
      <c r="M738" s="2">
        <v>31199</v>
      </c>
      <c r="N738" s="1" t="s">
        <v>29</v>
      </c>
      <c r="O738" s="1" t="s">
        <v>30</v>
      </c>
      <c r="P738" s="1" t="s">
        <v>3882</v>
      </c>
      <c r="Q738" s="1" t="s">
        <v>3883</v>
      </c>
      <c r="R738" s="1" t="s">
        <v>3884</v>
      </c>
      <c r="S738" s="1" t="s">
        <v>3873</v>
      </c>
      <c r="T738" s="14">
        <v>51683</v>
      </c>
      <c r="U738" s="1" t="s">
        <v>3885</v>
      </c>
      <c r="V738" s="1" t="s">
        <v>36</v>
      </c>
      <c r="W738" s="3" t="str">
        <f t="shared" si="11"/>
        <v>41 tahun</v>
      </c>
      <c r="X738" s="1" t="s">
        <v>121</v>
      </c>
      <c r="Y738" s="1" t="s">
        <v>56</v>
      </c>
      <c r="Z738" s="2">
        <v>41275</v>
      </c>
      <c r="AA738" s="2">
        <v>41395</v>
      </c>
      <c r="AB738" s="2" t="s">
        <v>3886</v>
      </c>
    </row>
    <row r="739" spans="1:28" x14ac:dyDescent="0.35">
      <c r="A739" s="12">
        <v>6256</v>
      </c>
      <c r="B739" s="12">
        <v>9212424</v>
      </c>
      <c r="C739" s="12" t="s">
        <v>103</v>
      </c>
      <c r="D739" s="12">
        <v>50066488</v>
      </c>
      <c r="E739" s="1" t="s">
        <v>2518</v>
      </c>
      <c r="F739" s="1" t="str">
        <f>VLOOKUP(A739,[1]Sheet1!$A$2:$E$1141,5,0)</f>
        <v>Spv of PP Electrical</v>
      </c>
      <c r="G739" s="17" t="str">
        <f>VLOOKUP(A739,[1]Sheet1!$A$2:$F$1141,6,0)</f>
        <v>Supervisor</v>
      </c>
      <c r="H739" s="1" t="s">
        <v>3869</v>
      </c>
      <c r="I739" s="1" t="s">
        <v>1117</v>
      </c>
      <c r="J739" s="1" t="str">
        <f>VLOOKUP(A739,[1]Sheet1!$A$2:$H$1141,8,0)</f>
        <v>Dept. of Mining &amp; Power Plant</v>
      </c>
      <c r="K739" s="1" t="str">
        <f>VLOOKUP(A739,[1]Sheet1!$A$2:$I$1141,9,0)</f>
        <v>Unit of Power Plant Elins Maintenance</v>
      </c>
      <c r="L739" s="1" t="str">
        <f>VLOOKUP(A739,[1]Sheet1!$A$2:$J$1141,10,0)</f>
        <v>Section of Power Plant Elctrical Maint.</v>
      </c>
      <c r="M739" s="2">
        <v>33764</v>
      </c>
      <c r="N739" s="1" t="s">
        <v>29</v>
      </c>
      <c r="O739" s="1" t="s">
        <v>30</v>
      </c>
      <c r="P739" s="1" t="s">
        <v>3887</v>
      </c>
      <c r="Q739" s="1" t="s">
        <v>3883</v>
      </c>
      <c r="R739" s="1" t="s">
        <v>3884</v>
      </c>
      <c r="S739" s="1" t="s">
        <v>3873</v>
      </c>
      <c r="T739" s="14">
        <v>54240</v>
      </c>
      <c r="U739" s="1" t="s">
        <v>3888</v>
      </c>
      <c r="V739" s="1" t="s">
        <v>36</v>
      </c>
      <c r="W739" s="3" t="str">
        <f t="shared" si="11"/>
        <v>34 tahun</v>
      </c>
      <c r="X739" s="1" t="s">
        <v>356</v>
      </c>
      <c r="Y739" s="1" t="s">
        <v>56</v>
      </c>
      <c r="Z739" s="2">
        <v>41275</v>
      </c>
      <c r="AA739" s="2">
        <v>41395</v>
      </c>
      <c r="AB739" s="2" t="s">
        <v>3889</v>
      </c>
    </row>
    <row r="740" spans="1:28" x14ac:dyDescent="0.35">
      <c r="A740" s="12">
        <v>4872</v>
      </c>
      <c r="B740" s="12">
        <v>7295090</v>
      </c>
      <c r="C740" s="12" t="s">
        <v>50</v>
      </c>
      <c r="D740" s="12">
        <v>50008435</v>
      </c>
      <c r="E740" s="1" t="s">
        <v>3890</v>
      </c>
      <c r="F740" s="1" t="str">
        <f>VLOOKUP(A740,[1]Sheet1!$A$2:$E$1141,5,0)</f>
        <v>Spv of PP Elctrical (Shift)</v>
      </c>
      <c r="G740" s="17" t="str">
        <f>VLOOKUP(A740,[1]Sheet1!$A$2:$F$1141,6,0)</f>
        <v>Supervisor</v>
      </c>
      <c r="H740" s="1" t="s">
        <v>3869</v>
      </c>
      <c r="I740" s="1" t="s">
        <v>1117</v>
      </c>
      <c r="J740" s="1" t="str">
        <f>VLOOKUP(A740,[1]Sheet1!$A$2:$H$1141,8,0)</f>
        <v>Dept. of Mining &amp; Power Plant</v>
      </c>
      <c r="K740" s="1" t="str">
        <f>VLOOKUP(A740,[1]Sheet1!$A$2:$I$1141,9,0)</f>
        <v>Unit of Power Plant Elins Maintenance</v>
      </c>
      <c r="L740" s="1" t="str">
        <f>VLOOKUP(A740,[1]Sheet1!$A$2:$J$1141,10,0)</f>
        <v>Section of Power Plant Elctrical Maint.</v>
      </c>
      <c r="M740" s="2">
        <v>26551</v>
      </c>
      <c r="N740" s="1" t="s">
        <v>29</v>
      </c>
      <c r="O740" s="1" t="s">
        <v>30</v>
      </c>
      <c r="P740" s="1" t="s">
        <v>3891</v>
      </c>
      <c r="Q740" s="1" t="s">
        <v>3892</v>
      </c>
      <c r="R740" s="1" t="s">
        <v>3893</v>
      </c>
      <c r="S740" s="1" t="s">
        <v>3873</v>
      </c>
      <c r="T740" s="14">
        <v>47027</v>
      </c>
      <c r="U740" s="1" t="s">
        <v>3894</v>
      </c>
      <c r="V740" s="1" t="s">
        <v>36</v>
      </c>
      <c r="W740" s="3" t="str">
        <f t="shared" si="11"/>
        <v>53 tahun</v>
      </c>
      <c r="X740" s="1" t="s">
        <v>3895</v>
      </c>
      <c r="Y740" s="1" t="s">
        <v>56</v>
      </c>
      <c r="Z740" s="2">
        <v>34932</v>
      </c>
      <c r="AA740" s="2">
        <v>35309</v>
      </c>
      <c r="AB740" s="2" t="s">
        <v>3896</v>
      </c>
    </row>
    <row r="741" spans="1:28" x14ac:dyDescent="0.35">
      <c r="A741" s="12">
        <v>5979</v>
      </c>
      <c r="B741" s="12">
        <v>8812147</v>
      </c>
      <c r="C741" s="12" t="s">
        <v>103</v>
      </c>
      <c r="D741" s="12">
        <v>50066489</v>
      </c>
      <c r="E741" s="1" t="s">
        <v>3897</v>
      </c>
      <c r="F741" s="1" t="str">
        <f>VLOOKUP(A741,[1]Sheet1!$A$2:$E$1141,5,0)</f>
        <v>D Spv of PP Electrical</v>
      </c>
      <c r="G741" s="17" t="str">
        <f>VLOOKUP(A741,[1]Sheet1!$A$2:$F$1141,6,0)</f>
        <v>Supervisor</v>
      </c>
      <c r="H741" s="1" t="s">
        <v>3869</v>
      </c>
      <c r="I741" s="1" t="s">
        <v>1117</v>
      </c>
      <c r="J741" s="1" t="str">
        <f>VLOOKUP(A741,[1]Sheet1!$A$2:$H$1141,8,0)</f>
        <v>Dept. of Mining &amp; Power Plant</v>
      </c>
      <c r="K741" s="1" t="str">
        <f>VLOOKUP(A741,[1]Sheet1!$A$2:$I$1141,9,0)</f>
        <v>Unit of Power Plant Elins Maintenance</v>
      </c>
      <c r="L741" s="1" t="str">
        <f>VLOOKUP(A741,[1]Sheet1!$A$2:$J$1141,10,0)</f>
        <v>Section of Power Plant Elctrical Maint.</v>
      </c>
      <c r="M741" s="2">
        <v>32401</v>
      </c>
      <c r="N741" s="1" t="s">
        <v>29</v>
      </c>
      <c r="O741" s="1" t="s">
        <v>30</v>
      </c>
      <c r="P741" s="1" t="s">
        <v>3898</v>
      </c>
      <c r="Q741" s="1" t="s">
        <v>3892</v>
      </c>
      <c r="R741" s="1" t="s">
        <v>3899</v>
      </c>
      <c r="S741" s="1" t="s">
        <v>3873</v>
      </c>
      <c r="T741" s="14">
        <v>52871</v>
      </c>
      <c r="U741" s="1" t="s">
        <v>3900</v>
      </c>
      <c r="V741" s="1" t="s">
        <v>36</v>
      </c>
      <c r="W741" s="3" t="str">
        <f t="shared" si="11"/>
        <v>37 tahun</v>
      </c>
      <c r="X741" s="1" t="s">
        <v>527</v>
      </c>
      <c r="Y741" s="1" t="s">
        <v>56</v>
      </c>
      <c r="Z741" s="2">
        <v>41275</v>
      </c>
      <c r="AA741" s="2">
        <v>41456</v>
      </c>
      <c r="AB741" s="2" t="s">
        <v>3901</v>
      </c>
    </row>
    <row r="742" spans="1:28" x14ac:dyDescent="0.35">
      <c r="A742" s="12">
        <v>5884</v>
      </c>
      <c r="B742" s="12">
        <v>8612051</v>
      </c>
      <c r="C742" s="12" t="s">
        <v>103</v>
      </c>
      <c r="D742" s="12">
        <v>50069681</v>
      </c>
      <c r="E742" s="1" t="s">
        <v>3902</v>
      </c>
      <c r="F742" s="1" t="str">
        <f>VLOOKUP(A742,[1]Sheet1!$A$2:$E$1141,5,0)</f>
        <v>PdM &amp; PM Schedule Electrical Jr Officer</v>
      </c>
      <c r="G742" s="17" t="str">
        <f>VLOOKUP(A742,[1]Sheet1!$A$2:$F$1141,6,0)</f>
        <v>Supervisor</v>
      </c>
      <c r="H742" s="1" t="s">
        <v>3869</v>
      </c>
      <c r="I742" s="1" t="s">
        <v>1117</v>
      </c>
      <c r="J742" s="1" t="str">
        <f>VLOOKUP(A742,[1]Sheet1!$A$2:$H$1141,8,0)</f>
        <v>Dept. of Mining &amp; Power Plant</v>
      </c>
      <c r="K742" s="1" t="str">
        <f>VLOOKUP(A742,[1]Sheet1!$A$2:$I$1141,9,0)</f>
        <v>Unit of Power Plant Elins Maintenance</v>
      </c>
      <c r="L742" s="1" t="str">
        <f>VLOOKUP(A742,[1]Sheet1!$A$2:$J$1141,10,0)</f>
        <v>Section of Power Plant Elctrical Maint.</v>
      </c>
      <c r="M742" s="2">
        <v>31621</v>
      </c>
      <c r="N742" s="1" t="s">
        <v>29</v>
      </c>
      <c r="O742" s="1" t="s">
        <v>30</v>
      </c>
      <c r="P742" s="1" t="s">
        <v>3903</v>
      </c>
      <c r="Q742" s="1" t="s">
        <v>3904</v>
      </c>
      <c r="R742" s="1" t="s">
        <v>3905</v>
      </c>
      <c r="S742" s="1" t="s">
        <v>3873</v>
      </c>
      <c r="T742" s="14">
        <v>52079</v>
      </c>
      <c r="U742" s="1" t="s">
        <v>3906</v>
      </c>
      <c r="V742" s="1" t="s">
        <v>36</v>
      </c>
      <c r="W742" s="3" t="str">
        <f t="shared" si="11"/>
        <v>40 tahun</v>
      </c>
      <c r="X742" s="1" t="s">
        <v>121</v>
      </c>
      <c r="Y742" s="1" t="s">
        <v>56</v>
      </c>
      <c r="Z742" s="2">
        <v>41275</v>
      </c>
      <c r="AA742" s="2">
        <v>41426</v>
      </c>
      <c r="AB742" s="2" t="s">
        <v>3907</v>
      </c>
    </row>
    <row r="743" spans="1:28" x14ac:dyDescent="0.35">
      <c r="A743" s="12">
        <v>6215</v>
      </c>
      <c r="B743" s="12">
        <v>9112381</v>
      </c>
      <c r="C743" s="12" t="s">
        <v>103</v>
      </c>
      <c r="D743" s="12">
        <v>50069682</v>
      </c>
      <c r="E743" s="1" t="s">
        <v>3908</v>
      </c>
      <c r="F743" s="1" t="str">
        <f>VLOOKUP(A743,[1]Sheet1!$A$2:$E$1141,5,0)</f>
        <v>PdM &amp; PM Schedule Electrical Jr Officer</v>
      </c>
      <c r="G743" s="17" t="str">
        <f>VLOOKUP(A743,[1]Sheet1!$A$2:$F$1141,6,0)</f>
        <v>Supervisor</v>
      </c>
      <c r="H743" s="1" t="s">
        <v>3869</v>
      </c>
      <c r="I743" s="1" t="s">
        <v>1117</v>
      </c>
      <c r="J743" s="1" t="str">
        <f>VLOOKUP(A743,[1]Sheet1!$A$2:$H$1141,8,0)</f>
        <v>Dept. of Mining &amp; Power Plant</v>
      </c>
      <c r="K743" s="1" t="str">
        <f>VLOOKUP(A743,[1]Sheet1!$A$2:$I$1141,9,0)</f>
        <v>Unit of Power Plant Elins Maintenance</v>
      </c>
      <c r="L743" s="1" t="str">
        <f>VLOOKUP(A743,[1]Sheet1!$A$2:$J$1141,10,0)</f>
        <v>Section of Power Plant Elctrical Maint.</v>
      </c>
      <c r="M743" s="2">
        <v>33516</v>
      </c>
      <c r="N743" s="1" t="s">
        <v>29</v>
      </c>
      <c r="O743" s="1" t="s">
        <v>30</v>
      </c>
      <c r="P743" s="1" t="s">
        <v>3909</v>
      </c>
      <c r="Q743" s="1" t="s">
        <v>3904</v>
      </c>
      <c r="R743" s="1" t="s">
        <v>3905</v>
      </c>
      <c r="S743" s="1" t="s">
        <v>3873</v>
      </c>
      <c r="T743" s="14">
        <v>53997</v>
      </c>
      <c r="U743" s="1" t="s">
        <v>3910</v>
      </c>
      <c r="V743" s="1" t="s">
        <v>36</v>
      </c>
      <c r="W743" s="3" t="str">
        <f t="shared" si="11"/>
        <v>34 tahun</v>
      </c>
      <c r="X743" s="1" t="s">
        <v>55</v>
      </c>
      <c r="Y743" s="1" t="s">
        <v>56</v>
      </c>
      <c r="Z743" s="2">
        <v>41275</v>
      </c>
      <c r="AA743" s="2">
        <v>41487</v>
      </c>
      <c r="AB743" s="2" t="s">
        <v>3911</v>
      </c>
    </row>
    <row r="744" spans="1:28" x14ac:dyDescent="0.35">
      <c r="A744" s="12">
        <v>5981</v>
      </c>
      <c r="B744" s="12">
        <v>8812149</v>
      </c>
      <c r="C744" s="12" t="s">
        <v>103</v>
      </c>
      <c r="D744" s="12">
        <v>50069686</v>
      </c>
      <c r="E744" s="1" t="s">
        <v>3912</v>
      </c>
      <c r="F744" s="1" t="str">
        <f>VLOOKUP(A744,[1]Sheet1!$A$2:$E$1141,5,0)</f>
        <v>Spv of PvM PP Electrical</v>
      </c>
      <c r="G744" s="17" t="str">
        <f>VLOOKUP(A744,[1]Sheet1!$A$2:$F$1141,6,0)</f>
        <v>Supervisor</v>
      </c>
      <c r="H744" s="1" t="s">
        <v>3869</v>
      </c>
      <c r="I744" s="1" t="s">
        <v>1117</v>
      </c>
      <c r="J744" s="1" t="str">
        <f>VLOOKUP(A744,[1]Sheet1!$A$2:$H$1141,8,0)</f>
        <v>Dept. of Mining &amp; Power Plant</v>
      </c>
      <c r="K744" s="1" t="str">
        <f>VLOOKUP(A744,[1]Sheet1!$A$2:$I$1141,9,0)</f>
        <v>Unit of Power Plant Elins Maintenance</v>
      </c>
      <c r="L744" s="1" t="str">
        <f>VLOOKUP(A744,[1]Sheet1!$A$2:$J$1141,10,0)</f>
        <v>Section of Power Plant Elctrical Maint.</v>
      </c>
      <c r="M744" s="2">
        <v>32413</v>
      </c>
      <c r="N744" s="1" t="s">
        <v>29</v>
      </c>
      <c r="O744" s="1" t="s">
        <v>30</v>
      </c>
      <c r="P744" s="1" t="s">
        <v>3913</v>
      </c>
      <c r="Q744" s="1" t="s">
        <v>3914</v>
      </c>
      <c r="R744" s="1" t="s">
        <v>3915</v>
      </c>
      <c r="S744" s="1" t="s">
        <v>3873</v>
      </c>
      <c r="T744" s="14">
        <v>52871</v>
      </c>
      <c r="U744" s="1" t="s">
        <v>3916</v>
      </c>
      <c r="V744" s="1" t="s">
        <v>36</v>
      </c>
      <c r="W744" s="3" t="str">
        <f t="shared" si="11"/>
        <v>37 tahun</v>
      </c>
      <c r="X744" s="1" t="s">
        <v>91</v>
      </c>
      <c r="Y744" s="1" t="s">
        <v>56</v>
      </c>
      <c r="Z744" s="2">
        <v>41275</v>
      </c>
      <c r="AA744" s="2">
        <v>41395</v>
      </c>
      <c r="AB744" s="2" t="s">
        <v>3917</v>
      </c>
    </row>
    <row r="745" spans="1:28" x14ac:dyDescent="0.35">
      <c r="A745" s="12">
        <v>5113</v>
      </c>
      <c r="B745" s="12">
        <v>7595052</v>
      </c>
      <c r="C745" s="12" t="s">
        <v>50</v>
      </c>
      <c r="D745" s="12">
        <v>50029875</v>
      </c>
      <c r="E745" s="1" t="s">
        <v>3918</v>
      </c>
      <c r="F745" s="1" t="str">
        <f>VLOOKUP(A745,[1]Sheet1!$A$2:$E$1141,5,0)</f>
        <v>Spv of Automation</v>
      </c>
      <c r="G745" s="17" t="str">
        <f>VLOOKUP(A745,[1]Sheet1!$A$2:$F$1141,6,0)</f>
        <v>Supervisor</v>
      </c>
      <c r="H745" s="1" t="s">
        <v>3919</v>
      </c>
      <c r="I745" s="1" t="s">
        <v>1117</v>
      </c>
      <c r="J745" s="1" t="str">
        <f>VLOOKUP(A745,[1]Sheet1!$A$2:$H$1141,8,0)</f>
        <v>Dept. of Mining &amp; Power Plant</v>
      </c>
      <c r="K745" s="1" t="str">
        <f>VLOOKUP(A745,[1]Sheet1!$A$2:$I$1141,9,0)</f>
        <v>Unit of Power Plant Elins Maintenance</v>
      </c>
      <c r="L745" s="1" t="str">
        <f>VLOOKUP(A745,[1]Sheet1!$A$2:$J$1141,10,0)</f>
        <v>Section of Power Plant Instrument Maint.</v>
      </c>
      <c r="M745" s="2">
        <v>27447</v>
      </c>
      <c r="N745" s="1" t="s">
        <v>29</v>
      </c>
      <c r="O745" s="1" t="s">
        <v>30</v>
      </c>
      <c r="P745" s="1" t="s">
        <v>3920</v>
      </c>
      <c r="Q745" s="1" t="s">
        <v>3921</v>
      </c>
      <c r="R745" s="1" t="s">
        <v>3922</v>
      </c>
      <c r="S745" s="1" t="s">
        <v>3923</v>
      </c>
      <c r="T745" s="14">
        <v>47908</v>
      </c>
      <c r="U745" s="1" t="s">
        <v>3924</v>
      </c>
      <c r="V745" s="1" t="s">
        <v>36</v>
      </c>
      <c r="W745" s="3" t="str">
        <f t="shared" si="11"/>
        <v>51 tahun</v>
      </c>
      <c r="X745" s="1" t="s">
        <v>55</v>
      </c>
      <c r="Y745" s="1" t="s">
        <v>56</v>
      </c>
      <c r="Z745" s="2">
        <v>34897</v>
      </c>
      <c r="AA745" s="2">
        <v>35278</v>
      </c>
      <c r="AB745" s="2" t="s">
        <v>3925</v>
      </c>
    </row>
    <row r="746" spans="1:28" x14ac:dyDescent="0.35">
      <c r="A746" s="12">
        <v>6192</v>
      </c>
      <c r="B746" s="12">
        <v>9112358</v>
      </c>
      <c r="C746" s="12" t="s">
        <v>103</v>
      </c>
      <c r="D746" s="12">
        <v>50029887</v>
      </c>
      <c r="E746" s="1" t="s">
        <v>3926</v>
      </c>
      <c r="F746" s="1" t="str">
        <f>VLOOKUP(A746,[1]Sheet1!$A$2:$E$1141,5,0)</f>
        <v>Spv of PP Instrument</v>
      </c>
      <c r="G746" s="17" t="str">
        <f>VLOOKUP(A746,[1]Sheet1!$A$2:$F$1141,6,0)</f>
        <v>Supervisor</v>
      </c>
      <c r="H746" s="1" t="s">
        <v>3919</v>
      </c>
      <c r="I746" s="1" t="s">
        <v>1117</v>
      </c>
      <c r="J746" s="1" t="str">
        <f>VLOOKUP(A746,[1]Sheet1!$A$2:$H$1141,8,0)</f>
        <v>Dept. of Mining &amp; Power Plant</v>
      </c>
      <c r="K746" s="1" t="str">
        <f>VLOOKUP(A746,[1]Sheet1!$A$2:$I$1141,9,0)</f>
        <v>Unit of Power Plant Elins Maintenance</v>
      </c>
      <c r="L746" s="1" t="str">
        <f>VLOOKUP(A746,[1]Sheet1!$A$2:$J$1141,10,0)</f>
        <v>Section of Power Plant Instrument Maint.</v>
      </c>
      <c r="M746" s="2">
        <v>33430</v>
      </c>
      <c r="N746" s="1" t="s">
        <v>29</v>
      </c>
      <c r="O746" s="1" t="s">
        <v>30</v>
      </c>
      <c r="P746" s="1" t="s">
        <v>3927</v>
      </c>
      <c r="Q746" s="1" t="s">
        <v>3928</v>
      </c>
      <c r="R746" s="1" t="s">
        <v>3929</v>
      </c>
      <c r="S746" s="1" t="s">
        <v>3923</v>
      </c>
      <c r="T746" s="14">
        <v>53905</v>
      </c>
      <c r="U746" s="1" t="s">
        <v>3930</v>
      </c>
      <c r="V746" s="1" t="s">
        <v>36</v>
      </c>
      <c r="W746" s="3" t="str">
        <f t="shared" si="11"/>
        <v>35 tahun</v>
      </c>
      <c r="X746" s="1" t="s">
        <v>55</v>
      </c>
      <c r="Y746" s="1" t="s">
        <v>56</v>
      </c>
      <c r="Z746" s="2">
        <v>41275</v>
      </c>
      <c r="AA746" s="2">
        <v>41426</v>
      </c>
      <c r="AB746" s="2" t="s">
        <v>3931</v>
      </c>
    </row>
    <row r="747" spans="1:28" x14ac:dyDescent="0.35">
      <c r="A747" s="12">
        <v>6017</v>
      </c>
      <c r="B747" s="12">
        <v>8912184</v>
      </c>
      <c r="C747" s="12" t="s">
        <v>103</v>
      </c>
      <c r="D747" s="12">
        <v>50066492</v>
      </c>
      <c r="E747" s="1" t="s">
        <v>3932</v>
      </c>
      <c r="F747" s="1" t="str">
        <f>VLOOKUP(A747,[1]Sheet1!$A$2:$E$1141,5,0)</f>
        <v>Spv of PP Instrument</v>
      </c>
      <c r="G747" s="17" t="str">
        <f>VLOOKUP(A747,[1]Sheet1!$A$2:$F$1141,6,0)</f>
        <v>Supervisor</v>
      </c>
      <c r="H747" s="1" t="s">
        <v>3919</v>
      </c>
      <c r="I747" s="1" t="s">
        <v>1117</v>
      </c>
      <c r="J747" s="1" t="str">
        <f>VLOOKUP(A747,[1]Sheet1!$A$2:$H$1141,8,0)</f>
        <v>Dept. of Mining &amp; Power Plant</v>
      </c>
      <c r="K747" s="1" t="str">
        <f>VLOOKUP(A747,[1]Sheet1!$A$2:$I$1141,9,0)</f>
        <v>Unit of Power Plant Elins Maintenance</v>
      </c>
      <c r="L747" s="1" t="str">
        <f>VLOOKUP(A747,[1]Sheet1!$A$2:$J$1141,10,0)</f>
        <v>Section of Power Plant Instrument Maint.</v>
      </c>
      <c r="M747" s="2">
        <v>32618</v>
      </c>
      <c r="N747" s="1" t="s">
        <v>29</v>
      </c>
      <c r="O747" s="1" t="s">
        <v>30</v>
      </c>
      <c r="P747" s="1" t="s">
        <v>3933</v>
      </c>
      <c r="Q747" s="1" t="s">
        <v>3928</v>
      </c>
      <c r="R747" s="1" t="s">
        <v>3929</v>
      </c>
      <c r="S747" s="1" t="s">
        <v>3923</v>
      </c>
      <c r="T747" s="14">
        <v>53083</v>
      </c>
      <c r="U747" s="1" t="s">
        <v>3934</v>
      </c>
      <c r="V747" s="1" t="s">
        <v>36</v>
      </c>
      <c r="W747" s="3" t="str">
        <f t="shared" si="11"/>
        <v>37 tahun</v>
      </c>
      <c r="X747" s="1" t="s">
        <v>1086</v>
      </c>
      <c r="Y747" s="1" t="s">
        <v>56</v>
      </c>
      <c r="Z747" s="2">
        <v>41275</v>
      </c>
      <c r="AA747" s="2">
        <v>41426</v>
      </c>
      <c r="AB747" s="2" t="s">
        <v>3935</v>
      </c>
    </row>
    <row r="748" spans="1:28" x14ac:dyDescent="0.35">
      <c r="A748" s="12">
        <v>6114</v>
      </c>
      <c r="B748" s="12">
        <v>9012283</v>
      </c>
      <c r="C748" s="12" t="s">
        <v>103</v>
      </c>
      <c r="D748" s="12">
        <v>50066493</v>
      </c>
      <c r="E748" s="1" t="s">
        <v>3936</v>
      </c>
      <c r="F748" s="1" t="str">
        <f>VLOOKUP(A748,[1]Sheet1!$A$2:$E$1141,5,0)</f>
        <v>Spv of PP Instrument</v>
      </c>
      <c r="G748" s="17" t="str">
        <f>VLOOKUP(A748,[1]Sheet1!$A$2:$F$1141,6,0)</f>
        <v>Supervisor</v>
      </c>
      <c r="H748" s="1" t="s">
        <v>3919</v>
      </c>
      <c r="I748" s="1" t="s">
        <v>1117</v>
      </c>
      <c r="J748" s="1" t="str">
        <f>VLOOKUP(A748,[1]Sheet1!$A$2:$H$1141,8,0)</f>
        <v>Dept. of Mining &amp; Power Plant</v>
      </c>
      <c r="K748" s="1" t="str">
        <f>VLOOKUP(A748,[1]Sheet1!$A$2:$I$1141,9,0)</f>
        <v>Unit of Power Plant Elins Maintenance</v>
      </c>
      <c r="L748" s="1" t="str">
        <f>VLOOKUP(A748,[1]Sheet1!$A$2:$J$1141,10,0)</f>
        <v>Section of Power Plant Instrument Maint.</v>
      </c>
      <c r="M748" s="2">
        <v>33104</v>
      </c>
      <c r="N748" s="1" t="s">
        <v>29</v>
      </c>
      <c r="O748" s="1" t="s">
        <v>30</v>
      </c>
      <c r="P748" s="1" t="s">
        <v>3937</v>
      </c>
      <c r="Q748" s="1" t="s">
        <v>3928</v>
      </c>
      <c r="R748" s="1" t="s">
        <v>3929</v>
      </c>
      <c r="S748" s="1" t="s">
        <v>3923</v>
      </c>
      <c r="T748" s="14">
        <v>53571</v>
      </c>
      <c r="U748" s="1" t="s">
        <v>3938</v>
      </c>
      <c r="V748" s="1" t="s">
        <v>36</v>
      </c>
      <c r="W748" s="3" t="str">
        <f t="shared" si="11"/>
        <v>36 tahun</v>
      </c>
      <c r="X748" s="1" t="s">
        <v>112</v>
      </c>
      <c r="Y748" s="1" t="s">
        <v>56</v>
      </c>
      <c r="Z748" s="2">
        <v>41275</v>
      </c>
      <c r="AA748" s="2">
        <v>41395</v>
      </c>
      <c r="AB748" s="2" t="s">
        <v>3939</v>
      </c>
    </row>
    <row r="749" spans="1:28" x14ac:dyDescent="0.35">
      <c r="A749" s="12">
        <v>5857</v>
      </c>
      <c r="B749" s="12">
        <v>8512023</v>
      </c>
      <c r="C749" s="12" t="s">
        <v>103</v>
      </c>
      <c r="D749" s="12">
        <v>50029896</v>
      </c>
      <c r="E749" s="1" t="s">
        <v>3940</v>
      </c>
      <c r="F749" s="1" t="str">
        <f>VLOOKUP(A749,[1]Sheet1!$A$2:$E$1141,5,0)</f>
        <v>Spv of PP Instrument</v>
      </c>
      <c r="G749" s="17" t="str">
        <f>VLOOKUP(A749,[1]Sheet1!$A$2:$F$1141,6,0)</f>
        <v>Supervisor</v>
      </c>
      <c r="H749" s="1" t="s">
        <v>3919</v>
      </c>
      <c r="I749" s="1" t="s">
        <v>1117</v>
      </c>
      <c r="J749" s="1" t="str">
        <f>VLOOKUP(A749,[1]Sheet1!$A$2:$H$1141,8,0)</f>
        <v>Dept. of Mining &amp; Power Plant</v>
      </c>
      <c r="K749" s="1" t="str">
        <f>VLOOKUP(A749,[1]Sheet1!$A$2:$I$1141,9,0)</f>
        <v>Unit of Power Plant Elins Maintenance</v>
      </c>
      <c r="L749" s="1" t="str">
        <f>VLOOKUP(A749,[1]Sheet1!$A$2:$J$1141,10,0)</f>
        <v>Section of Power Plant Instrument Maint.</v>
      </c>
      <c r="M749" s="2">
        <v>31351</v>
      </c>
      <c r="N749" s="1" t="s">
        <v>29</v>
      </c>
      <c r="O749" s="1" t="s">
        <v>30</v>
      </c>
      <c r="P749" s="1" t="s">
        <v>3941</v>
      </c>
      <c r="Q749" s="1" t="s">
        <v>3928</v>
      </c>
      <c r="R749" s="1" t="s">
        <v>3929</v>
      </c>
      <c r="S749" s="1" t="s">
        <v>3923</v>
      </c>
      <c r="T749" s="14">
        <v>51806</v>
      </c>
      <c r="U749" s="1" t="s">
        <v>3942</v>
      </c>
      <c r="V749" s="1" t="s">
        <v>36</v>
      </c>
      <c r="W749" s="3" t="str">
        <f t="shared" si="11"/>
        <v>40 tahun</v>
      </c>
      <c r="X749" s="1" t="s">
        <v>121</v>
      </c>
      <c r="Y749" s="1" t="s">
        <v>48</v>
      </c>
      <c r="Z749" s="2">
        <v>41275</v>
      </c>
      <c r="AA749" s="2">
        <v>41426</v>
      </c>
      <c r="AB749" s="2" t="s">
        <v>3943</v>
      </c>
    </row>
    <row r="750" spans="1:28" x14ac:dyDescent="0.35">
      <c r="A750" s="12">
        <v>6042</v>
      </c>
      <c r="B750" s="12">
        <v>8912210</v>
      </c>
      <c r="C750" s="12" t="s">
        <v>103</v>
      </c>
      <c r="D750" s="12">
        <v>50069688</v>
      </c>
      <c r="E750" s="1" t="s">
        <v>3944</v>
      </c>
      <c r="F750" s="1" t="str">
        <f>VLOOKUP(A750,[1]Sheet1!$A$2:$E$1141,5,0)</f>
        <v>PdM &amp; PM Schedule Instrument Jr Officer</v>
      </c>
      <c r="G750" s="17" t="str">
        <f>VLOOKUP(A750,[1]Sheet1!$A$2:$F$1141,6,0)</f>
        <v>Supervisor</v>
      </c>
      <c r="H750" s="1" t="s">
        <v>3919</v>
      </c>
      <c r="I750" s="1" t="s">
        <v>1117</v>
      </c>
      <c r="J750" s="1" t="str">
        <f>VLOOKUP(A750,[1]Sheet1!$A$2:$H$1141,8,0)</f>
        <v>Dept. of Mining &amp; Power Plant</v>
      </c>
      <c r="K750" s="1" t="str">
        <f>VLOOKUP(A750,[1]Sheet1!$A$2:$I$1141,9,0)</f>
        <v>Unit of Power Plant Elins Maintenance</v>
      </c>
      <c r="L750" s="1" t="str">
        <f>VLOOKUP(A750,[1]Sheet1!$A$2:$J$1141,10,0)</f>
        <v>Section of Power Plant Instrument Maint.</v>
      </c>
      <c r="M750" s="2">
        <v>32745</v>
      </c>
      <c r="N750" s="1" t="s">
        <v>29</v>
      </c>
      <c r="O750" s="1" t="s">
        <v>30</v>
      </c>
      <c r="P750" s="1" t="s">
        <v>3945</v>
      </c>
      <c r="Q750" s="1" t="s">
        <v>3946</v>
      </c>
      <c r="R750" s="1" t="s">
        <v>3947</v>
      </c>
      <c r="S750" s="1" t="s">
        <v>3923</v>
      </c>
      <c r="T750" s="14">
        <v>53206</v>
      </c>
      <c r="U750" s="1" t="s">
        <v>3948</v>
      </c>
      <c r="V750" s="1" t="s">
        <v>36</v>
      </c>
      <c r="W750" s="3" t="str">
        <f t="shared" si="11"/>
        <v>37 tahun</v>
      </c>
      <c r="X750" s="1" t="s">
        <v>112</v>
      </c>
      <c r="Y750" s="1" t="s">
        <v>56</v>
      </c>
      <c r="Z750" s="2">
        <v>41275</v>
      </c>
      <c r="AA750" s="2">
        <v>41426</v>
      </c>
      <c r="AB750" s="2" t="s">
        <v>3949</v>
      </c>
    </row>
    <row r="751" spans="1:28" x14ac:dyDescent="0.35">
      <c r="A751" s="12">
        <v>5940</v>
      </c>
      <c r="B751" s="12">
        <v>8712106</v>
      </c>
      <c r="C751" s="12" t="s">
        <v>103</v>
      </c>
      <c r="D751" s="12">
        <v>50069689</v>
      </c>
      <c r="E751" s="1" t="s">
        <v>3950</v>
      </c>
      <c r="F751" s="1" t="str">
        <f>VLOOKUP(A751,[1]Sheet1!$A$2:$E$1141,5,0)</f>
        <v>PdM &amp; PM Schedule Instrument Jr Officer</v>
      </c>
      <c r="G751" s="17" t="str">
        <f>VLOOKUP(A751,[1]Sheet1!$A$2:$F$1141,6,0)</f>
        <v>Supervisor</v>
      </c>
      <c r="H751" s="1" t="s">
        <v>3919</v>
      </c>
      <c r="I751" s="1" t="s">
        <v>1117</v>
      </c>
      <c r="J751" s="1" t="str">
        <f>VLOOKUP(A751,[1]Sheet1!$A$2:$H$1141,8,0)</f>
        <v>Dept. of Mining &amp; Power Plant</v>
      </c>
      <c r="K751" s="1" t="str">
        <f>VLOOKUP(A751,[1]Sheet1!$A$2:$I$1141,9,0)</f>
        <v>Unit of Power Plant Elins Maintenance</v>
      </c>
      <c r="L751" s="1" t="str">
        <f>VLOOKUP(A751,[1]Sheet1!$A$2:$J$1141,10,0)</f>
        <v>Section of Power Plant Instrument Maint.</v>
      </c>
      <c r="M751" s="2">
        <v>32071</v>
      </c>
      <c r="N751" s="1" t="s">
        <v>29</v>
      </c>
      <c r="O751" s="1" t="s">
        <v>30</v>
      </c>
      <c r="P751" s="1" t="s">
        <v>3951</v>
      </c>
      <c r="Q751" s="1" t="s">
        <v>3946</v>
      </c>
      <c r="R751" s="1" t="s">
        <v>3947</v>
      </c>
      <c r="S751" s="1" t="s">
        <v>3923</v>
      </c>
      <c r="T751" s="14">
        <v>52536</v>
      </c>
      <c r="U751" s="1" t="s">
        <v>3952</v>
      </c>
      <c r="V751" s="1" t="s">
        <v>36</v>
      </c>
      <c r="W751" s="3" t="str">
        <f t="shared" si="11"/>
        <v>38 tahun</v>
      </c>
      <c r="X751" s="1" t="s">
        <v>112</v>
      </c>
      <c r="Y751" s="1" t="s">
        <v>48</v>
      </c>
      <c r="Z751" s="2">
        <v>41275</v>
      </c>
      <c r="AA751" s="2">
        <v>41426</v>
      </c>
      <c r="AB751" s="2" t="s">
        <v>3953</v>
      </c>
    </row>
    <row r="752" spans="1:28" x14ac:dyDescent="0.35">
      <c r="A752" s="12">
        <v>6084</v>
      </c>
      <c r="B752" s="12">
        <v>9012252</v>
      </c>
      <c r="C752" s="12" t="s">
        <v>103</v>
      </c>
      <c r="D752" s="12">
        <v>50069691</v>
      </c>
      <c r="E752" s="1" t="s">
        <v>3954</v>
      </c>
      <c r="F752" s="1" t="str">
        <f>VLOOKUP(A752,[1]Sheet1!$A$2:$E$1141,5,0)</f>
        <v>Spv of PvM PP Instrument</v>
      </c>
      <c r="G752" s="17" t="str">
        <f>VLOOKUP(A752,[1]Sheet1!$A$2:$F$1141,6,0)</f>
        <v>Supervisor</v>
      </c>
      <c r="H752" s="1" t="s">
        <v>3919</v>
      </c>
      <c r="I752" s="1" t="s">
        <v>1117</v>
      </c>
      <c r="J752" s="1" t="str">
        <f>VLOOKUP(A752,[1]Sheet1!$A$2:$H$1141,8,0)</f>
        <v>Dept. of Mining &amp; Power Plant</v>
      </c>
      <c r="K752" s="1" t="str">
        <f>VLOOKUP(A752,[1]Sheet1!$A$2:$I$1141,9,0)</f>
        <v>Unit of Power Plant Elins Maintenance</v>
      </c>
      <c r="L752" s="1" t="str">
        <f>VLOOKUP(A752,[1]Sheet1!$A$2:$J$1141,10,0)</f>
        <v>Section of Power Plant Instrument Maint.</v>
      </c>
      <c r="M752" s="2">
        <v>32977</v>
      </c>
      <c r="N752" s="1" t="s">
        <v>29</v>
      </c>
      <c r="O752" s="1" t="s">
        <v>30</v>
      </c>
      <c r="P752" s="1" t="s">
        <v>3955</v>
      </c>
      <c r="Q752" s="1" t="s">
        <v>3956</v>
      </c>
      <c r="R752" s="1" t="s">
        <v>3957</v>
      </c>
      <c r="S752" s="1" t="s">
        <v>3923</v>
      </c>
      <c r="T752" s="14">
        <v>53448</v>
      </c>
      <c r="U752" s="1" t="s">
        <v>3958</v>
      </c>
      <c r="V752" s="1" t="s">
        <v>36</v>
      </c>
      <c r="W752" s="3" t="str">
        <f t="shared" si="11"/>
        <v>36 tahun</v>
      </c>
      <c r="X752" s="1" t="s">
        <v>55</v>
      </c>
      <c r="Y752" s="1" t="s">
        <v>48</v>
      </c>
      <c r="Z752" s="2">
        <v>41275</v>
      </c>
      <c r="AA752" s="2">
        <v>41395</v>
      </c>
      <c r="AB752" s="2" t="s">
        <v>3959</v>
      </c>
    </row>
    <row r="753" spans="1:28" x14ac:dyDescent="0.35">
      <c r="A753" s="12">
        <v>5296</v>
      </c>
      <c r="B753" s="12">
        <v>8308037</v>
      </c>
      <c r="C753" s="12" t="s">
        <v>25</v>
      </c>
      <c r="D753" s="12">
        <v>50007381</v>
      </c>
      <c r="E753" s="15" t="s">
        <v>3960</v>
      </c>
      <c r="F753" s="1" t="str">
        <f>VLOOKUP(A753,[1]Sheet1!$A$2:$E$1141,5,0)</f>
        <v>SM of Mining Operation</v>
      </c>
      <c r="G753" s="15" t="str">
        <f>VLOOKUP(A753,[1]Sheet1!$A$2:$F$1141,6,0)</f>
        <v>Senior Manager</v>
      </c>
      <c r="H753" s="1" t="s">
        <v>3961</v>
      </c>
      <c r="I753" s="1" t="s">
        <v>1117</v>
      </c>
      <c r="J753" s="1" t="str">
        <f>VLOOKUP(A753,[1]Sheet1!$A$2:$H$1141,8,0)</f>
        <v>Dept. of Mining &amp; Power Plant</v>
      </c>
      <c r="K753" s="1" t="str">
        <f>VLOOKUP(A753,[1]Sheet1!$A$2:$I$1141,9,0)</f>
        <v>Unit of Mining Operation</v>
      </c>
      <c r="L753" s="1" t="e">
        <f>VLOOKUP(A753,[1]Sheet1!$A$2:$J$1141,10,0)</f>
        <v>#REF!</v>
      </c>
      <c r="M753" s="2">
        <v>30644</v>
      </c>
      <c r="N753" s="1" t="s">
        <v>29</v>
      </c>
      <c r="O753" s="1" t="s">
        <v>30</v>
      </c>
      <c r="P753" s="1" t="s">
        <v>3962</v>
      </c>
      <c r="Q753" s="1" t="s">
        <v>3963</v>
      </c>
      <c r="R753" s="1" t="s">
        <v>3964</v>
      </c>
      <c r="S753" s="1" t="s">
        <v>3965</v>
      </c>
      <c r="T753" s="14">
        <v>51105</v>
      </c>
      <c r="U753" s="1" t="s">
        <v>3966</v>
      </c>
      <c r="V753" s="1" t="s">
        <v>36</v>
      </c>
      <c r="W753" s="3" t="str">
        <f t="shared" si="11"/>
        <v>42 tahun</v>
      </c>
      <c r="X753" s="1" t="s">
        <v>3967</v>
      </c>
      <c r="Y753" s="1" t="s">
        <v>38</v>
      </c>
      <c r="Z753" s="2">
        <v>39814</v>
      </c>
      <c r="AA753" s="2">
        <v>39934</v>
      </c>
      <c r="AB753" s="2" t="s">
        <v>3968</v>
      </c>
    </row>
    <row r="754" spans="1:28" x14ac:dyDescent="0.35">
      <c r="A754" s="12">
        <v>4548</v>
      </c>
      <c r="B754" s="12">
        <v>7306425</v>
      </c>
      <c r="C754" s="12" t="s">
        <v>219</v>
      </c>
      <c r="D754" s="12">
        <v>50024104</v>
      </c>
      <c r="E754" s="1" t="s">
        <v>879</v>
      </c>
      <c r="F754" s="1" t="str">
        <f>VLOOKUP(A754,[1]Sheet1!$A$2:$E$1141,5,0)</f>
        <v>Opr of Blasting</v>
      </c>
      <c r="G754" s="17" t="str">
        <f>VLOOKUP(A754,[1]Sheet1!$A$2:$F$1141,6,0)</f>
        <v>Associate</v>
      </c>
      <c r="H754" s="1" t="s">
        <v>3961</v>
      </c>
      <c r="I754" s="1" t="s">
        <v>1117</v>
      </c>
      <c r="J754" s="1" t="str">
        <f>VLOOKUP(A754,[1]Sheet1!$A$2:$H$1141,8,0)</f>
        <v>Dept. of Mining &amp; Power Plant</v>
      </c>
      <c r="K754" s="1" t="str">
        <f>VLOOKUP(A754,[1]Sheet1!$A$2:$I$1141,9,0)</f>
        <v>Unit of Mining Operation</v>
      </c>
      <c r="L754" s="1" t="str">
        <f>VLOOKUP(A754,[1]Sheet1!$A$2:$J$1141,10,0)</f>
        <v>Section of Mine Planning &amp; Monitoring</v>
      </c>
      <c r="M754" s="2">
        <v>26978</v>
      </c>
      <c r="N754" s="1" t="s">
        <v>29</v>
      </c>
      <c r="O754" s="1" t="s">
        <v>30</v>
      </c>
      <c r="P754" s="1" t="s">
        <v>3969</v>
      </c>
      <c r="Q754" s="1" t="s">
        <v>3970</v>
      </c>
      <c r="R754" s="1" t="s">
        <v>3971</v>
      </c>
      <c r="S754" s="1" t="s">
        <v>3965</v>
      </c>
      <c r="T754" s="14">
        <v>47453</v>
      </c>
      <c r="U754" s="1" t="s">
        <v>3972</v>
      </c>
      <c r="V754" s="1" t="s">
        <v>36</v>
      </c>
      <c r="W754" s="3" t="str">
        <f t="shared" si="11"/>
        <v>52 tahun</v>
      </c>
      <c r="X754" s="1" t="s">
        <v>882</v>
      </c>
      <c r="Y754" s="1" t="s">
        <v>56</v>
      </c>
      <c r="Z754" s="2">
        <v>38718</v>
      </c>
      <c r="AA754" s="2">
        <v>41030</v>
      </c>
      <c r="AB754" s="2" t="s">
        <v>84</v>
      </c>
    </row>
    <row r="755" spans="1:28" x14ac:dyDescent="0.35">
      <c r="A755" s="12">
        <v>4408</v>
      </c>
      <c r="B755" s="12">
        <v>7006288</v>
      </c>
      <c r="C755" s="12" t="s">
        <v>219</v>
      </c>
      <c r="D755" s="12">
        <v>50024107</v>
      </c>
      <c r="E755" s="1" t="s">
        <v>3973</v>
      </c>
      <c r="F755" s="1" t="str">
        <f>VLOOKUP(A755,[1]Sheet1!$A$2:$E$1141,5,0)</f>
        <v>Opr of Blasting</v>
      </c>
      <c r="G755" s="17" t="str">
        <f>VLOOKUP(A755,[1]Sheet1!$A$2:$F$1141,6,0)</f>
        <v>Associate</v>
      </c>
      <c r="H755" s="1" t="s">
        <v>3961</v>
      </c>
      <c r="I755" s="1" t="s">
        <v>1117</v>
      </c>
      <c r="J755" s="1" t="str">
        <f>VLOOKUP(A755,[1]Sheet1!$A$2:$H$1141,8,0)</f>
        <v>Dept. of Mining &amp; Power Plant</v>
      </c>
      <c r="K755" s="1" t="str">
        <f>VLOOKUP(A755,[1]Sheet1!$A$2:$I$1141,9,0)</f>
        <v>Unit of Mining Operation</v>
      </c>
      <c r="L755" s="1" t="str">
        <f>VLOOKUP(A755,[1]Sheet1!$A$2:$J$1141,10,0)</f>
        <v>Section of Mine Planning &amp; Monitoring</v>
      </c>
      <c r="M755" s="2">
        <v>25883</v>
      </c>
      <c r="N755" s="1" t="s">
        <v>29</v>
      </c>
      <c r="O755" s="1" t="s">
        <v>30</v>
      </c>
      <c r="P755" s="1" t="s">
        <v>3974</v>
      </c>
      <c r="Q755" s="1" t="s">
        <v>3970</v>
      </c>
      <c r="R755" s="1" t="s">
        <v>3971</v>
      </c>
      <c r="S755" s="1" t="s">
        <v>3965</v>
      </c>
      <c r="T755" s="14">
        <v>46357</v>
      </c>
      <c r="U755" s="1" t="s">
        <v>3975</v>
      </c>
      <c r="V755" s="1" t="s">
        <v>36</v>
      </c>
      <c r="W755" s="3" t="str">
        <f t="shared" si="11"/>
        <v>55 tahun</v>
      </c>
      <c r="X755" s="1" t="s">
        <v>3976</v>
      </c>
      <c r="Y755" s="1" t="s">
        <v>1945</v>
      </c>
      <c r="Z755" s="2">
        <v>38718</v>
      </c>
      <c r="AA755" s="2">
        <v>41030</v>
      </c>
      <c r="AB755" s="2" t="s">
        <v>3977</v>
      </c>
    </row>
    <row r="756" spans="1:28" x14ac:dyDescent="0.35">
      <c r="A756" s="12">
        <v>5010</v>
      </c>
      <c r="B756" s="12">
        <v>7495107</v>
      </c>
      <c r="C756" s="12" t="s">
        <v>50</v>
      </c>
      <c r="D756" s="12">
        <v>50007423</v>
      </c>
      <c r="E756" s="16" t="s">
        <v>3978</v>
      </c>
      <c r="F756" s="1" t="str">
        <f>VLOOKUP(A756,[1]Sheet1!$A$2:$E$1141,5,0)</f>
        <v>Mgr of Limestone Mining</v>
      </c>
      <c r="G756" s="16" t="str">
        <f>VLOOKUP(A756,[1]Sheet1!$A$2:$F$1141,6,0)</f>
        <v>Manager</v>
      </c>
      <c r="H756" s="1" t="s">
        <v>3979</v>
      </c>
      <c r="I756" s="1" t="s">
        <v>1117</v>
      </c>
      <c r="J756" s="1" t="str">
        <f>VLOOKUP(A756,[1]Sheet1!$A$2:$H$1141,8,0)</f>
        <v>Dept. of Mining &amp; Power Plant</v>
      </c>
      <c r="K756" s="1" t="str">
        <f>VLOOKUP(A756,[1]Sheet1!$A$2:$I$1141,9,0)</f>
        <v>Unit of Mining Operation</v>
      </c>
      <c r="L756" s="1" t="str">
        <f>VLOOKUP(A756,[1]Sheet1!$A$2:$J$1141,10,0)</f>
        <v>Section of Limestone Mining</v>
      </c>
      <c r="M756" s="2">
        <v>27076</v>
      </c>
      <c r="N756" s="1" t="s">
        <v>29</v>
      </c>
      <c r="O756" s="1" t="s">
        <v>30</v>
      </c>
      <c r="P756" s="1" t="s">
        <v>3980</v>
      </c>
      <c r="Q756" s="1" t="s">
        <v>3981</v>
      </c>
      <c r="R756" s="1" t="s">
        <v>3982</v>
      </c>
      <c r="S756" s="1" t="s">
        <v>3983</v>
      </c>
      <c r="T756" s="14">
        <v>47543</v>
      </c>
      <c r="U756" s="1" t="s">
        <v>3984</v>
      </c>
      <c r="V756" s="1" t="s">
        <v>36</v>
      </c>
      <c r="W756" s="3" t="str">
        <f t="shared" si="11"/>
        <v>52 tahun</v>
      </c>
      <c r="X756" s="1" t="s">
        <v>3985</v>
      </c>
      <c r="Y756" s="1" t="s">
        <v>56</v>
      </c>
      <c r="Z756" s="2">
        <v>34932</v>
      </c>
      <c r="AA756" s="2">
        <v>35309</v>
      </c>
      <c r="AB756" s="2" t="s">
        <v>133</v>
      </c>
    </row>
    <row r="757" spans="1:28" x14ac:dyDescent="0.35">
      <c r="A757" s="12">
        <v>4794</v>
      </c>
      <c r="B757" s="12">
        <v>7295172</v>
      </c>
      <c r="C757" s="12" t="s">
        <v>50</v>
      </c>
      <c r="D757" s="12">
        <v>50024194</v>
      </c>
      <c r="E757" s="1" t="s">
        <v>3986</v>
      </c>
      <c r="F757" s="1" t="str">
        <f>VLOOKUP(A757,[1]Sheet1!$A$2:$E$1141,5,0)</f>
        <v>Spv of Limestone Loading &amp; Hauling</v>
      </c>
      <c r="G757" s="17" t="str">
        <f>VLOOKUP(A757,[1]Sheet1!$A$2:$F$1141,6,0)</f>
        <v>Supervisor</v>
      </c>
      <c r="H757" s="1" t="s">
        <v>3979</v>
      </c>
      <c r="I757" s="1" t="s">
        <v>1117</v>
      </c>
      <c r="J757" s="1" t="str">
        <f>VLOOKUP(A757,[1]Sheet1!$A$2:$H$1141,8,0)</f>
        <v>Dept. of Mining &amp; Power Plant</v>
      </c>
      <c r="K757" s="1" t="str">
        <f>VLOOKUP(A757,[1]Sheet1!$A$2:$I$1141,9,0)</f>
        <v>Unit of Mining Operation</v>
      </c>
      <c r="L757" s="1" t="str">
        <f>VLOOKUP(A757,[1]Sheet1!$A$2:$J$1141,10,0)</f>
        <v>Section of Limestone Mining</v>
      </c>
      <c r="M757" s="2">
        <v>26311</v>
      </c>
      <c r="N757" s="1" t="s">
        <v>29</v>
      </c>
      <c r="O757" s="1" t="s">
        <v>30</v>
      </c>
      <c r="P757" s="1" t="s">
        <v>3987</v>
      </c>
      <c r="Q757" s="1" t="s">
        <v>3988</v>
      </c>
      <c r="R757" s="1" t="s">
        <v>3989</v>
      </c>
      <c r="S757" s="1" t="s">
        <v>3983</v>
      </c>
      <c r="T757" s="14">
        <v>46784</v>
      </c>
      <c r="U757" s="1" t="s">
        <v>3990</v>
      </c>
      <c r="V757" s="1" t="s">
        <v>36</v>
      </c>
      <c r="W757" s="3" t="str">
        <f t="shared" si="11"/>
        <v>54 tahun</v>
      </c>
      <c r="X757" s="1" t="s">
        <v>3991</v>
      </c>
      <c r="Y757" s="1" t="s">
        <v>56</v>
      </c>
      <c r="Z757" s="2">
        <v>35002</v>
      </c>
      <c r="AA757" s="2">
        <v>35370</v>
      </c>
      <c r="AB757" s="2" t="s">
        <v>3992</v>
      </c>
    </row>
    <row r="758" spans="1:28" x14ac:dyDescent="0.35">
      <c r="A758" s="12">
        <v>5022</v>
      </c>
      <c r="B758" s="12">
        <v>7495213</v>
      </c>
      <c r="C758" s="12" t="s">
        <v>50</v>
      </c>
      <c r="D758" s="12">
        <v>50069618</v>
      </c>
      <c r="E758" s="1" t="s">
        <v>3993</v>
      </c>
      <c r="F758" s="1" t="str">
        <f>VLOOKUP(A758,[1]Sheet1!$A$2:$E$1141,5,0)</f>
        <v>Spv of Limestone Loading &amp; Hauling</v>
      </c>
      <c r="G758" s="17" t="str">
        <f>VLOOKUP(A758,[1]Sheet1!$A$2:$F$1141,6,0)</f>
        <v>Supervisor</v>
      </c>
      <c r="H758" s="1" t="s">
        <v>3979</v>
      </c>
      <c r="I758" s="1" t="s">
        <v>1117</v>
      </c>
      <c r="J758" s="1" t="str">
        <f>VLOOKUP(A758,[1]Sheet1!$A$2:$H$1141,8,0)</f>
        <v>Dept. of Mining &amp; Power Plant</v>
      </c>
      <c r="K758" s="1" t="str">
        <f>VLOOKUP(A758,[1]Sheet1!$A$2:$I$1141,9,0)</f>
        <v>Unit of Mining Operation</v>
      </c>
      <c r="L758" s="1" t="str">
        <f>VLOOKUP(A758,[1]Sheet1!$A$2:$J$1141,10,0)</f>
        <v>Section of Limestone Mining</v>
      </c>
      <c r="M758" s="2">
        <v>27099</v>
      </c>
      <c r="N758" s="1" t="s">
        <v>29</v>
      </c>
      <c r="O758" s="1" t="s">
        <v>30</v>
      </c>
      <c r="P758" s="1" t="s">
        <v>3994</v>
      </c>
      <c r="Q758" s="1" t="s">
        <v>3988</v>
      </c>
      <c r="R758" s="1" t="s">
        <v>3989</v>
      </c>
      <c r="S758" s="1" t="s">
        <v>3983</v>
      </c>
      <c r="T758" s="14">
        <v>47574</v>
      </c>
      <c r="U758" s="1" t="s">
        <v>3995</v>
      </c>
      <c r="V758" s="1" t="s">
        <v>36</v>
      </c>
      <c r="W758" s="3" t="str">
        <f t="shared" si="11"/>
        <v>52 tahun</v>
      </c>
      <c r="X758" s="1" t="s">
        <v>55</v>
      </c>
      <c r="Y758" s="1" t="s">
        <v>56</v>
      </c>
      <c r="Z758" s="2">
        <v>35002</v>
      </c>
      <c r="AA758" s="2">
        <v>35370</v>
      </c>
      <c r="AB758" s="2" t="s">
        <v>84</v>
      </c>
    </row>
    <row r="759" spans="1:28" x14ac:dyDescent="0.35">
      <c r="A759" s="12">
        <v>4488</v>
      </c>
      <c r="B759" s="12">
        <v>7206373</v>
      </c>
      <c r="C759" s="12" t="s">
        <v>219</v>
      </c>
      <c r="D759" s="12">
        <v>50052619</v>
      </c>
      <c r="E759" s="1" t="s">
        <v>3996</v>
      </c>
      <c r="F759" s="1" t="str">
        <f>VLOOKUP(A759,[1]Sheet1!$A$2:$E$1141,5,0)</f>
        <v>Tech of limestone loading &amp; hauling</v>
      </c>
      <c r="G759" s="17" t="str">
        <f>VLOOKUP(A759,[1]Sheet1!$A$2:$F$1141,6,0)</f>
        <v>Associate</v>
      </c>
      <c r="H759" s="1" t="s">
        <v>3979</v>
      </c>
      <c r="I759" s="1" t="s">
        <v>1117</v>
      </c>
      <c r="J759" s="1" t="str">
        <f>VLOOKUP(A759,[1]Sheet1!$A$2:$H$1141,8,0)</f>
        <v>Dept. of Mining &amp; Power Plant</v>
      </c>
      <c r="K759" s="1" t="str">
        <f>VLOOKUP(A759,[1]Sheet1!$A$2:$I$1141,9,0)</f>
        <v>Unit of Mining Operation</v>
      </c>
      <c r="L759" s="1" t="str">
        <f>VLOOKUP(A759,[1]Sheet1!$A$2:$J$1141,10,0)</f>
        <v>Section of Limestone Mining</v>
      </c>
      <c r="M759" s="2">
        <v>26584</v>
      </c>
      <c r="N759" s="1" t="s">
        <v>29</v>
      </c>
      <c r="O759" s="1" t="s">
        <v>30</v>
      </c>
      <c r="P759" s="1" t="s">
        <v>3997</v>
      </c>
      <c r="Q759" s="1" t="s">
        <v>3998</v>
      </c>
      <c r="R759" s="1" t="s">
        <v>3989</v>
      </c>
      <c r="S759" s="1" t="s">
        <v>3983</v>
      </c>
      <c r="T759" s="14">
        <v>47058</v>
      </c>
      <c r="U759" s="1" t="s">
        <v>3999</v>
      </c>
      <c r="V759" s="1" t="s">
        <v>36</v>
      </c>
      <c r="W759" s="3" t="str">
        <f t="shared" si="11"/>
        <v>53 tahun</v>
      </c>
      <c r="X759" s="1" t="s">
        <v>4000</v>
      </c>
      <c r="Y759" s="1" t="s">
        <v>56</v>
      </c>
      <c r="Z759" s="2">
        <v>38718</v>
      </c>
      <c r="AA759" s="2">
        <v>41030</v>
      </c>
      <c r="AB759" s="2" t="s">
        <v>4001</v>
      </c>
    </row>
    <row r="760" spans="1:28" x14ac:dyDescent="0.35">
      <c r="A760" s="12">
        <v>5232</v>
      </c>
      <c r="B760" s="12">
        <v>7806560</v>
      </c>
      <c r="C760" s="12" t="s">
        <v>219</v>
      </c>
      <c r="D760" s="12">
        <v>50061175</v>
      </c>
      <c r="E760" s="1" t="s">
        <v>4002</v>
      </c>
      <c r="F760" s="1" t="str">
        <f>VLOOKUP(A760,[1]Sheet1!$A$2:$E$1141,5,0)</f>
        <v>Spv of Mining Sevices</v>
      </c>
      <c r="G760" s="17" t="str">
        <f>VLOOKUP(A760,[1]Sheet1!$A$2:$F$1141,6,0)</f>
        <v>Supervisor</v>
      </c>
      <c r="H760" s="1" t="s">
        <v>3979</v>
      </c>
      <c r="I760" s="1" t="s">
        <v>1117</v>
      </c>
      <c r="J760" s="1" t="str">
        <f>VLOOKUP(A760,[1]Sheet1!$A$2:$H$1141,8,0)</f>
        <v>Dept. of Mining &amp; Power Plant</v>
      </c>
      <c r="K760" s="1" t="str">
        <f>VLOOKUP(A760,[1]Sheet1!$A$2:$I$1141,9,0)</f>
        <v>Unit of Mining Operation</v>
      </c>
      <c r="L760" s="1" t="str">
        <f>VLOOKUP(A760,[1]Sheet1!$A$2:$J$1141,10,0)</f>
        <v>Section of Limestone Mining</v>
      </c>
      <c r="M760" s="2">
        <v>28785</v>
      </c>
      <c r="N760" s="1" t="s">
        <v>29</v>
      </c>
      <c r="O760" s="1" t="s">
        <v>30</v>
      </c>
      <c r="P760" s="1" t="s">
        <v>4003</v>
      </c>
      <c r="Q760" s="1" t="s">
        <v>4004</v>
      </c>
      <c r="R760" s="1" t="s">
        <v>4005</v>
      </c>
      <c r="S760" s="1" t="s">
        <v>3983</v>
      </c>
      <c r="T760" s="14">
        <v>49249</v>
      </c>
      <c r="U760" s="1" t="s">
        <v>4006</v>
      </c>
      <c r="V760" s="1" t="s">
        <v>36</v>
      </c>
      <c r="W760" s="3" t="str">
        <f t="shared" si="11"/>
        <v>47 tahun</v>
      </c>
      <c r="X760" s="1" t="s">
        <v>248</v>
      </c>
      <c r="Y760" s="1" t="s">
        <v>56</v>
      </c>
      <c r="Z760" s="2">
        <v>38718</v>
      </c>
      <c r="AA760" s="2">
        <v>41030</v>
      </c>
      <c r="AB760" s="2" t="s">
        <v>4007</v>
      </c>
    </row>
    <row r="761" spans="1:28" x14ac:dyDescent="0.35">
      <c r="A761" s="12">
        <v>4873</v>
      </c>
      <c r="B761" s="12">
        <v>7295186</v>
      </c>
      <c r="C761" s="12" t="s">
        <v>50</v>
      </c>
      <c r="D761" s="12">
        <v>50069615</v>
      </c>
      <c r="E761" s="1" t="s">
        <v>4008</v>
      </c>
      <c r="F761" s="1" t="str">
        <f>VLOOKUP(A761,[1]Sheet1!$A$2:$E$1141,5,0)</f>
        <v>Spv of Blasting</v>
      </c>
      <c r="G761" s="17" t="str">
        <f>VLOOKUP(A761,[1]Sheet1!$A$2:$F$1141,6,0)</f>
        <v>Supervisor</v>
      </c>
      <c r="H761" s="1" t="s">
        <v>3979</v>
      </c>
      <c r="I761" s="1" t="s">
        <v>1117</v>
      </c>
      <c r="J761" s="1" t="str">
        <f>VLOOKUP(A761,[1]Sheet1!$A$2:$H$1141,8,0)</f>
        <v>Dept. of Mining &amp; Power Plant</v>
      </c>
      <c r="K761" s="1" t="str">
        <f>VLOOKUP(A761,[1]Sheet1!$A$2:$I$1141,9,0)</f>
        <v>Unit of Mining Operation</v>
      </c>
      <c r="L761" s="1" t="str">
        <f>VLOOKUP(A761,[1]Sheet1!$A$2:$J$1141,10,0)</f>
        <v>Section of Limestone Mining</v>
      </c>
      <c r="M761" s="2">
        <v>26549</v>
      </c>
      <c r="N761" s="1" t="s">
        <v>29</v>
      </c>
      <c r="O761" s="1" t="s">
        <v>30</v>
      </c>
      <c r="P761" s="1" t="s">
        <v>4009</v>
      </c>
      <c r="Q761" s="1" t="s">
        <v>4010</v>
      </c>
      <c r="R761" s="1" t="s">
        <v>3971</v>
      </c>
      <c r="S761" s="1" t="s">
        <v>3983</v>
      </c>
      <c r="T761" s="14">
        <v>47027</v>
      </c>
      <c r="U761" s="1" t="s">
        <v>4011</v>
      </c>
      <c r="V761" s="1" t="s">
        <v>36</v>
      </c>
      <c r="W761" s="3" t="str">
        <f t="shared" si="11"/>
        <v>53 tahun</v>
      </c>
      <c r="X761" s="1" t="s">
        <v>55</v>
      </c>
      <c r="Y761" s="1" t="s">
        <v>56</v>
      </c>
      <c r="Z761" s="2">
        <v>35002</v>
      </c>
      <c r="AA761" s="2">
        <v>35370</v>
      </c>
      <c r="AB761" s="2" t="s">
        <v>4012</v>
      </c>
    </row>
    <row r="762" spans="1:28" x14ac:dyDescent="0.35">
      <c r="A762" s="12">
        <v>5185</v>
      </c>
      <c r="B762" s="12">
        <v>7695120</v>
      </c>
      <c r="C762" s="12" t="s">
        <v>50</v>
      </c>
      <c r="D762" s="12">
        <v>50069617</v>
      </c>
      <c r="E762" s="1" t="s">
        <v>4013</v>
      </c>
      <c r="F762" s="1" t="str">
        <f>VLOOKUP(A762,[1]Sheet1!$A$2:$E$1141,5,0)</f>
        <v>Spv of Drilling &amp; Mine Development</v>
      </c>
      <c r="G762" s="17" t="str">
        <f>VLOOKUP(A762,[1]Sheet1!$A$2:$F$1141,6,0)</f>
        <v>Supervisor</v>
      </c>
      <c r="H762" s="1" t="s">
        <v>3979</v>
      </c>
      <c r="I762" s="1" t="s">
        <v>1117</v>
      </c>
      <c r="J762" s="1" t="str">
        <f>VLOOKUP(A762,[1]Sheet1!$A$2:$H$1141,8,0)</f>
        <v>Dept. of Mining &amp; Power Plant</v>
      </c>
      <c r="K762" s="1" t="str">
        <f>VLOOKUP(A762,[1]Sheet1!$A$2:$I$1141,9,0)</f>
        <v>Unit of Mining Operation</v>
      </c>
      <c r="L762" s="1" t="str">
        <f>VLOOKUP(A762,[1]Sheet1!$A$2:$J$1141,10,0)</f>
        <v>Section of Limestone Mining</v>
      </c>
      <c r="M762" s="2">
        <v>27794</v>
      </c>
      <c r="N762" s="1" t="s">
        <v>29</v>
      </c>
      <c r="O762" s="1" t="s">
        <v>30</v>
      </c>
      <c r="P762" s="1" t="s">
        <v>4014</v>
      </c>
      <c r="Q762" s="1" t="s">
        <v>4015</v>
      </c>
      <c r="R762" s="1" t="s">
        <v>4016</v>
      </c>
      <c r="S762" s="1" t="s">
        <v>3983</v>
      </c>
      <c r="T762" s="14">
        <v>48274</v>
      </c>
      <c r="U762" s="1" t="s">
        <v>4017</v>
      </c>
      <c r="V762" s="1" t="s">
        <v>36</v>
      </c>
      <c r="W762" s="3" t="str">
        <f t="shared" si="11"/>
        <v>50 tahun</v>
      </c>
      <c r="X762" s="1" t="s">
        <v>4018</v>
      </c>
      <c r="Y762" s="1" t="s">
        <v>48</v>
      </c>
      <c r="Z762" s="2">
        <v>34932</v>
      </c>
      <c r="AA762" s="2">
        <v>35309</v>
      </c>
      <c r="AB762" s="2" t="s">
        <v>4019</v>
      </c>
    </row>
    <row r="763" spans="1:28" x14ac:dyDescent="0.35">
      <c r="A763" s="12">
        <v>4582</v>
      </c>
      <c r="B763" s="12">
        <v>7406460</v>
      </c>
      <c r="C763" s="12" t="s">
        <v>219</v>
      </c>
      <c r="D763" s="12">
        <v>50007469</v>
      </c>
      <c r="E763" s="1" t="s">
        <v>4020</v>
      </c>
      <c r="F763" s="1" t="str">
        <f>VLOOKUP(A763,[1]Sheet1!$A$2:$E$1141,5,0)</f>
        <v>Spv of Clay Mining</v>
      </c>
      <c r="G763" s="17" t="str">
        <f>VLOOKUP(A763,[1]Sheet1!$A$2:$F$1141,6,0)</f>
        <v>Supervisor</v>
      </c>
      <c r="H763" s="1" t="s">
        <v>4021</v>
      </c>
      <c r="I763" s="1" t="s">
        <v>1117</v>
      </c>
      <c r="J763" s="1" t="str">
        <f>VLOOKUP(A763,[1]Sheet1!$A$2:$H$1141,8,0)</f>
        <v>Dept. of Mining &amp; Power Plant</v>
      </c>
      <c r="K763" s="1" t="str">
        <f>VLOOKUP(A763,[1]Sheet1!$A$2:$I$1141,9,0)</f>
        <v>Unit of Mining Operation</v>
      </c>
      <c r="L763" s="1" t="str">
        <f>VLOOKUP(A763,[1]Sheet1!$A$2:$J$1141,10,0)</f>
        <v>Section of Clay Mining</v>
      </c>
      <c r="M763" s="2">
        <v>27222</v>
      </c>
      <c r="N763" s="1" t="s">
        <v>29</v>
      </c>
      <c r="O763" s="1" t="s">
        <v>30</v>
      </c>
      <c r="P763" s="1" t="s">
        <v>4022</v>
      </c>
      <c r="Q763" s="1" t="s">
        <v>4023</v>
      </c>
      <c r="R763" s="1" t="s">
        <v>4024</v>
      </c>
      <c r="S763" s="1" t="s">
        <v>4025</v>
      </c>
      <c r="T763" s="14">
        <v>47696</v>
      </c>
      <c r="U763" s="1" t="s">
        <v>4026</v>
      </c>
      <c r="V763" s="1" t="s">
        <v>36</v>
      </c>
      <c r="W763" s="3" t="str">
        <f t="shared" si="11"/>
        <v>52 tahun</v>
      </c>
      <c r="X763" s="1" t="s">
        <v>4027</v>
      </c>
      <c r="Y763" s="1" t="s">
        <v>56</v>
      </c>
      <c r="Z763" s="2">
        <v>38718</v>
      </c>
      <c r="AA763" s="2">
        <v>41030</v>
      </c>
      <c r="AB763" s="2" t="s">
        <v>4028</v>
      </c>
    </row>
    <row r="764" spans="1:28" x14ac:dyDescent="0.35">
      <c r="A764" s="12">
        <v>4965</v>
      </c>
      <c r="B764" s="12">
        <v>7395278</v>
      </c>
      <c r="C764" s="12" t="s">
        <v>50</v>
      </c>
      <c r="D764" s="12">
        <v>50069619</v>
      </c>
      <c r="E764" s="1" t="s">
        <v>3455</v>
      </c>
      <c r="F764" s="1" t="str">
        <f>VLOOKUP(A764,[1]Sheet1!$A$2:$E$1141,5,0)</f>
        <v>Spv of Clay Mining</v>
      </c>
      <c r="G764" s="17" t="str">
        <f>VLOOKUP(A764,[1]Sheet1!$A$2:$F$1141,6,0)</f>
        <v>Supervisor</v>
      </c>
      <c r="H764" s="1" t="s">
        <v>4021</v>
      </c>
      <c r="I764" s="1" t="s">
        <v>1117</v>
      </c>
      <c r="J764" s="1" t="str">
        <f>VLOOKUP(A764,[1]Sheet1!$A$2:$H$1141,8,0)</f>
        <v>Dept. of Mining &amp; Power Plant</v>
      </c>
      <c r="K764" s="1" t="str">
        <f>VLOOKUP(A764,[1]Sheet1!$A$2:$I$1141,9,0)</f>
        <v>Unit of Mining Operation</v>
      </c>
      <c r="L764" s="1" t="str">
        <f>VLOOKUP(A764,[1]Sheet1!$A$2:$J$1141,10,0)</f>
        <v>Section of Clay Mining</v>
      </c>
      <c r="M764" s="2">
        <v>26928</v>
      </c>
      <c r="N764" s="1" t="s">
        <v>29</v>
      </c>
      <c r="O764" s="1" t="s">
        <v>30</v>
      </c>
      <c r="P764" s="1" t="s">
        <v>4029</v>
      </c>
      <c r="Q764" s="1" t="s">
        <v>4023</v>
      </c>
      <c r="R764" s="1" t="s">
        <v>4024</v>
      </c>
      <c r="S764" s="1" t="s">
        <v>4025</v>
      </c>
      <c r="T764" s="14">
        <v>47392</v>
      </c>
      <c r="U764" s="1" t="s">
        <v>4030</v>
      </c>
      <c r="V764" s="1" t="s">
        <v>36</v>
      </c>
      <c r="W764" s="3" t="str">
        <f t="shared" si="11"/>
        <v>52 tahun</v>
      </c>
      <c r="X764" s="1" t="s">
        <v>4031</v>
      </c>
      <c r="Y764" s="1" t="s">
        <v>56</v>
      </c>
      <c r="Z764" s="2">
        <v>35034</v>
      </c>
      <c r="AA764" s="2">
        <v>35400</v>
      </c>
      <c r="AB764" s="2" t="s">
        <v>84</v>
      </c>
    </row>
    <row r="765" spans="1:28" x14ac:dyDescent="0.35">
      <c r="A765" s="12">
        <v>4907</v>
      </c>
      <c r="B765" s="12">
        <v>7302206</v>
      </c>
      <c r="C765" s="12" t="s">
        <v>164</v>
      </c>
      <c r="D765" s="12">
        <v>50062680</v>
      </c>
      <c r="E765" s="1" t="s">
        <v>1714</v>
      </c>
      <c r="F765" s="1" t="str">
        <f>VLOOKUP(A765,[1]Sheet1!$A$2:$E$1141,5,0)</f>
        <v>Spv of Outer Clay Quarry</v>
      </c>
      <c r="G765" s="17" t="str">
        <f>VLOOKUP(A765,[1]Sheet1!$A$2:$F$1141,6,0)</f>
        <v>Supervisor</v>
      </c>
      <c r="H765" s="1" t="s">
        <v>4021</v>
      </c>
      <c r="I765" s="1" t="s">
        <v>1117</v>
      </c>
      <c r="J765" s="1" t="str">
        <f>VLOOKUP(A765,[1]Sheet1!$A$2:$H$1141,8,0)</f>
        <v>Dept. of Mining &amp; Power Plant</v>
      </c>
      <c r="K765" s="1" t="str">
        <f>VLOOKUP(A765,[1]Sheet1!$A$2:$I$1141,9,0)</f>
        <v>Unit of Mining Operation</v>
      </c>
      <c r="L765" s="1" t="str">
        <f>VLOOKUP(A765,[1]Sheet1!$A$2:$J$1141,10,0)</f>
        <v>Section of Clay Mining</v>
      </c>
      <c r="M765" s="2">
        <v>26736</v>
      </c>
      <c r="N765" s="1" t="s">
        <v>29</v>
      </c>
      <c r="O765" s="1" t="s">
        <v>30</v>
      </c>
      <c r="P765" s="1" t="s">
        <v>4032</v>
      </c>
      <c r="Q765" s="1" t="s">
        <v>4033</v>
      </c>
      <c r="R765" s="1" t="s">
        <v>4034</v>
      </c>
      <c r="S765" s="1" t="s">
        <v>4025</v>
      </c>
      <c r="T765" s="14">
        <v>47209</v>
      </c>
      <c r="U765" s="1" t="s">
        <v>4035</v>
      </c>
      <c r="V765" s="1" t="s">
        <v>36</v>
      </c>
      <c r="W765" s="3" t="str">
        <f t="shared" si="11"/>
        <v>53 tahun</v>
      </c>
      <c r="X765" s="1" t="s">
        <v>667</v>
      </c>
      <c r="Y765" s="1" t="s">
        <v>56</v>
      </c>
      <c r="Z765" s="2">
        <v>37469</v>
      </c>
      <c r="AA765" s="2">
        <v>38718</v>
      </c>
      <c r="AB765" s="2" t="s">
        <v>4036</v>
      </c>
    </row>
    <row r="766" spans="1:28" x14ac:dyDescent="0.35">
      <c r="A766" s="12">
        <v>4994</v>
      </c>
      <c r="B766" s="12">
        <v>7395280</v>
      </c>
      <c r="C766" s="12" t="s">
        <v>50</v>
      </c>
      <c r="D766" s="12">
        <v>50065608</v>
      </c>
      <c r="E766" s="1" t="s">
        <v>4037</v>
      </c>
      <c r="F766" s="1" t="str">
        <f>VLOOKUP(A766,[1]Sheet1!$A$2:$E$1141,5,0)</f>
        <v>Spv of Outer Clay Quarry</v>
      </c>
      <c r="G766" s="17" t="str">
        <f>VLOOKUP(A766,[1]Sheet1!$A$2:$F$1141,6,0)</f>
        <v>Supervisor</v>
      </c>
      <c r="H766" s="1" t="s">
        <v>4021</v>
      </c>
      <c r="I766" s="1" t="s">
        <v>1117</v>
      </c>
      <c r="J766" s="1" t="str">
        <f>VLOOKUP(A766,[1]Sheet1!$A$2:$H$1141,8,0)</f>
        <v>Dept. of Mining &amp; Power Plant</v>
      </c>
      <c r="K766" s="1" t="str">
        <f>VLOOKUP(A766,[1]Sheet1!$A$2:$I$1141,9,0)</f>
        <v>Unit of Mining Operation</v>
      </c>
      <c r="L766" s="1" t="str">
        <f>VLOOKUP(A766,[1]Sheet1!$A$2:$J$1141,10,0)</f>
        <v>Section of Clay Mining</v>
      </c>
      <c r="M766" s="2">
        <v>27001</v>
      </c>
      <c r="N766" s="1" t="s">
        <v>29</v>
      </c>
      <c r="O766" s="1" t="s">
        <v>30</v>
      </c>
      <c r="P766" s="1" t="s">
        <v>4038</v>
      </c>
      <c r="Q766" s="1" t="s">
        <v>4033</v>
      </c>
      <c r="R766" s="1" t="s">
        <v>4034</v>
      </c>
      <c r="S766" s="1" t="s">
        <v>4025</v>
      </c>
      <c r="T766" s="14">
        <v>47484</v>
      </c>
      <c r="U766" s="1" t="s">
        <v>4039</v>
      </c>
      <c r="V766" s="1" t="s">
        <v>36</v>
      </c>
      <c r="W766" s="3" t="str">
        <f t="shared" si="11"/>
        <v>52 tahun</v>
      </c>
      <c r="X766" s="1" t="s">
        <v>1896</v>
      </c>
      <c r="Y766" s="1" t="s">
        <v>56</v>
      </c>
      <c r="Z766" s="2">
        <v>35034</v>
      </c>
      <c r="AA766" s="2">
        <v>35400</v>
      </c>
      <c r="AB766" s="2" t="s">
        <v>4040</v>
      </c>
    </row>
    <row r="767" spans="1:28" x14ac:dyDescent="0.35">
      <c r="A767" s="12">
        <v>5016</v>
      </c>
      <c r="B767" s="12">
        <v>7402247</v>
      </c>
      <c r="C767" s="12" t="s">
        <v>164</v>
      </c>
      <c r="D767" s="12">
        <v>50065725</v>
      </c>
      <c r="E767" s="1" t="s">
        <v>4041</v>
      </c>
      <c r="F767" s="1" t="str">
        <f>VLOOKUP(A767,[1]Sheet1!$A$2:$E$1141,5,0)</f>
        <v>Spv of Outer Clay Quarry</v>
      </c>
      <c r="G767" s="17" t="str">
        <f>VLOOKUP(A767,[1]Sheet1!$A$2:$F$1141,6,0)</f>
        <v>Supervisor</v>
      </c>
      <c r="H767" s="1" t="s">
        <v>4021</v>
      </c>
      <c r="I767" s="1" t="s">
        <v>1117</v>
      </c>
      <c r="J767" s="1" t="str">
        <f>VLOOKUP(A767,[1]Sheet1!$A$2:$H$1141,8,0)</f>
        <v>Dept. of Mining &amp; Power Plant</v>
      </c>
      <c r="K767" s="1" t="str">
        <f>VLOOKUP(A767,[1]Sheet1!$A$2:$I$1141,9,0)</f>
        <v>Unit of Mining Operation</v>
      </c>
      <c r="L767" s="1" t="str">
        <f>VLOOKUP(A767,[1]Sheet1!$A$2:$J$1141,10,0)</f>
        <v>Section of Clay Mining</v>
      </c>
      <c r="M767" s="2">
        <v>27098</v>
      </c>
      <c r="N767" s="1" t="s">
        <v>29</v>
      </c>
      <c r="O767" s="1" t="s">
        <v>30</v>
      </c>
      <c r="P767" s="1" t="s">
        <v>4042</v>
      </c>
      <c r="Q767" s="1" t="s">
        <v>4033</v>
      </c>
      <c r="R767" s="1" t="s">
        <v>4034</v>
      </c>
      <c r="S767" s="1" t="s">
        <v>4025</v>
      </c>
      <c r="T767" s="14">
        <v>47574</v>
      </c>
      <c r="U767" s="1" t="s">
        <v>4043</v>
      </c>
      <c r="V767" s="1" t="s">
        <v>36</v>
      </c>
      <c r="W767" s="3" t="str">
        <f t="shared" si="11"/>
        <v>52 tahun</v>
      </c>
      <c r="X767" s="1" t="s">
        <v>3688</v>
      </c>
      <c r="Y767" s="1" t="s">
        <v>68</v>
      </c>
      <c r="Z767" s="2">
        <v>37469</v>
      </c>
      <c r="AA767" s="2">
        <v>38718</v>
      </c>
      <c r="AB767" s="2" t="s">
        <v>84</v>
      </c>
    </row>
    <row r="768" spans="1:28" x14ac:dyDescent="0.35">
      <c r="A768" s="12">
        <v>4864</v>
      </c>
      <c r="B768" s="12">
        <v>7295182</v>
      </c>
      <c r="C768" s="12" t="s">
        <v>50</v>
      </c>
      <c r="D768" s="12">
        <v>50021409</v>
      </c>
      <c r="E768" s="1" t="s">
        <v>1461</v>
      </c>
      <c r="F768" s="1" t="str">
        <f>VLOOKUP(A768,[1]Sheet1!$A$2:$E$1141,5,0)</f>
        <v>Spv of Outer Clay Quarry</v>
      </c>
      <c r="G768" s="17" t="str">
        <f>VLOOKUP(A768,[1]Sheet1!$A$2:$F$1141,6,0)</f>
        <v>Supervisor</v>
      </c>
      <c r="H768" s="1" t="s">
        <v>4021</v>
      </c>
      <c r="I768" s="1" t="s">
        <v>1117</v>
      </c>
      <c r="J768" s="1" t="str">
        <f>VLOOKUP(A768,[1]Sheet1!$A$2:$H$1141,8,0)</f>
        <v>Dept. of Mining &amp; Power Plant</v>
      </c>
      <c r="K768" s="1" t="str">
        <f>VLOOKUP(A768,[1]Sheet1!$A$2:$I$1141,9,0)</f>
        <v>Unit of Mining Operation</v>
      </c>
      <c r="L768" s="1" t="str">
        <f>VLOOKUP(A768,[1]Sheet1!$A$2:$J$1141,10,0)</f>
        <v>Section of Clay Mining</v>
      </c>
      <c r="M768" s="2">
        <v>26517</v>
      </c>
      <c r="N768" s="1" t="s">
        <v>29</v>
      </c>
      <c r="O768" s="1" t="s">
        <v>30</v>
      </c>
      <c r="P768" s="1" t="s">
        <v>4044</v>
      </c>
      <c r="Q768" s="1" t="s">
        <v>4033</v>
      </c>
      <c r="R768" s="1" t="s">
        <v>4034</v>
      </c>
      <c r="S768" s="1" t="s">
        <v>4025</v>
      </c>
      <c r="T768" s="14">
        <v>46997</v>
      </c>
      <c r="U768" s="1" t="s">
        <v>4045</v>
      </c>
      <c r="V768" s="1" t="s">
        <v>36</v>
      </c>
      <c r="W768" s="3" t="str">
        <f t="shared" si="11"/>
        <v>54 tahun</v>
      </c>
      <c r="X768" s="1" t="s">
        <v>121</v>
      </c>
      <c r="Y768" s="1" t="s">
        <v>56</v>
      </c>
      <c r="Z768" s="2">
        <v>35002</v>
      </c>
      <c r="AA768" s="2">
        <v>35370</v>
      </c>
      <c r="AB768" s="2" t="s">
        <v>84</v>
      </c>
    </row>
    <row r="769" spans="1:28" x14ac:dyDescent="0.35">
      <c r="A769" s="12">
        <v>4810</v>
      </c>
      <c r="B769" s="12">
        <v>7806554</v>
      </c>
      <c r="C769" s="12" t="s">
        <v>219</v>
      </c>
      <c r="D769" s="12">
        <v>50071367</v>
      </c>
      <c r="E769" s="1" t="s">
        <v>4046</v>
      </c>
      <c r="F769" s="1" t="str">
        <f>VLOOKUP(A769,[1]Sheet1!$A$2:$E$1141,5,0)</f>
        <v>E Tech of Plant Green Service</v>
      </c>
      <c r="G769" s="17" t="str">
        <f>VLOOKUP(A769,[1]Sheet1!$A$2:$F$1141,6,0)</f>
        <v>Associate</v>
      </c>
      <c r="H769" s="1" t="s">
        <v>4047</v>
      </c>
      <c r="I769" s="1" t="s">
        <v>1117</v>
      </c>
      <c r="J769" s="1" t="str">
        <f>VLOOKUP(A769,[1]Sheet1!$A$2:$H$1141,8,0)</f>
        <v>Dept. of Mining &amp; Power Plant</v>
      </c>
      <c r="K769" s="1" t="str">
        <f>VLOOKUP(A769,[1]Sheet1!$A$2:$I$1141,9,0)</f>
        <v>Unit of Mine Plan</v>
      </c>
      <c r="L769" s="1" t="str">
        <f>VLOOKUP(A769,[1]Sheet1!$A$2:$J$1141,10,0)</f>
        <v>Section of Mine Safety Reclamation</v>
      </c>
      <c r="M769" s="2">
        <v>28565</v>
      </c>
      <c r="N769" s="1" t="s">
        <v>29</v>
      </c>
      <c r="O769" s="1" t="s">
        <v>30</v>
      </c>
      <c r="P769" s="1" t="s">
        <v>4048</v>
      </c>
      <c r="Q769" s="1" t="s">
        <v>4049</v>
      </c>
      <c r="R769" s="1" t="s">
        <v>4050</v>
      </c>
      <c r="S769" s="1" t="s">
        <v>4051</v>
      </c>
      <c r="T769" s="14">
        <v>49035</v>
      </c>
      <c r="U769" s="1" t="s">
        <v>4052</v>
      </c>
      <c r="V769" s="1" t="s">
        <v>36</v>
      </c>
      <c r="W769" s="3" t="str">
        <f t="shared" si="11"/>
        <v>48 tahun</v>
      </c>
      <c r="X769" s="1" t="s">
        <v>2069</v>
      </c>
      <c r="Y769" s="1" t="s">
        <v>56</v>
      </c>
      <c r="Z769" s="2">
        <v>38718</v>
      </c>
      <c r="AA769" s="2">
        <v>41030</v>
      </c>
      <c r="AB769" s="2" t="s">
        <v>4053</v>
      </c>
    </row>
    <row r="770" spans="1:28" x14ac:dyDescent="0.35">
      <c r="A770" s="12">
        <v>5258</v>
      </c>
      <c r="B770" s="12">
        <v>8110007</v>
      </c>
      <c r="C770" s="12" t="s">
        <v>139</v>
      </c>
      <c r="D770" s="12">
        <v>50007565</v>
      </c>
      <c r="E770" s="15" t="s">
        <v>4054</v>
      </c>
      <c r="F770" s="1" t="str">
        <f>VLOOKUP(A770,[1]Sheet1!$A$2:$E$1141,5,0)</f>
        <v>SM of Raw Material Management</v>
      </c>
      <c r="G770" s="15" t="str">
        <f>VLOOKUP(A770,[1]Sheet1!$A$2:$F$1141,6,0)</f>
        <v>Senior Manager</v>
      </c>
      <c r="H770" s="1" t="s">
        <v>4055</v>
      </c>
      <c r="I770" s="1" t="s">
        <v>1117</v>
      </c>
      <c r="J770" s="1" t="str">
        <f>VLOOKUP(A770,[1]Sheet1!$A$2:$H$1141,8,0)</f>
        <v>Dept. of Mining &amp; Power Plant</v>
      </c>
      <c r="K770" s="1" t="str">
        <f>VLOOKUP(A770,[1]Sheet1!$A$2:$I$1141,9,0)</f>
        <v>Unit of Raw Material Management</v>
      </c>
      <c r="L770" s="1" t="e">
        <f>VLOOKUP(A770,[1]Sheet1!$A$2:$J$1141,10,0)</f>
        <v>#REF!</v>
      </c>
      <c r="M770" s="2">
        <v>29689</v>
      </c>
      <c r="N770" s="1" t="s">
        <v>29</v>
      </c>
      <c r="O770" s="1" t="s">
        <v>30</v>
      </c>
      <c r="P770" s="1" t="s">
        <v>4056</v>
      </c>
      <c r="Q770" s="1" t="s">
        <v>4057</v>
      </c>
      <c r="R770" s="1" t="s">
        <v>4058</v>
      </c>
      <c r="S770" s="1" t="s">
        <v>4059</v>
      </c>
      <c r="T770" s="14">
        <v>50161</v>
      </c>
      <c r="U770" s="1" t="s">
        <v>4060</v>
      </c>
      <c r="V770" s="1" t="s">
        <v>186</v>
      </c>
      <c r="W770" s="3" t="str">
        <f t="shared" si="11"/>
        <v>45 tahun</v>
      </c>
      <c r="X770" s="1" t="s">
        <v>4061</v>
      </c>
      <c r="Y770" s="1" t="s">
        <v>38</v>
      </c>
      <c r="Z770" s="2">
        <v>40544</v>
      </c>
      <c r="AA770" s="2">
        <v>40664</v>
      </c>
      <c r="AB770" s="2" t="s">
        <v>4062</v>
      </c>
    </row>
    <row r="771" spans="1:28" x14ac:dyDescent="0.35">
      <c r="A771" s="12">
        <v>5183</v>
      </c>
      <c r="B771" s="12">
        <v>7695135</v>
      </c>
      <c r="C771" s="12" t="s">
        <v>50</v>
      </c>
      <c r="D771" s="12">
        <v>50023505</v>
      </c>
      <c r="E771" s="16" t="s">
        <v>4063</v>
      </c>
      <c r="F771" s="1" t="str">
        <f>VLOOKUP(A771,[1]Sheet1!$A$2:$E$1141,5,0)</f>
        <v>Mgr of Limestone Crusher Operation</v>
      </c>
      <c r="G771" s="16" t="str">
        <f>VLOOKUP(A771,[1]Sheet1!$A$2:$F$1141,6,0)</f>
        <v>Manager</v>
      </c>
      <c r="H771" s="1" t="s">
        <v>4064</v>
      </c>
      <c r="I771" s="1" t="s">
        <v>1117</v>
      </c>
      <c r="J771" s="1" t="str">
        <f>VLOOKUP(A771,[1]Sheet1!$A$2:$H$1141,8,0)</f>
        <v>Dept. of Mining &amp; Power Plant</v>
      </c>
      <c r="K771" s="1" t="str">
        <f>VLOOKUP(A771,[1]Sheet1!$A$2:$I$1141,9,0)</f>
        <v>Unit of Raw Material Management</v>
      </c>
      <c r="L771" s="1" t="str">
        <f>VLOOKUP(A771,[1]Sheet1!$A$2:$J$1141,10,0)</f>
        <v>Section of Limestone Crusher Operation</v>
      </c>
      <c r="M771" s="2">
        <v>27783</v>
      </c>
      <c r="N771" s="1" t="s">
        <v>29</v>
      </c>
      <c r="O771" s="1" t="s">
        <v>30</v>
      </c>
      <c r="P771" s="1" t="s">
        <v>4065</v>
      </c>
      <c r="Q771" s="1" t="s">
        <v>4066</v>
      </c>
      <c r="R771" s="1" t="s">
        <v>4067</v>
      </c>
      <c r="S771" s="1" t="s">
        <v>4068</v>
      </c>
      <c r="T771" s="14">
        <v>48245</v>
      </c>
      <c r="U771" s="1" t="s">
        <v>4069</v>
      </c>
      <c r="V771" s="1" t="s">
        <v>36</v>
      </c>
      <c r="W771" s="3" t="str">
        <f t="shared" ref="W771:W834" si="12">DATEDIF(M771,$W$1,"Y")&amp;" "&amp;"tahun"</f>
        <v>50 tahun</v>
      </c>
      <c r="X771" s="1" t="s">
        <v>2475</v>
      </c>
      <c r="Y771" s="1" t="s">
        <v>56</v>
      </c>
      <c r="Z771" s="2">
        <v>34932</v>
      </c>
      <c r="AA771" s="2">
        <v>35309</v>
      </c>
      <c r="AB771" s="2" t="s">
        <v>4070</v>
      </c>
    </row>
    <row r="772" spans="1:28" x14ac:dyDescent="0.35">
      <c r="A772" s="12">
        <v>6208</v>
      </c>
      <c r="B772" s="12">
        <v>9112374</v>
      </c>
      <c r="C772" s="12" t="s">
        <v>103</v>
      </c>
      <c r="D772" s="12">
        <v>50069621</v>
      </c>
      <c r="E772" s="1" t="s">
        <v>4071</v>
      </c>
      <c r="F772" s="1" t="str">
        <f>VLOOKUP(A772,[1]Sheet1!$A$2:$E$1141,5,0)</f>
        <v>Autonomous LS Crusher Jr Officer</v>
      </c>
      <c r="G772" s="17" t="str">
        <f>VLOOKUP(A772,[1]Sheet1!$A$2:$F$1141,6,0)</f>
        <v>Supervisor</v>
      </c>
      <c r="H772" s="1" t="s">
        <v>4064</v>
      </c>
      <c r="I772" s="1" t="s">
        <v>1117</v>
      </c>
      <c r="J772" s="1" t="str">
        <f>VLOOKUP(A772,[1]Sheet1!$A$2:$H$1141,8,0)</f>
        <v>Dept. of Mining &amp; Power Plant</v>
      </c>
      <c r="K772" s="1" t="str">
        <f>VLOOKUP(A772,[1]Sheet1!$A$2:$I$1141,9,0)</f>
        <v>Unit of Raw Material Management</v>
      </c>
      <c r="L772" s="1" t="str">
        <f>VLOOKUP(A772,[1]Sheet1!$A$2:$J$1141,10,0)</f>
        <v>Section of Limestone Crusher Operation</v>
      </c>
      <c r="M772" s="2">
        <v>33492</v>
      </c>
      <c r="N772" s="1" t="s">
        <v>29</v>
      </c>
      <c r="O772" s="1" t="s">
        <v>30</v>
      </c>
      <c r="P772" s="1" t="s">
        <v>4072</v>
      </c>
      <c r="Q772" s="1" t="s">
        <v>4073</v>
      </c>
      <c r="R772" s="1" t="s">
        <v>4074</v>
      </c>
      <c r="S772" s="1" t="s">
        <v>4068</v>
      </c>
      <c r="T772" s="14">
        <v>53966</v>
      </c>
      <c r="U772" s="1" t="s">
        <v>4075</v>
      </c>
      <c r="V772" s="1" t="s">
        <v>36</v>
      </c>
      <c r="W772" s="3" t="str">
        <f t="shared" si="12"/>
        <v>34 tahun</v>
      </c>
      <c r="X772" s="1" t="s">
        <v>55</v>
      </c>
      <c r="Y772" s="1" t="s">
        <v>56</v>
      </c>
      <c r="Z772" s="2">
        <v>41275</v>
      </c>
      <c r="AA772" s="2">
        <v>41426</v>
      </c>
      <c r="AB772" s="2" t="s">
        <v>4076</v>
      </c>
    </row>
    <row r="773" spans="1:28" x14ac:dyDescent="0.35">
      <c r="A773" s="12">
        <v>4730</v>
      </c>
      <c r="B773" s="12">
        <v>7002141</v>
      </c>
      <c r="C773" s="12" t="s">
        <v>164</v>
      </c>
      <c r="D773" s="12">
        <v>50069623</v>
      </c>
      <c r="E773" s="1" t="s">
        <v>4077</v>
      </c>
      <c r="F773" s="1" t="str">
        <f>VLOOKUP(A773,[1]Sheet1!$A$2:$E$1141,5,0)</f>
        <v>Spv of Line 4 Limestone Crusher</v>
      </c>
      <c r="G773" s="17" t="str">
        <f>VLOOKUP(A773,[1]Sheet1!$A$2:$F$1141,6,0)</f>
        <v>Supervisor</v>
      </c>
      <c r="H773" s="1" t="s">
        <v>4064</v>
      </c>
      <c r="I773" s="1" t="s">
        <v>1117</v>
      </c>
      <c r="J773" s="1" t="str">
        <f>VLOOKUP(A773,[1]Sheet1!$A$2:$H$1141,8,0)</f>
        <v>Dept. of Mining &amp; Power Plant</v>
      </c>
      <c r="K773" s="1" t="str">
        <f>VLOOKUP(A773,[1]Sheet1!$A$2:$I$1141,9,0)</f>
        <v>Unit of Raw Material Management</v>
      </c>
      <c r="L773" s="1" t="str">
        <f>VLOOKUP(A773,[1]Sheet1!$A$2:$J$1141,10,0)</f>
        <v>Section of Limestone Crusher Operation</v>
      </c>
      <c r="M773" s="2">
        <v>25828</v>
      </c>
      <c r="N773" s="1" t="s">
        <v>29</v>
      </c>
      <c r="O773" s="1" t="s">
        <v>30</v>
      </c>
      <c r="P773" s="1" t="s">
        <v>4078</v>
      </c>
      <c r="Q773" s="1" t="s">
        <v>4079</v>
      </c>
      <c r="R773" s="1" t="s">
        <v>4080</v>
      </c>
      <c r="S773" s="1" t="s">
        <v>4068</v>
      </c>
      <c r="T773" s="14">
        <v>46296</v>
      </c>
      <c r="U773" s="1" t="s">
        <v>4081</v>
      </c>
      <c r="V773" s="1" t="s">
        <v>36</v>
      </c>
      <c r="W773" s="3" t="str">
        <f t="shared" si="12"/>
        <v>55 tahun</v>
      </c>
      <c r="X773" s="1" t="s">
        <v>248</v>
      </c>
      <c r="Y773" s="1" t="s">
        <v>56</v>
      </c>
      <c r="Z773" s="2">
        <v>37469</v>
      </c>
      <c r="AA773" s="2">
        <v>38718</v>
      </c>
      <c r="AB773" s="2" t="s">
        <v>84</v>
      </c>
    </row>
    <row r="774" spans="1:28" x14ac:dyDescent="0.35">
      <c r="A774" s="12">
        <v>4867</v>
      </c>
      <c r="B774" s="12">
        <v>7295185</v>
      </c>
      <c r="C774" s="12" t="s">
        <v>50</v>
      </c>
      <c r="D774" s="12">
        <v>50069625</v>
      </c>
      <c r="E774" s="1" t="s">
        <v>4082</v>
      </c>
      <c r="F774" s="1" t="str">
        <f>VLOOKUP(A774,[1]Sheet1!$A$2:$E$1141,5,0)</f>
        <v>Spv of Line 4 Limestone Crusher</v>
      </c>
      <c r="G774" s="17" t="str">
        <f>VLOOKUP(A774,[1]Sheet1!$A$2:$F$1141,6,0)</f>
        <v>Supervisor</v>
      </c>
      <c r="H774" s="1" t="s">
        <v>4064</v>
      </c>
      <c r="I774" s="1" t="s">
        <v>1117</v>
      </c>
      <c r="J774" s="1" t="str">
        <f>VLOOKUP(A774,[1]Sheet1!$A$2:$H$1141,8,0)</f>
        <v>Dept. of Mining &amp; Power Plant</v>
      </c>
      <c r="K774" s="1" t="str">
        <f>VLOOKUP(A774,[1]Sheet1!$A$2:$I$1141,9,0)</f>
        <v>Unit of Raw Material Management</v>
      </c>
      <c r="L774" s="1" t="str">
        <f>VLOOKUP(A774,[1]Sheet1!$A$2:$J$1141,10,0)</f>
        <v>Section of Limestone Crusher Operation</v>
      </c>
      <c r="M774" s="2">
        <v>26541</v>
      </c>
      <c r="N774" s="1" t="s">
        <v>29</v>
      </c>
      <c r="O774" s="1" t="s">
        <v>30</v>
      </c>
      <c r="P774" s="1" t="s">
        <v>4083</v>
      </c>
      <c r="Q774" s="1" t="s">
        <v>4079</v>
      </c>
      <c r="R774" s="1" t="s">
        <v>4080</v>
      </c>
      <c r="S774" s="1" t="s">
        <v>4068</v>
      </c>
      <c r="T774" s="14">
        <v>46997</v>
      </c>
      <c r="U774" s="1" t="s">
        <v>4084</v>
      </c>
      <c r="V774" s="1" t="s">
        <v>36</v>
      </c>
      <c r="W774" s="3" t="str">
        <f t="shared" si="12"/>
        <v>54 tahun</v>
      </c>
      <c r="X774" s="1" t="s">
        <v>55</v>
      </c>
      <c r="Y774" s="1" t="s">
        <v>56</v>
      </c>
      <c r="Z774" s="2">
        <v>35002</v>
      </c>
      <c r="AA774" s="2">
        <v>35370</v>
      </c>
      <c r="AB774" s="2" t="s">
        <v>4085</v>
      </c>
    </row>
    <row r="775" spans="1:28" x14ac:dyDescent="0.35">
      <c r="A775" s="12">
        <v>5105</v>
      </c>
      <c r="B775" s="12">
        <v>7595119</v>
      </c>
      <c r="C775" s="12" t="s">
        <v>50</v>
      </c>
      <c r="D775" s="12">
        <v>50069626</v>
      </c>
      <c r="E775" s="1" t="s">
        <v>4086</v>
      </c>
      <c r="F775" s="1" t="str">
        <f>VLOOKUP(A775,[1]Sheet1!$A$2:$E$1141,5,0)</f>
        <v>Spv of Line 4 Limestone Crusher</v>
      </c>
      <c r="G775" s="17" t="str">
        <f>VLOOKUP(A775,[1]Sheet1!$A$2:$F$1141,6,0)</f>
        <v>Supervisor</v>
      </c>
      <c r="H775" s="1" t="s">
        <v>4064</v>
      </c>
      <c r="I775" s="1" t="s">
        <v>1117</v>
      </c>
      <c r="J775" s="1" t="str">
        <f>VLOOKUP(A775,[1]Sheet1!$A$2:$H$1141,8,0)</f>
        <v>Dept. of Mining &amp; Power Plant</v>
      </c>
      <c r="K775" s="1" t="str">
        <f>VLOOKUP(A775,[1]Sheet1!$A$2:$I$1141,9,0)</f>
        <v>Unit of Raw Material Management</v>
      </c>
      <c r="L775" s="1" t="str">
        <f>VLOOKUP(A775,[1]Sheet1!$A$2:$J$1141,10,0)</f>
        <v>Section of Limestone Crusher Operation</v>
      </c>
      <c r="M775" s="2">
        <v>27402</v>
      </c>
      <c r="N775" s="1" t="s">
        <v>29</v>
      </c>
      <c r="O775" s="1" t="s">
        <v>30</v>
      </c>
      <c r="P775" s="1" t="s">
        <v>4087</v>
      </c>
      <c r="Q775" s="1" t="s">
        <v>4079</v>
      </c>
      <c r="R775" s="1" t="s">
        <v>4080</v>
      </c>
      <c r="S775" s="1" t="s">
        <v>4068</v>
      </c>
      <c r="T775" s="14">
        <v>47880</v>
      </c>
      <c r="U775" s="1" t="s">
        <v>4088</v>
      </c>
      <c r="V775" s="1" t="s">
        <v>36</v>
      </c>
      <c r="W775" s="3" t="str">
        <f t="shared" si="12"/>
        <v>51 tahun</v>
      </c>
      <c r="X775" s="1" t="s">
        <v>580</v>
      </c>
      <c r="Y775" s="1" t="s">
        <v>56</v>
      </c>
      <c r="Z775" s="2">
        <v>34932</v>
      </c>
      <c r="AA775" s="2">
        <v>35309</v>
      </c>
      <c r="AB775" s="2" t="s">
        <v>4089</v>
      </c>
    </row>
    <row r="776" spans="1:28" x14ac:dyDescent="0.35">
      <c r="A776" s="12">
        <v>4779</v>
      </c>
      <c r="B776" s="12">
        <v>7102161</v>
      </c>
      <c r="C776" s="12" t="s">
        <v>164</v>
      </c>
      <c r="D776" s="12">
        <v>50069628</v>
      </c>
      <c r="E776" s="1" t="s">
        <v>4090</v>
      </c>
      <c r="F776" s="1" t="str">
        <f>VLOOKUP(A776,[1]Sheet1!$A$2:$E$1141,5,0)</f>
        <v>Spv of Control Room LS Crusher (4)</v>
      </c>
      <c r="G776" s="17" t="str">
        <f>VLOOKUP(A776,[1]Sheet1!$A$2:$F$1141,6,0)</f>
        <v>Supervisor</v>
      </c>
      <c r="H776" s="1" t="s">
        <v>4064</v>
      </c>
      <c r="I776" s="1" t="s">
        <v>1117</v>
      </c>
      <c r="J776" s="1" t="str">
        <f>VLOOKUP(A776,[1]Sheet1!$A$2:$H$1141,8,0)</f>
        <v>Dept. of Mining &amp; Power Plant</v>
      </c>
      <c r="K776" s="1" t="str">
        <f>VLOOKUP(A776,[1]Sheet1!$A$2:$I$1141,9,0)</f>
        <v>Unit of Raw Material Management</v>
      </c>
      <c r="L776" s="1" t="str">
        <f>VLOOKUP(A776,[1]Sheet1!$A$2:$J$1141,10,0)</f>
        <v>Section of Limestone Crusher Operation</v>
      </c>
      <c r="M776" s="2">
        <v>26211</v>
      </c>
      <c r="N776" s="1" t="s">
        <v>29</v>
      </c>
      <c r="O776" s="1" t="s">
        <v>30</v>
      </c>
      <c r="P776" s="1" t="s">
        <v>4091</v>
      </c>
      <c r="Q776" s="1" t="s">
        <v>4092</v>
      </c>
      <c r="R776" s="1" t="s">
        <v>4093</v>
      </c>
      <c r="S776" s="1" t="s">
        <v>4068</v>
      </c>
      <c r="T776" s="14">
        <v>46692</v>
      </c>
      <c r="U776" s="1" t="s">
        <v>4094</v>
      </c>
      <c r="V776" s="1" t="s">
        <v>36</v>
      </c>
      <c r="W776" s="3" t="str">
        <f t="shared" si="12"/>
        <v>54 tahun</v>
      </c>
      <c r="X776" s="1" t="s">
        <v>96</v>
      </c>
      <c r="Y776" s="1" t="s">
        <v>56</v>
      </c>
      <c r="Z776" s="2">
        <v>37469</v>
      </c>
      <c r="AA776" s="2">
        <v>38718</v>
      </c>
      <c r="AB776" s="2" t="s">
        <v>4095</v>
      </c>
    </row>
    <row r="777" spans="1:28" x14ac:dyDescent="0.35">
      <c r="A777" s="12">
        <v>5176</v>
      </c>
      <c r="B777" s="12">
        <v>7502275</v>
      </c>
      <c r="C777" s="12" t="s">
        <v>164</v>
      </c>
      <c r="D777" s="12">
        <v>50069629</v>
      </c>
      <c r="E777" s="1" t="s">
        <v>4096</v>
      </c>
      <c r="F777" s="1" t="str">
        <f>VLOOKUP(A777,[1]Sheet1!$A$2:$E$1141,5,0)</f>
        <v>Spv of Control Room LS Crusher (4)</v>
      </c>
      <c r="G777" s="17" t="str">
        <f>VLOOKUP(A777,[1]Sheet1!$A$2:$F$1141,6,0)</f>
        <v>Supervisor</v>
      </c>
      <c r="H777" s="1" t="s">
        <v>4064</v>
      </c>
      <c r="I777" s="1" t="s">
        <v>1117</v>
      </c>
      <c r="J777" s="1" t="str">
        <f>VLOOKUP(A777,[1]Sheet1!$A$2:$H$1141,8,0)</f>
        <v>Dept. of Mining &amp; Power Plant</v>
      </c>
      <c r="K777" s="1" t="str">
        <f>VLOOKUP(A777,[1]Sheet1!$A$2:$I$1141,9,0)</f>
        <v>Unit of Raw Material Management</v>
      </c>
      <c r="L777" s="1" t="str">
        <f>VLOOKUP(A777,[1]Sheet1!$A$2:$J$1141,10,0)</f>
        <v>Section of Limestone Crusher Operation</v>
      </c>
      <c r="M777" s="2">
        <v>27751</v>
      </c>
      <c r="N777" s="1" t="s">
        <v>29</v>
      </c>
      <c r="O777" s="1" t="s">
        <v>30</v>
      </c>
      <c r="P777" s="1" t="s">
        <v>4097</v>
      </c>
      <c r="Q777" s="1" t="s">
        <v>4092</v>
      </c>
      <c r="R777" s="1" t="s">
        <v>4093</v>
      </c>
      <c r="S777" s="1" t="s">
        <v>4068</v>
      </c>
      <c r="T777" s="14">
        <v>48214</v>
      </c>
      <c r="U777" s="1" t="s">
        <v>4098</v>
      </c>
      <c r="V777" s="1" t="s">
        <v>36</v>
      </c>
      <c r="W777" s="3" t="str">
        <f t="shared" si="12"/>
        <v>50 tahun</v>
      </c>
      <c r="X777" s="1" t="s">
        <v>248</v>
      </c>
      <c r="Y777" s="1" t="s">
        <v>56</v>
      </c>
      <c r="Z777" s="2">
        <v>37469</v>
      </c>
      <c r="AA777" s="2">
        <v>38718</v>
      </c>
      <c r="AB777" s="2" t="s">
        <v>84</v>
      </c>
    </row>
    <row r="778" spans="1:28" x14ac:dyDescent="0.35">
      <c r="A778" s="12">
        <v>4522</v>
      </c>
      <c r="B778" s="12">
        <v>7306396</v>
      </c>
      <c r="C778" s="12" t="s">
        <v>219</v>
      </c>
      <c r="D778" s="12">
        <v>50069630</v>
      </c>
      <c r="E778" s="1" t="s">
        <v>1587</v>
      </c>
      <c r="F778" s="1" t="str">
        <f>VLOOKUP(A778,[1]Sheet1!$A$2:$E$1141,5,0)</f>
        <v>Spv of Control Room LS Crusher (4)</v>
      </c>
      <c r="G778" s="17" t="str">
        <f>VLOOKUP(A778,[1]Sheet1!$A$2:$F$1141,6,0)</f>
        <v>Supervisor</v>
      </c>
      <c r="H778" s="1" t="s">
        <v>4064</v>
      </c>
      <c r="I778" s="1" t="s">
        <v>1117</v>
      </c>
      <c r="J778" s="1" t="str">
        <f>VLOOKUP(A778,[1]Sheet1!$A$2:$H$1141,8,0)</f>
        <v>Dept. of Mining &amp; Power Plant</v>
      </c>
      <c r="K778" s="1" t="str">
        <f>VLOOKUP(A778,[1]Sheet1!$A$2:$I$1141,9,0)</f>
        <v>Unit of Raw Material Management</v>
      </c>
      <c r="L778" s="1" t="str">
        <f>VLOOKUP(A778,[1]Sheet1!$A$2:$J$1141,10,0)</f>
        <v>Section of Limestone Crusher Operation</v>
      </c>
      <c r="M778" s="2">
        <v>26836</v>
      </c>
      <c r="N778" s="1" t="s">
        <v>29</v>
      </c>
      <c r="O778" s="1" t="s">
        <v>30</v>
      </c>
      <c r="P778" s="1" t="s">
        <v>4099</v>
      </c>
      <c r="Q778" s="1" t="s">
        <v>4092</v>
      </c>
      <c r="R778" s="1" t="s">
        <v>4093</v>
      </c>
      <c r="S778" s="1" t="s">
        <v>4068</v>
      </c>
      <c r="T778" s="14">
        <v>47300</v>
      </c>
      <c r="U778" s="1" t="s">
        <v>4100</v>
      </c>
      <c r="V778" s="1" t="s">
        <v>36</v>
      </c>
      <c r="W778" s="3" t="str">
        <f t="shared" si="12"/>
        <v>53 tahun</v>
      </c>
      <c r="X778" s="1" t="s">
        <v>96</v>
      </c>
      <c r="Y778" s="1" t="s">
        <v>56</v>
      </c>
      <c r="Z778" s="2">
        <v>38718</v>
      </c>
      <c r="AA778" s="2">
        <v>41030</v>
      </c>
      <c r="AB778" s="2" t="s">
        <v>84</v>
      </c>
    </row>
    <row r="779" spans="1:28" x14ac:dyDescent="0.35">
      <c r="A779" s="12">
        <v>4788</v>
      </c>
      <c r="B779" s="12">
        <v>7706552</v>
      </c>
      <c r="C779" s="12" t="s">
        <v>219</v>
      </c>
      <c r="D779" s="12">
        <v>50069631</v>
      </c>
      <c r="E779" s="1" t="s">
        <v>4101</v>
      </c>
      <c r="F779" s="1" t="str">
        <f>VLOOKUP(A779,[1]Sheet1!$A$2:$E$1141,5,0)</f>
        <v>Spv of Control Room LS Crusher (4)</v>
      </c>
      <c r="G779" s="17" t="str">
        <f>VLOOKUP(A779,[1]Sheet1!$A$2:$F$1141,6,0)</f>
        <v>Supervisor</v>
      </c>
      <c r="H779" s="1" t="s">
        <v>4064</v>
      </c>
      <c r="I779" s="1" t="s">
        <v>1117</v>
      </c>
      <c r="J779" s="1" t="str">
        <f>VLOOKUP(A779,[1]Sheet1!$A$2:$H$1141,8,0)</f>
        <v>Dept. of Mining &amp; Power Plant</v>
      </c>
      <c r="K779" s="1" t="str">
        <f>VLOOKUP(A779,[1]Sheet1!$A$2:$I$1141,9,0)</f>
        <v>Unit of Raw Material Management</v>
      </c>
      <c r="L779" s="1" t="str">
        <f>VLOOKUP(A779,[1]Sheet1!$A$2:$J$1141,10,0)</f>
        <v>Section of Limestone Crusher Operation</v>
      </c>
      <c r="M779" s="2">
        <v>28189</v>
      </c>
      <c r="N779" s="1" t="s">
        <v>29</v>
      </c>
      <c r="O779" s="1" t="s">
        <v>30</v>
      </c>
      <c r="P779" s="1" t="s">
        <v>4102</v>
      </c>
      <c r="Q779" s="1" t="s">
        <v>4092</v>
      </c>
      <c r="R779" s="1" t="s">
        <v>4093</v>
      </c>
      <c r="S779" s="1" t="s">
        <v>4068</v>
      </c>
      <c r="T779" s="14">
        <v>48670</v>
      </c>
      <c r="U779" s="1" t="s">
        <v>4103</v>
      </c>
      <c r="V779" s="1" t="s">
        <v>36</v>
      </c>
      <c r="W779" s="3" t="str">
        <f t="shared" si="12"/>
        <v>49 tahun</v>
      </c>
      <c r="X779" s="1" t="s">
        <v>595</v>
      </c>
      <c r="Y779" s="1" t="s">
        <v>56</v>
      </c>
      <c r="Z779" s="2">
        <v>38718</v>
      </c>
      <c r="AA779" s="2">
        <v>41030</v>
      </c>
      <c r="AB779" s="2" t="s">
        <v>84</v>
      </c>
    </row>
    <row r="780" spans="1:28" x14ac:dyDescent="0.35">
      <c r="A780" s="12">
        <v>5120</v>
      </c>
      <c r="B780" s="12">
        <v>7595122</v>
      </c>
      <c r="C780" s="12" t="s">
        <v>50</v>
      </c>
      <c r="D780" s="12">
        <v>50069633</v>
      </c>
      <c r="E780" s="1" t="s">
        <v>2067</v>
      </c>
      <c r="F780" s="1" t="str">
        <f>VLOOKUP(A780,[1]Sheet1!$A$2:$E$1141,5,0)</f>
        <v>Spv of Line 5 Limestone Crusher</v>
      </c>
      <c r="G780" s="17" t="str">
        <f>VLOOKUP(A780,[1]Sheet1!$A$2:$F$1141,6,0)</f>
        <v>Supervisor</v>
      </c>
      <c r="H780" s="1" t="s">
        <v>4064</v>
      </c>
      <c r="I780" s="1" t="s">
        <v>1117</v>
      </c>
      <c r="J780" s="1" t="str">
        <f>VLOOKUP(A780,[1]Sheet1!$A$2:$H$1141,8,0)</f>
        <v>Dept. of Mining &amp; Power Plant</v>
      </c>
      <c r="K780" s="1" t="str">
        <f>VLOOKUP(A780,[1]Sheet1!$A$2:$I$1141,9,0)</f>
        <v>Unit of Raw Material Management</v>
      </c>
      <c r="L780" s="1" t="str">
        <f>VLOOKUP(A780,[1]Sheet1!$A$2:$J$1141,10,0)</f>
        <v>Section of Limestone Crusher Operation</v>
      </c>
      <c r="M780" s="2">
        <v>27470</v>
      </c>
      <c r="N780" s="1" t="s">
        <v>29</v>
      </c>
      <c r="O780" s="1" t="s">
        <v>30</v>
      </c>
      <c r="P780" s="1" t="s">
        <v>4104</v>
      </c>
      <c r="Q780" s="1" t="s">
        <v>4105</v>
      </c>
      <c r="R780" s="1" t="s">
        <v>4106</v>
      </c>
      <c r="S780" s="1" t="s">
        <v>4068</v>
      </c>
      <c r="T780" s="14">
        <v>47939</v>
      </c>
      <c r="U780" s="1" t="s">
        <v>4107</v>
      </c>
      <c r="V780" s="1" t="s">
        <v>36</v>
      </c>
      <c r="W780" s="3" t="str">
        <f t="shared" si="12"/>
        <v>51 tahun</v>
      </c>
      <c r="X780" s="1" t="s">
        <v>55</v>
      </c>
      <c r="Y780" s="1" t="s">
        <v>56</v>
      </c>
      <c r="Z780" s="2">
        <v>34932</v>
      </c>
      <c r="AA780" s="2">
        <v>35309</v>
      </c>
      <c r="AB780" s="2" t="s">
        <v>84</v>
      </c>
    </row>
    <row r="781" spans="1:28" x14ac:dyDescent="0.35">
      <c r="A781" s="12">
        <v>5161</v>
      </c>
      <c r="B781" s="12">
        <v>7595131</v>
      </c>
      <c r="C781" s="12" t="s">
        <v>50</v>
      </c>
      <c r="D781" s="12">
        <v>50069634</v>
      </c>
      <c r="E781" s="1" t="s">
        <v>4108</v>
      </c>
      <c r="F781" s="1" t="str">
        <f>VLOOKUP(A781,[1]Sheet1!$A$2:$E$1141,5,0)</f>
        <v>Spv of Line 5 Limestone Crusher</v>
      </c>
      <c r="G781" s="17" t="str">
        <f>VLOOKUP(A781,[1]Sheet1!$A$2:$F$1141,6,0)</f>
        <v>Supervisor</v>
      </c>
      <c r="H781" s="1" t="s">
        <v>4064</v>
      </c>
      <c r="I781" s="1" t="s">
        <v>1117</v>
      </c>
      <c r="J781" s="1" t="str">
        <f>VLOOKUP(A781,[1]Sheet1!$A$2:$H$1141,8,0)</f>
        <v>Dept. of Mining &amp; Power Plant</v>
      </c>
      <c r="K781" s="1" t="str">
        <f>VLOOKUP(A781,[1]Sheet1!$A$2:$I$1141,9,0)</f>
        <v>Unit of Raw Material Management</v>
      </c>
      <c r="L781" s="1" t="str">
        <f>VLOOKUP(A781,[1]Sheet1!$A$2:$J$1141,10,0)</f>
        <v>Section of Limestone Crusher Operation</v>
      </c>
      <c r="M781" s="2">
        <v>27665</v>
      </c>
      <c r="N781" s="1" t="s">
        <v>29</v>
      </c>
      <c r="O781" s="1" t="s">
        <v>30</v>
      </c>
      <c r="P781" s="1" t="s">
        <v>4109</v>
      </c>
      <c r="Q781" s="1" t="s">
        <v>4105</v>
      </c>
      <c r="R781" s="1" t="s">
        <v>4106</v>
      </c>
      <c r="S781" s="1" t="s">
        <v>4068</v>
      </c>
      <c r="T781" s="14">
        <v>48122</v>
      </c>
      <c r="U781" s="1" t="s">
        <v>4110</v>
      </c>
      <c r="V781" s="1" t="s">
        <v>36</v>
      </c>
      <c r="W781" s="3" t="str">
        <f t="shared" si="12"/>
        <v>50 tahun</v>
      </c>
      <c r="X781" s="1" t="s">
        <v>1146</v>
      </c>
      <c r="Y781" s="1" t="s">
        <v>48</v>
      </c>
      <c r="Z781" s="2">
        <v>34932</v>
      </c>
      <c r="AA781" s="2">
        <v>35309</v>
      </c>
      <c r="AB781" s="2" t="s">
        <v>4111</v>
      </c>
    </row>
    <row r="782" spans="1:28" x14ac:dyDescent="0.35">
      <c r="A782" s="12">
        <v>6190</v>
      </c>
      <c r="B782" s="12">
        <v>9112356</v>
      </c>
      <c r="C782" s="12" t="s">
        <v>103</v>
      </c>
      <c r="D782" s="12">
        <v>50069636</v>
      </c>
      <c r="E782" s="1" t="s">
        <v>4112</v>
      </c>
      <c r="F782" s="1" t="str">
        <f>VLOOKUP(A782,[1]Sheet1!$A$2:$E$1141,5,0)</f>
        <v>Spv of Line 5 Limestone Crusher</v>
      </c>
      <c r="G782" s="17" t="str">
        <f>VLOOKUP(A782,[1]Sheet1!$A$2:$F$1141,6,0)</f>
        <v>Supervisor</v>
      </c>
      <c r="H782" s="1" t="s">
        <v>4064</v>
      </c>
      <c r="I782" s="1" t="s">
        <v>1117</v>
      </c>
      <c r="J782" s="1" t="str">
        <f>VLOOKUP(A782,[1]Sheet1!$A$2:$H$1141,8,0)</f>
        <v>Dept. of Mining &amp; Power Plant</v>
      </c>
      <c r="K782" s="1" t="str">
        <f>VLOOKUP(A782,[1]Sheet1!$A$2:$I$1141,9,0)</f>
        <v>Unit of Raw Material Management</v>
      </c>
      <c r="L782" s="1" t="str">
        <f>VLOOKUP(A782,[1]Sheet1!$A$2:$J$1141,10,0)</f>
        <v>Section of Limestone Crusher Operation</v>
      </c>
      <c r="M782" s="2">
        <v>33424</v>
      </c>
      <c r="N782" s="1" t="s">
        <v>29</v>
      </c>
      <c r="O782" s="1" t="s">
        <v>30</v>
      </c>
      <c r="P782" s="1" t="s">
        <v>4113</v>
      </c>
      <c r="Q782" s="1" t="s">
        <v>4105</v>
      </c>
      <c r="R782" s="1" t="s">
        <v>4106</v>
      </c>
      <c r="S782" s="1" t="s">
        <v>4068</v>
      </c>
      <c r="T782" s="14">
        <v>53905</v>
      </c>
      <c r="U782" s="1" t="s">
        <v>4114</v>
      </c>
      <c r="V782" s="1" t="s">
        <v>36</v>
      </c>
      <c r="W782" s="3" t="str">
        <f t="shared" si="12"/>
        <v>35 tahun</v>
      </c>
      <c r="X782" s="1" t="s">
        <v>4115</v>
      </c>
      <c r="Y782" s="1" t="s">
        <v>56</v>
      </c>
      <c r="Z782" s="2">
        <v>41275</v>
      </c>
      <c r="AA782" s="2">
        <v>41426</v>
      </c>
      <c r="AB782" s="2" t="s">
        <v>4116</v>
      </c>
    </row>
    <row r="783" spans="1:28" x14ac:dyDescent="0.35">
      <c r="A783" s="12">
        <v>4905</v>
      </c>
      <c r="B783" s="12">
        <v>7302205</v>
      </c>
      <c r="C783" s="12" t="s">
        <v>164</v>
      </c>
      <c r="D783" s="12">
        <v>50069638</v>
      </c>
      <c r="E783" s="1" t="s">
        <v>4117</v>
      </c>
      <c r="F783" s="1" t="str">
        <f>VLOOKUP(A783,[1]Sheet1!$A$2:$E$1141,5,0)</f>
        <v>Spv of Control Room LS Crusher (5)</v>
      </c>
      <c r="G783" s="17" t="str">
        <f>VLOOKUP(A783,[1]Sheet1!$A$2:$F$1141,6,0)</f>
        <v>Supervisor</v>
      </c>
      <c r="H783" s="1" t="s">
        <v>4064</v>
      </c>
      <c r="I783" s="1" t="s">
        <v>1117</v>
      </c>
      <c r="J783" s="1" t="str">
        <f>VLOOKUP(A783,[1]Sheet1!$A$2:$H$1141,8,0)</f>
        <v>Dept. of Mining &amp; Power Plant</v>
      </c>
      <c r="K783" s="1" t="str">
        <f>VLOOKUP(A783,[1]Sheet1!$A$2:$I$1141,9,0)</f>
        <v>Unit of Raw Material Management</v>
      </c>
      <c r="L783" s="1" t="str">
        <f>VLOOKUP(A783,[1]Sheet1!$A$2:$J$1141,10,0)</f>
        <v>Section of Limestone Crusher Operation</v>
      </c>
      <c r="M783" s="2">
        <v>26722</v>
      </c>
      <c r="N783" s="1" t="s">
        <v>29</v>
      </c>
      <c r="O783" s="1" t="s">
        <v>30</v>
      </c>
      <c r="P783" s="1" t="s">
        <v>4118</v>
      </c>
      <c r="Q783" s="1" t="s">
        <v>4119</v>
      </c>
      <c r="R783" s="1" t="s">
        <v>4120</v>
      </c>
      <c r="S783" s="1" t="s">
        <v>4068</v>
      </c>
      <c r="T783" s="14">
        <v>47178</v>
      </c>
      <c r="U783" s="1" t="s">
        <v>4121</v>
      </c>
      <c r="V783" s="1" t="s">
        <v>36</v>
      </c>
      <c r="W783" s="3" t="str">
        <f t="shared" si="12"/>
        <v>53 tahun</v>
      </c>
      <c r="X783" s="1" t="s">
        <v>37</v>
      </c>
      <c r="Y783" s="1" t="s">
        <v>56</v>
      </c>
      <c r="Z783" s="2">
        <v>37469</v>
      </c>
      <c r="AA783" s="2">
        <v>38718</v>
      </c>
      <c r="AB783" s="2" t="s">
        <v>4122</v>
      </c>
    </row>
    <row r="784" spans="1:28" x14ac:dyDescent="0.35">
      <c r="A784" s="12">
        <v>5184</v>
      </c>
      <c r="B784" s="12">
        <v>7695244</v>
      </c>
      <c r="C784" s="12" t="s">
        <v>50</v>
      </c>
      <c r="D784" s="12">
        <v>50069639</v>
      </c>
      <c r="E784" s="1" t="s">
        <v>4123</v>
      </c>
      <c r="F784" s="1" t="str">
        <f>VLOOKUP(A784,[1]Sheet1!$A$2:$E$1141,5,0)</f>
        <v>Spv of Control Room LS Crusher (5)</v>
      </c>
      <c r="G784" s="17" t="str">
        <f>VLOOKUP(A784,[1]Sheet1!$A$2:$F$1141,6,0)</f>
        <v>Supervisor</v>
      </c>
      <c r="H784" s="1" t="s">
        <v>4064</v>
      </c>
      <c r="I784" s="1" t="s">
        <v>1117</v>
      </c>
      <c r="J784" s="1" t="str">
        <f>VLOOKUP(A784,[1]Sheet1!$A$2:$H$1141,8,0)</f>
        <v>Dept. of Mining &amp; Power Plant</v>
      </c>
      <c r="K784" s="1" t="str">
        <f>VLOOKUP(A784,[1]Sheet1!$A$2:$I$1141,9,0)</f>
        <v>Unit of Raw Material Management</v>
      </c>
      <c r="L784" s="1" t="str">
        <f>VLOOKUP(A784,[1]Sheet1!$A$2:$J$1141,10,0)</f>
        <v>Section of Limestone Crusher Operation</v>
      </c>
      <c r="M784" s="2">
        <v>27761</v>
      </c>
      <c r="N784" s="1" t="s">
        <v>29</v>
      </c>
      <c r="O784" s="1" t="s">
        <v>30</v>
      </c>
      <c r="P784" s="1" t="s">
        <v>4124</v>
      </c>
      <c r="Q784" s="1" t="s">
        <v>4119</v>
      </c>
      <c r="R784" s="1" t="s">
        <v>4120</v>
      </c>
      <c r="S784" s="1" t="s">
        <v>4068</v>
      </c>
      <c r="T784" s="14">
        <v>48245</v>
      </c>
      <c r="U784" s="1" t="s">
        <v>4125</v>
      </c>
      <c r="V784" s="1" t="s">
        <v>36</v>
      </c>
      <c r="W784" s="3" t="str">
        <f t="shared" si="12"/>
        <v>50 tahun</v>
      </c>
      <c r="X784" s="1" t="s">
        <v>2065</v>
      </c>
      <c r="Y784" s="1" t="s">
        <v>48</v>
      </c>
      <c r="Z784" s="2">
        <v>35002</v>
      </c>
      <c r="AA784" s="2">
        <v>35370</v>
      </c>
      <c r="AB784" s="2" t="s">
        <v>4126</v>
      </c>
    </row>
    <row r="785" spans="1:28" x14ac:dyDescent="0.35">
      <c r="A785" s="12">
        <v>6085</v>
      </c>
      <c r="B785" s="12">
        <v>9012253</v>
      </c>
      <c r="C785" s="12" t="s">
        <v>103</v>
      </c>
      <c r="D785" s="12">
        <v>50069640</v>
      </c>
      <c r="E785" s="1" t="s">
        <v>4127</v>
      </c>
      <c r="F785" s="1" t="str">
        <f>VLOOKUP(A785,[1]Sheet1!$A$2:$E$1141,5,0)</f>
        <v>Spv of Control Room LS Crusher (5)</v>
      </c>
      <c r="G785" s="17" t="str">
        <f>VLOOKUP(A785,[1]Sheet1!$A$2:$F$1141,6,0)</f>
        <v>Supervisor</v>
      </c>
      <c r="H785" s="1" t="s">
        <v>4064</v>
      </c>
      <c r="I785" s="1" t="s">
        <v>1117</v>
      </c>
      <c r="J785" s="1" t="str">
        <f>VLOOKUP(A785,[1]Sheet1!$A$2:$H$1141,8,0)</f>
        <v>Dept. of Mining &amp; Power Plant</v>
      </c>
      <c r="K785" s="1" t="str">
        <f>VLOOKUP(A785,[1]Sheet1!$A$2:$I$1141,9,0)</f>
        <v>Unit of Raw Material Management</v>
      </c>
      <c r="L785" s="1" t="str">
        <f>VLOOKUP(A785,[1]Sheet1!$A$2:$J$1141,10,0)</f>
        <v>Section of Limestone Crusher Operation</v>
      </c>
      <c r="M785" s="2">
        <v>32978</v>
      </c>
      <c r="N785" s="1" t="s">
        <v>29</v>
      </c>
      <c r="O785" s="1" t="s">
        <v>30</v>
      </c>
      <c r="P785" s="1" t="s">
        <v>4128</v>
      </c>
      <c r="Q785" s="1" t="s">
        <v>4119</v>
      </c>
      <c r="R785" s="1" t="s">
        <v>4120</v>
      </c>
      <c r="S785" s="1" t="s">
        <v>4068</v>
      </c>
      <c r="T785" s="14">
        <v>53448</v>
      </c>
      <c r="U785" s="1" t="s">
        <v>4129</v>
      </c>
      <c r="V785" s="1" t="s">
        <v>36</v>
      </c>
      <c r="W785" s="3" t="str">
        <f t="shared" si="12"/>
        <v>36 tahun</v>
      </c>
      <c r="X785" s="1" t="s">
        <v>121</v>
      </c>
      <c r="Y785" s="1" t="s">
        <v>56</v>
      </c>
      <c r="Z785" s="2">
        <v>41275</v>
      </c>
      <c r="AA785" s="2">
        <v>41426</v>
      </c>
      <c r="AB785" s="2" t="s">
        <v>4130</v>
      </c>
    </row>
    <row r="786" spans="1:28" x14ac:dyDescent="0.35">
      <c r="A786" s="12">
        <v>4626</v>
      </c>
      <c r="B786" s="12">
        <v>7506487</v>
      </c>
      <c r="C786" s="12" t="s">
        <v>219</v>
      </c>
      <c r="D786" s="12">
        <v>50069641</v>
      </c>
      <c r="E786" s="1" t="s">
        <v>2854</v>
      </c>
      <c r="F786" s="1" t="str">
        <f>VLOOKUP(A786,[1]Sheet1!$A$2:$E$1141,5,0)</f>
        <v>Spv of Control Room LS Crusher (5)</v>
      </c>
      <c r="G786" s="17" t="str">
        <f>VLOOKUP(A786,[1]Sheet1!$A$2:$F$1141,6,0)</f>
        <v>Supervisor</v>
      </c>
      <c r="H786" s="1" t="s">
        <v>4064</v>
      </c>
      <c r="I786" s="1" t="s">
        <v>1117</v>
      </c>
      <c r="J786" s="1" t="str">
        <f>VLOOKUP(A786,[1]Sheet1!$A$2:$H$1141,8,0)</f>
        <v>Dept. of Mining &amp; Power Plant</v>
      </c>
      <c r="K786" s="1" t="str">
        <f>VLOOKUP(A786,[1]Sheet1!$A$2:$I$1141,9,0)</f>
        <v>Unit of Raw Material Management</v>
      </c>
      <c r="L786" s="1" t="str">
        <f>VLOOKUP(A786,[1]Sheet1!$A$2:$J$1141,10,0)</f>
        <v>Section of Limestone Crusher Operation</v>
      </c>
      <c r="M786" s="2">
        <v>27455</v>
      </c>
      <c r="N786" s="1" t="s">
        <v>29</v>
      </c>
      <c r="O786" s="1" t="s">
        <v>30</v>
      </c>
      <c r="P786" s="1" t="s">
        <v>4131</v>
      </c>
      <c r="Q786" s="1" t="s">
        <v>4119</v>
      </c>
      <c r="R786" s="1" t="s">
        <v>4120</v>
      </c>
      <c r="S786" s="1" t="s">
        <v>4068</v>
      </c>
      <c r="T786" s="14">
        <v>47939</v>
      </c>
      <c r="U786" s="1" t="s">
        <v>4132</v>
      </c>
      <c r="V786" s="1" t="s">
        <v>36</v>
      </c>
      <c r="W786" s="3" t="str">
        <f t="shared" si="12"/>
        <v>51 tahun</v>
      </c>
      <c r="X786" s="1" t="s">
        <v>1274</v>
      </c>
      <c r="Y786" s="1" t="s">
        <v>56</v>
      </c>
      <c r="Z786" s="2">
        <v>38718</v>
      </c>
      <c r="AA786" s="2">
        <v>41030</v>
      </c>
      <c r="AB786" s="2" t="s">
        <v>4133</v>
      </c>
    </row>
    <row r="787" spans="1:28" x14ac:dyDescent="0.35">
      <c r="A787" s="12">
        <v>5234</v>
      </c>
      <c r="B787" s="12">
        <v>7808001</v>
      </c>
      <c r="C787" s="12" t="s">
        <v>25</v>
      </c>
      <c r="D787" s="12">
        <v>50007566</v>
      </c>
      <c r="E787" s="16" t="s">
        <v>4134</v>
      </c>
      <c r="F787" s="1" t="str">
        <f>VLOOKUP(A787,[1]Sheet1!$A$2:$E$1141,5,0)</f>
        <v>Mgr of Clay Crusher Operation</v>
      </c>
      <c r="G787" s="16" t="str">
        <f>VLOOKUP(A787,[1]Sheet1!$A$2:$F$1141,6,0)</f>
        <v>Manager</v>
      </c>
      <c r="H787" s="1" t="s">
        <v>4135</v>
      </c>
      <c r="I787" s="1" t="s">
        <v>1117</v>
      </c>
      <c r="J787" s="1" t="str">
        <f>VLOOKUP(A787,[1]Sheet1!$A$2:$H$1141,8,0)</f>
        <v>Dept. of Mining &amp; Power Plant</v>
      </c>
      <c r="K787" s="1" t="str">
        <f>VLOOKUP(A787,[1]Sheet1!$A$2:$I$1141,9,0)</f>
        <v>Unit of Raw Material Management</v>
      </c>
      <c r="L787" s="1" t="str">
        <f>VLOOKUP(A787,[1]Sheet1!$A$2:$J$1141,10,0)</f>
        <v>Section of Clay Crusher Operation</v>
      </c>
      <c r="M787" s="2">
        <v>28678</v>
      </c>
      <c r="N787" s="1" t="s">
        <v>29</v>
      </c>
      <c r="O787" s="1" t="s">
        <v>30</v>
      </c>
      <c r="P787" s="1" t="s">
        <v>4136</v>
      </c>
      <c r="Q787" s="1" t="s">
        <v>4137</v>
      </c>
      <c r="R787" s="1" t="s">
        <v>4138</v>
      </c>
      <c r="S787" s="1" t="s">
        <v>4139</v>
      </c>
      <c r="T787" s="14">
        <v>49157</v>
      </c>
      <c r="U787" s="1" t="s">
        <v>4140</v>
      </c>
      <c r="V787" s="1" t="s">
        <v>36</v>
      </c>
      <c r="W787" s="3" t="str">
        <f t="shared" si="12"/>
        <v>48 tahun</v>
      </c>
      <c r="X787" s="1" t="s">
        <v>121</v>
      </c>
      <c r="Y787" s="1" t="s">
        <v>48</v>
      </c>
      <c r="Z787" s="2">
        <v>39814</v>
      </c>
      <c r="AA787" s="2">
        <v>39934</v>
      </c>
      <c r="AB787" s="2" t="s">
        <v>4141</v>
      </c>
    </row>
    <row r="788" spans="1:28" x14ac:dyDescent="0.35">
      <c r="A788" s="12">
        <v>4952</v>
      </c>
      <c r="B788" s="12">
        <v>7302219</v>
      </c>
      <c r="C788" s="12" t="s">
        <v>164</v>
      </c>
      <c r="D788" s="12">
        <v>50055595</v>
      </c>
      <c r="E788" s="1" t="s">
        <v>4142</v>
      </c>
      <c r="F788" s="1" t="str">
        <f>VLOOKUP(A788,[1]Sheet1!$A$2:$E$1141,5,0)</f>
        <v>Spv of Line 4/5 Silica Crusher</v>
      </c>
      <c r="G788" s="17" t="str">
        <f>VLOOKUP(A788,[1]Sheet1!$A$2:$F$1141,6,0)</f>
        <v>Supervisor</v>
      </c>
      <c r="H788" s="1" t="s">
        <v>4135</v>
      </c>
      <c r="I788" s="1" t="s">
        <v>1117</v>
      </c>
      <c r="J788" s="1" t="str">
        <f>VLOOKUP(A788,[1]Sheet1!$A$2:$H$1141,8,0)</f>
        <v>Dept. of Mining &amp; Power Plant</v>
      </c>
      <c r="K788" s="1" t="str">
        <f>VLOOKUP(A788,[1]Sheet1!$A$2:$I$1141,9,0)</f>
        <v>Unit of Raw Material Management</v>
      </c>
      <c r="L788" s="1" t="str">
        <f>VLOOKUP(A788,[1]Sheet1!$A$2:$J$1141,10,0)</f>
        <v>Section of Clay Crusher Operation</v>
      </c>
      <c r="M788" s="2">
        <v>26908</v>
      </c>
      <c r="N788" s="1" t="s">
        <v>29</v>
      </c>
      <c r="O788" s="1" t="s">
        <v>30</v>
      </c>
      <c r="P788" s="1" t="s">
        <v>4143</v>
      </c>
      <c r="Q788" s="1" t="s">
        <v>4144</v>
      </c>
      <c r="R788" s="1" t="s">
        <v>4145</v>
      </c>
      <c r="S788" s="1" t="s">
        <v>4139</v>
      </c>
      <c r="T788" s="14">
        <v>47392</v>
      </c>
      <c r="U788" s="1" t="s">
        <v>4146</v>
      </c>
      <c r="V788" s="1" t="s">
        <v>36</v>
      </c>
      <c r="W788" s="3" t="str">
        <f t="shared" si="12"/>
        <v>52 tahun</v>
      </c>
      <c r="X788" s="1" t="s">
        <v>121</v>
      </c>
      <c r="Y788" s="1" t="s">
        <v>56</v>
      </c>
      <c r="Z788" s="2">
        <v>37469</v>
      </c>
      <c r="AA788" s="2">
        <v>38718</v>
      </c>
      <c r="AB788" s="2" t="s">
        <v>4147</v>
      </c>
    </row>
    <row r="789" spans="1:28" x14ac:dyDescent="0.35">
      <c r="A789" s="12">
        <v>4843</v>
      </c>
      <c r="B789" s="12">
        <v>7202187</v>
      </c>
      <c r="C789" s="12" t="s">
        <v>164</v>
      </c>
      <c r="D789" s="12">
        <v>50062623</v>
      </c>
      <c r="E789" s="1" t="s">
        <v>4148</v>
      </c>
      <c r="F789" s="1" t="str">
        <f>VLOOKUP(A789,[1]Sheet1!$A$2:$E$1141,5,0)</f>
        <v>Spv of Line 4/5 Silica Crusher</v>
      </c>
      <c r="G789" s="17" t="str">
        <f>VLOOKUP(A789,[1]Sheet1!$A$2:$F$1141,6,0)</f>
        <v>Supervisor</v>
      </c>
      <c r="H789" s="1" t="s">
        <v>4135</v>
      </c>
      <c r="I789" s="1" t="s">
        <v>1117</v>
      </c>
      <c r="J789" s="1" t="str">
        <f>VLOOKUP(A789,[1]Sheet1!$A$2:$H$1141,8,0)</f>
        <v>Dept. of Mining &amp; Power Plant</v>
      </c>
      <c r="K789" s="1" t="str">
        <f>VLOOKUP(A789,[1]Sheet1!$A$2:$I$1141,9,0)</f>
        <v>Unit of Raw Material Management</v>
      </c>
      <c r="L789" s="1" t="str">
        <f>VLOOKUP(A789,[1]Sheet1!$A$2:$J$1141,10,0)</f>
        <v>Section of Clay Crusher Operation</v>
      </c>
      <c r="M789" s="2">
        <v>26474</v>
      </c>
      <c r="N789" s="1" t="s">
        <v>29</v>
      </c>
      <c r="O789" s="1" t="s">
        <v>30</v>
      </c>
      <c r="P789" s="1" t="s">
        <v>4149</v>
      </c>
      <c r="Q789" s="1" t="s">
        <v>4144</v>
      </c>
      <c r="R789" s="1" t="s">
        <v>4145</v>
      </c>
      <c r="S789" s="1" t="s">
        <v>4139</v>
      </c>
      <c r="T789" s="14">
        <v>46935</v>
      </c>
      <c r="U789" s="1" t="s">
        <v>4150</v>
      </c>
      <c r="V789" s="1" t="s">
        <v>36</v>
      </c>
      <c r="W789" s="3" t="str">
        <f t="shared" si="12"/>
        <v>54 tahun</v>
      </c>
      <c r="X789" s="1" t="s">
        <v>137</v>
      </c>
      <c r="Y789" s="1" t="s">
        <v>56</v>
      </c>
      <c r="Z789" s="2">
        <v>37469</v>
      </c>
      <c r="AA789" s="2">
        <v>38718</v>
      </c>
      <c r="AB789" s="2" t="s">
        <v>84</v>
      </c>
    </row>
    <row r="790" spans="1:28" x14ac:dyDescent="0.35">
      <c r="A790" s="12">
        <v>4453</v>
      </c>
      <c r="B790" s="12">
        <v>7106335</v>
      </c>
      <c r="C790" s="12" t="s">
        <v>219</v>
      </c>
      <c r="D790" s="12">
        <v>50069643</v>
      </c>
      <c r="E790" s="1" t="s">
        <v>4151</v>
      </c>
      <c r="F790" s="1" t="str">
        <f>VLOOKUP(A790,[1]Sheet1!$A$2:$E$1141,5,0)</f>
        <v>Spv of Control Room Silica Crush (4/5)</v>
      </c>
      <c r="G790" s="17" t="str">
        <f>VLOOKUP(A790,[1]Sheet1!$A$2:$F$1141,6,0)</f>
        <v>Supervisor</v>
      </c>
      <c r="H790" s="1" t="s">
        <v>4135</v>
      </c>
      <c r="I790" s="1" t="s">
        <v>1117</v>
      </c>
      <c r="J790" s="1" t="str">
        <f>VLOOKUP(A790,[1]Sheet1!$A$2:$H$1141,8,0)</f>
        <v>Dept. of Mining &amp; Power Plant</v>
      </c>
      <c r="K790" s="1" t="str">
        <f>VLOOKUP(A790,[1]Sheet1!$A$2:$I$1141,9,0)</f>
        <v>Unit of Raw Material Management</v>
      </c>
      <c r="L790" s="1" t="str">
        <f>VLOOKUP(A790,[1]Sheet1!$A$2:$J$1141,10,0)</f>
        <v>Section of Clay Crusher Operation</v>
      </c>
      <c r="M790" s="2">
        <v>26225</v>
      </c>
      <c r="N790" s="1" t="s">
        <v>29</v>
      </c>
      <c r="O790" s="1" t="s">
        <v>30</v>
      </c>
      <c r="P790" s="1" t="s">
        <v>4152</v>
      </c>
      <c r="Q790" s="1" t="s">
        <v>4153</v>
      </c>
      <c r="R790" s="1" t="s">
        <v>4154</v>
      </c>
      <c r="S790" s="1" t="s">
        <v>4139</v>
      </c>
      <c r="T790" s="14">
        <v>46692</v>
      </c>
      <c r="U790" s="1" t="s">
        <v>4155</v>
      </c>
      <c r="V790" s="1" t="s">
        <v>36</v>
      </c>
      <c r="W790" s="3" t="str">
        <f t="shared" si="12"/>
        <v>54 tahun</v>
      </c>
      <c r="X790" s="1" t="s">
        <v>2809</v>
      </c>
      <c r="Y790" s="1" t="s">
        <v>1945</v>
      </c>
      <c r="Z790" s="2">
        <v>38718</v>
      </c>
      <c r="AA790" s="2">
        <v>41030</v>
      </c>
      <c r="AB790" s="2" t="s">
        <v>4156</v>
      </c>
    </row>
    <row r="791" spans="1:28" x14ac:dyDescent="0.35">
      <c r="A791" s="12">
        <v>4891</v>
      </c>
      <c r="B791" s="12">
        <v>7295270</v>
      </c>
      <c r="C791" s="12" t="s">
        <v>50</v>
      </c>
      <c r="D791" s="12">
        <v>50069647</v>
      </c>
      <c r="E791" s="1" t="s">
        <v>4157</v>
      </c>
      <c r="F791" s="1" t="str">
        <f>VLOOKUP(A791,[1]Sheet1!$A$2:$E$1141,5,0)</f>
        <v>Spv of Line 2/3/4/5 Clay Crusher</v>
      </c>
      <c r="G791" s="17" t="str">
        <f>VLOOKUP(A791,[1]Sheet1!$A$2:$F$1141,6,0)</f>
        <v>Supervisor</v>
      </c>
      <c r="H791" s="1" t="s">
        <v>4135</v>
      </c>
      <c r="I791" s="1" t="s">
        <v>1117</v>
      </c>
      <c r="J791" s="1" t="str">
        <f>VLOOKUP(A791,[1]Sheet1!$A$2:$H$1141,8,0)</f>
        <v>Dept. of Mining &amp; Power Plant</v>
      </c>
      <c r="K791" s="1" t="str">
        <f>VLOOKUP(A791,[1]Sheet1!$A$2:$I$1141,9,0)</f>
        <v>Unit of Raw Material Management</v>
      </c>
      <c r="L791" s="1" t="str">
        <f>VLOOKUP(A791,[1]Sheet1!$A$2:$J$1141,10,0)</f>
        <v>Section of Clay Crusher Operation</v>
      </c>
      <c r="M791" s="2">
        <v>26638</v>
      </c>
      <c r="N791" s="1" t="s">
        <v>29</v>
      </c>
      <c r="O791" s="1" t="s">
        <v>30</v>
      </c>
      <c r="P791" s="1" t="s">
        <v>4158</v>
      </c>
      <c r="Q791" s="1" t="s">
        <v>4159</v>
      </c>
      <c r="R791" s="1" t="s">
        <v>4160</v>
      </c>
      <c r="S791" s="1" t="s">
        <v>4139</v>
      </c>
      <c r="T791" s="14">
        <v>47119</v>
      </c>
      <c r="U791" s="1" t="s">
        <v>4161</v>
      </c>
      <c r="V791" s="1" t="s">
        <v>36</v>
      </c>
      <c r="W791" s="3" t="str">
        <f t="shared" si="12"/>
        <v>53 tahun</v>
      </c>
      <c r="X791" s="1" t="s">
        <v>4162</v>
      </c>
      <c r="Y791" s="1" t="s">
        <v>56</v>
      </c>
      <c r="Z791" s="2">
        <v>35034</v>
      </c>
      <c r="AA791" s="2">
        <v>35400</v>
      </c>
      <c r="AB791" s="2" t="s">
        <v>4163</v>
      </c>
    </row>
    <row r="792" spans="1:28" x14ac:dyDescent="0.35">
      <c r="A792" s="12">
        <v>5200</v>
      </c>
      <c r="B792" s="12">
        <v>7602278</v>
      </c>
      <c r="C792" s="12" t="s">
        <v>164</v>
      </c>
      <c r="D792" s="12">
        <v>50069649</v>
      </c>
      <c r="E792" s="1" t="s">
        <v>4164</v>
      </c>
      <c r="F792" s="1" t="str">
        <f>VLOOKUP(A792,[1]Sheet1!$A$2:$E$1141,5,0)</f>
        <v>Spv of Line 2/3/4/5 Clay Crusher</v>
      </c>
      <c r="G792" s="17" t="str">
        <f>VLOOKUP(A792,[1]Sheet1!$A$2:$F$1141,6,0)</f>
        <v>Supervisor</v>
      </c>
      <c r="H792" s="1" t="s">
        <v>4135</v>
      </c>
      <c r="I792" s="1" t="s">
        <v>1117</v>
      </c>
      <c r="J792" s="1" t="str">
        <f>VLOOKUP(A792,[1]Sheet1!$A$2:$H$1141,8,0)</f>
        <v>Dept. of Mining &amp; Power Plant</v>
      </c>
      <c r="K792" s="1" t="str">
        <f>VLOOKUP(A792,[1]Sheet1!$A$2:$I$1141,9,0)</f>
        <v>Unit of Raw Material Management</v>
      </c>
      <c r="L792" s="1" t="str">
        <f>VLOOKUP(A792,[1]Sheet1!$A$2:$J$1141,10,0)</f>
        <v>Section of Clay Crusher Operation</v>
      </c>
      <c r="M792" s="2">
        <v>27905</v>
      </c>
      <c r="N792" s="1" t="s">
        <v>29</v>
      </c>
      <c r="O792" s="1" t="s">
        <v>30</v>
      </c>
      <c r="P792" s="1" t="s">
        <v>4165</v>
      </c>
      <c r="Q792" s="1" t="s">
        <v>4159</v>
      </c>
      <c r="R792" s="1" t="s">
        <v>4160</v>
      </c>
      <c r="S792" s="1" t="s">
        <v>4139</v>
      </c>
      <c r="T792" s="14">
        <v>48366</v>
      </c>
      <c r="U792" s="1" t="s">
        <v>4166</v>
      </c>
      <c r="V792" s="1" t="s">
        <v>36</v>
      </c>
      <c r="W792" s="3" t="str">
        <f t="shared" si="12"/>
        <v>50 tahun</v>
      </c>
      <c r="X792" s="1" t="s">
        <v>96</v>
      </c>
      <c r="Y792" s="1" t="s">
        <v>56</v>
      </c>
      <c r="Z792" s="2">
        <v>37469</v>
      </c>
      <c r="AA792" s="2">
        <v>38718</v>
      </c>
      <c r="AB792" s="2" t="s">
        <v>84</v>
      </c>
    </row>
    <row r="793" spans="1:28" x14ac:dyDescent="0.35">
      <c r="A793" s="12">
        <v>5061</v>
      </c>
      <c r="B793" s="12">
        <v>7402256</v>
      </c>
      <c r="C793" s="12" t="s">
        <v>164</v>
      </c>
      <c r="D793" s="12">
        <v>50069650</v>
      </c>
      <c r="E793" s="1" t="s">
        <v>4167</v>
      </c>
      <c r="F793" s="1" t="str">
        <f>VLOOKUP(A793,[1]Sheet1!$A$2:$E$1141,5,0)</f>
        <v>Spv of Line 2/3/4/5 Clay Crusher</v>
      </c>
      <c r="G793" s="17" t="str">
        <f>VLOOKUP(A793,[1]Sheet1!$A$2:$F$1141,6,0)</f>
        <v>Supervisor</v>
      </c>
      <c r="H793" s="1" t="s">
        <v>4135</v>
      </c>
      <c r="I793" s="1" t="s">
        <v>1117</v>
      </c>
      <c r="J793" s="1" t="str">
        <f>VLOOKUP(A793,[1]Sheet1!$A$2:$H$1141,8,0)</f>
        <v>Dept. of Mining &amp; Power Plant</v>
      </c>
      <c r="K793" s="1" t="str">
        <f>VLOOKUP(A793,[1]Sheet1!$A$2:$I$1141,9,0)</f>
        <v>Unit of Raw Material Management</v>
      </c>
      <c r="L793" s="1" t="str">
        <f>VLOOKUP(A793,[1]Sheet1!$A$2:$J$1141,10,0)</f>
        <v>Section of Clay Crusher Operation</v>
      </c>
      <c r="M793" s="2">
        <v>27254</v>
      </c>
      <c r="N793" s="1" t="s">
        <v>29</v>
      </c>
      <c r="O793" s="1" t="s">
        <v>30</v>
      </c>
      <c r="P793" s="1" t="s">
        <v>4168</v>
      </c>
      <c r="Q793" s="1" t="s">
        <v>4159</v>
      </c>
      <c r="R793" s="1" t="s">
        <v>4160</v>
      </c>
      <c r="S793" s="1" t="s">
        <v>4139</v>
      </c>
      <c r="T793" s="14">
        <v>47727</v>
      </c>
      <c r="U793" s="1" t="s">
        <v>4169</v>
      </c>
      <c r="V793" s="1" t="s">
        <v>36</v>
      </c>
      <c r="W793" s="3" t="str">
        <f t="shared" si="12"/>
        <v>52 tahun</v>
      </c>
      <c r="X793" s="1" t="s">
        <v>4170</v>
      </c>
      <c r="Y793" s="1" t="s">
        <v>56</v>
      </c>
      <c r="Z793" s="2">
        <v>37469</v>
      </c>
      <c r="AA793" s="2">
        <v>38718</v>
      </c>
      <c r="AB793" s="2" t="s">
        <v>4171</v>
      </c>
    </row>
    <row r="794" spans="1:28" x14ac:dyDescent="0.35">
      <c r="A794" s="12">
        <v>5986</v>
      </c>
      <c r="B794" s="12">
        <v>8812153</v>
      </c>
      <c r="C794" s="12" t="s">
        <v>103</v>
      </c>
      <c r="D794" s="12">
        <v>50069651</v>
      </c>
      <c r="E794" s="1" t="s">
        <v>4172</v>
      </c>
      <c r="F794" s="1" t="str">
        <f>VLOOKUP(A794,[1]Sheet1!$A$2:$E$1141,5,0)</f>
        <v>Spv of Line 2/3/4/5 Clay Crusher</v>
      </c>
      <c r="G794" s="17" t="str">
        <f>VLOOKUP(A794,[1]Sheet1!$A$2:$F$1141,6,0)</f>
        <v>Supervisor</v>
      </c>
      <c r="H794" s="1" t="s">
        <v>4135</v>
      </c>
      <c r="I794" s="1" t="s">
        <v>1117</v>
      </c>
      <c r="J794" s="1" t="str">
        <f>VLOOKUP(A794,[1]Sheet1!$A$2:$H$1141,8,0)</f>
        <v>Dept. of Mining &amp; Power Plant</v>
      </c>
      <c r="K794" s="1" t="str">
        <f>VLOOKUP(A794,[1]Sheet1!$A$2:$I$1141,9,0)</f>
        <v>Unit of Raw Material Management</v>
      </c>
      <c r="L794" s="1" t="str">
        <f>VLOOKUP(A794,[1]Sheet1!$A$2:$J$1141,10,0)</f>
        <v>Section of Clay Crusher Operation</v>
      </c>
      <c r="M794" s="2">
        <v>32443</v>
      </c>
      <c r="N794" s="1" t="s">
        <v>29</v>
      </c>
      <c r="O794" s="1" t="s">
        <v>30</v>
      </c>
      <c r="P794" s="1" t="s">
        <v>4173</v>
      </c>
      <c r="Q794" s="1" t="s">
        <v>4159</v>
      </c>
      <c r="R794" s="1" t="s">
        <v>4160</v>
      </c>
      <c r="S794" s="1" t="s">
        <v>4139</v>
      </c>
      <c r="T794" s="14">
        <v>52902</v>
      </c>
      <c r="U794" s="1" t="s">
        <v>4174</v>
      </c>
      <c r="V794" s="1" t="s">
        <v>36</v>
      </c>
      <c r="W794" s="3" t="str">
        <f t="shared" si="12"/>
        <v>37 tahun</v>
      </c>
      <c r="X794" s="1" t="s">
        <v>595</v>
      </c>
      <c r="Y794" s="1" t="s">
        <v>68</v>
      </c>
      <c r="Z794" s="2">
        <v>41275</v>
      </c>
      <c r="AA794" s="2">
        <v>41426</v>
      </c>
      <c r="AB794" s="2" t="s">
        <v>4175</v>
      </c>
    </row>
    <row r="795" spans="1:28" x14ac:dyDescent="0.35">
      <c r="A795" s="12">
        <v>4583</v>
      </c>
      <c r="B795" s="12">
        <v>7406462</v>
      </c>
      <c r="C795" s="12" t="s">
        <v>219</v>
      </c>
      <c r="D795" s="12">
        <v>50069652</v>
      </c>
      <c r="E795" s="1" t="s">
        <v>2930</v>
      </c>
      <c r="F795" s="1" t="str">
        <f>VLOOKUP(A795,[1]Sheet1!$A$2:$E$1141,5,0)</f>
        <v>Spv of Line 2/3/4/5 Clay Crusher</v>
      </c>
      <c r="G795" s="17" t="str">
        <f>VLOOKUP(A795,[1]Sheet1!$A$2:$F$1141,6,0)</f>
        <v>Supervisor</v>
      </c>
      <c r="H795" s="1" t="s">
        <v>4135</v>
      </c>
      <c r="I795" s="1" t="s">
        <v>1117</v>
      </c>
      <c r="J795" s="1" t="str">
        <f>VLOOKUP(A795,[1]Sheet1!$A$2:$H$1141,8,0)</f>
        <v>Dept. of Mining &amp; Power Plant</v>
      </c>
      <c r="K795" s="1" t="str">
        <f>VLOOKUP(A795,[1]Sheet1!$A$2:$I$1141,9,0)</f>
        <v>Unit of Raw Material Management</v>
      </c>
      <c r="L795" s="1" t="str">
        <f>VLOOKUP(A795,[1]Sheet1!$A$2:$J$1141,10,0)</f>
        <v>Section of Clay Crusher Operation</v>
      </c>
      <c r="M795" s="2">
        <v>27228</v>
      </c>
      <c r="N795" s="1" t="s">
        <v>29</v>
      </c>
      <c r="O795" s="1" t="s">
        <v>30</v>
      </c>
      <c r="P795" s="1" t="s">
        <v>4176</v>
      </c>
      <c r="Q795" s="1" t="s">
        <v>4159</v>
      </c>
      <c r="R795" s="1" t="s">
        <v>4160</v>
      </c>
      <c r="S795" s="1" t="s">
        <v>4139</v>
      </c>
      <c r="T795" s="14">
        <v>47696</v>
      </c>
      <c r="U795" s="1" t="s">
        <v>4177</v>
      </c>
      <c r="V795" s="1" t="s">
        <v>36</v>
      </c>
      <c r="W795" s="3" t="str">
        <f t="shared" si="12"/>
        <v>52 tahun</v>
      </c>
      <c r="X795" s="1" t="s">
        <v>3302</v>
      </c>
      <c r="Y795" s="1" t="s">
        <v>56</v>
      </c>
      <c r="Z795" s="2">
        <v>38718</v>
      </c>
      <c r="AA795" s="2">
        <v>41030</v>
      </c>
      <c r="AB795" s="2" t="s">
        <v>4178</v>
      </c>
    </row>
    <row r="796" spans="1:28" x14ac:dyDescent="0.35">
      <c r="A796" s="12">
        <v>5175</v>
      </c>
      <c r="B796" s="12">
        <v>7606534</v>
      </c>
      <c r="C796" s="12" t="s">
        <v>219</v>
      </c>
      <c r="D796" s="12">
        <v>50069654</v>
      </c>
      <c r="E796" s="1" t="s">
        <v>4179</v>
      </c>
      <c r="F796" s="1" t="str">
        <f>VLOOKUP(A796,[1]Sheet1!$A$2:$E$1141,5,0)</f>
        <v>Spv of CR Clay Crusher (2/3/4/5)</v>
      </c>
      <c r="G796" s="17" t="str">
        <f>VLOOKUP(A796,[1]Sheet1!$A$2:$F$1141,6,0)</f>
        <v>Supervisor</v>
      </c>
      <c r="H796" s="1" t="s">
        <v>4135</v>
      </c>
      <c r="I796" s="1" t="s">
        <v>1117</v>
      </c>
      <c r="J796" s="1" t="str">
        <f>VLOOKUP(A796,[1]Sheet1!$A$2:$H$1141,8,0)</f>
        <v>Dept. of Mining &amp; Power Plant</v>
      </c>
      <c r="K796" s="1" t="str">
        <f>VLOOKUP(A796,[1]Sheet1!$A$2:$I$1141,9,0)</f>
        <v>Unit of Raw Material Management</v>
      </c>
      <c r="L796" s="1" t="str">
        <f>VLOOKUP(A796,[1]Sheet1!$A$2:$J$1141,10,0)</f>
        <v>Section of Clay Crusher Operation</v>
      </c>
      <c r="M796" s="2">
        <v>28087</v>
      </c>
      <c r="N796" s="1" t="s">
        <v>29</v>
      </c>
      <c r="O796" s="1" t="s">
        <v>30</v>
      </c>
      <c r="P796" s="1" t="s">
        <v>4180</v>
      </c>
      <c r="Q796" s="1" t="s">
        <v>4181</v>
      </c>
      <c r="R796" s="1" t="s">
        <v>4182</v>
      </c>
      <c r="S796" s="1" t="s">
        <v>4139</v>
      </c>
      <c r="T796" s="14">
        <v>48549</v>
      </c>
      <c r="U796" s="1" t="s">
        <v>4183</v>
      </c>
      <c r="V796" s="1" t="s">
        <v>36</v>
      </c>
      <c r="W796" s="3" t="str">
        <f t="shared" si="12"/>
        <v>49 tahun</v>
      </c>
      <c r="X796" s="1" t="s">
        <v>595</v>
      </c>
      <c r="Y796" s="1" t="s">
        <v>56</v>
      </c>
      <c r="Z796" s="2">
        <v>38718</v>
      </c>
      <c r="AA796" s="2">
        <v>41030</v>
      </c>
      <c r="AB796" s="2" t="s">
        <v>4184</v>
      </c>
    </row>
    <row r="797" spans="1:28" x14ac:dyDescent="0.35">
      <c r="A797" s="12">
        <v>5146</v>
      </c>
      <c r="B797" s="12">
        <v>7606524</v>
      </c>
      <c r="C797" s="12" t="s">
        <v>219</v>
      </c>
      <c r="D797" s="12">
        <v>50069655</v>
      </c>
      <c r="E797" s="1" t="s">
        <v>3698</v>
      </c>
      <c r="F797" s="1" t="str">
        <f>VLOOKUP(A797,[1]Sheet1!$A$2:$E$1141,5,0)</f>
        <v>Spv of CR Clay Crusher (2/3/4/5)</v>
      </c>
      <c r="G797" s="17" t="str">
        <f>VLOOKUP(A797,[1]Sheet1!$A$2:$F$1141,6,0)</f>
        <v>Supervisor</v>
      </c>
      <c r="H797" s="1" t="s">
        <v>4135</v>
      </c>
      <c r="I797" s="1" t="s">
        <v>1117</v>
      </c>
      <c r="J797" s="1" t="str">
        <f>VLOOKUP(A797,[1]Sheet1!$A$2:$H$1141,8,0)</f>
        <v>Dept. of Mining &amp; Power Plant</v>
      </c>
      <c r="K797" s="1" t="str">
        <f>VLOOKUP(A797,[1]Sheet1!$A$2:$I$1141,9,0)</f>
        <v>Unit of Raw Material Management</v>
      </c>
      <c r="L797" s="1" t="str">
        <f>VLOOKUP(A797,[1]Sheet1!$A$2:$J$1141,10,0)</f>
        <v>Section of Clay Crusher Operation</v>
      </c>
      <c r="M797" s="2">
        <v>27928</v>
      </c>
      <c r="N797" s="1" t="s">
        <v>29</v>
      </c>
      <c r="O797" s="1" t="s">
        <v>30</v>
      </c>
      <c r="P797" s="1" t="s">
        <v>4185</v>
      </c>
      <c r="Q797" s="1" t="s">
        <v>4181</v>
      </c>
      <c r="R797" s="1" t="s">
        <v>4182</v>
      </c>
      <c r="S797" s="1" t="s">
        <v>4139</v>
      </c>
      <c r="T797" s="14">
        <v>48396</v>
      </c>
      <c r="U797" s="1" t="s">
        <v>4186</v>
      </c>
      <c r="V797" s="1" t="s">
        <v>36</v>
      </c>
      <c r="W797" s="3" t="str">
        <f t="shared" si="12"/>
        <v>50 tahun</v>
      </c>
      <c r="X797" s="1" t="s">
        <v>846</v>
      </c>
      <c r="Y797" s="1" t="s">
        <v>56</v>
      </c>
      <c r="Z797" s="2">
        <v>38718</v>
      </c>
      <c r="AA797" s="2">
        <v>41030</v>
      </c>
      <c r="AB797" s="2" t="s">
        <v>4187</v>
      </c>
    </row>
    <row r="798" spans="1:28" x14ac:dyDescent="0.35">
      <c r="A798" s="12">
        <v>6075</v>
      </c>
      <c r="B798" s="12">
        <v>9012242</v>
      </c>
      <c r="C798" s="12" t="s">
        <v>103</v>
      </c>
      <c r="D798" s="12">
        <v>50069656</v>
      </c>
      <c r="E798" s="1" t="s">
        <v>4188</v>
      </c>
      <c r="F798" s="1" t="str">
        <f>VLOOKUP(A798,[1]Sheet1!$A$2:$E$1141,5,0)</f>
        <v>Spv of CR Clay Crusher (2/3/4/5)</v>
      </c>
      <c r="G798" s="17" t="str">
        <f>VLOOKUP(A798,[1]Sheet1!$A$2:$F$1141,6,0)</f>
        <v>Supervisor</v>
      </c>
      <c r="H798" s="1" t="s">
        <v>4135</v>
      </c>
      <c r="I798" s="1" t="s">
        <v>1117</v>
      </c>
      <c r="J798" s="1" t="str">
        <f>VLOOKUP(A798,[1]Sheet1!$A$2:$H$1141,8,0)</f>
        <v>Dept. of Mining &amp; Power Plant</v>
      </c>
      <c r="K798" s="1" t="str">
        <f>VLOOKUP(A798,[1]Sheet1!$A$2:$I$1141,9,0)</f>
        <v>Unit of Raw Material Management</v>
      </c>
      <c r="L798" s="1" t="str">
        <f>VLOOKUP(A798,[1]Sheet1!$A$2:$J$1141,10,0)</f>
        <v>Section of Clay Crusher Operation</v>
      </c>
      <c r="M798" s="2">
        <v>32934</v>
      </c>
      <c r="N798" s="1" t="s">
        <v>29</v>
      </c>
      <c r="O798" s="1" t="s">
        <v>30</v>
      </c>
      <c r="P798" s="1" t="s">
        <v>4189</v>
      </c>
      <c r="Q798" s="1" t="s">
        <v>4181</v>
      </c>
      <c r="R798" s="1" t="s">
        <v>4182</v>
      </c>
      <c r="S798" s="1" t="s">
        <v>4139</v>
      </c>
      <c r="T798" s="14">
        <v>53418</v>
      </c>
      <c r="U798" s="18" t="s">
        <v>4190</v>
      </c>
      <c r="V798" s="1" t="s">
        <v>36</v>
      </c>
      <c r="W798" s="3" t="str">
        <f t="shared" si="12"/>
        <v>36 tahun</v>
      </c>
      <c r="X798" s="1" t="s">
        <v>55</v>
      </c>
      <c r="Y798" s="1" t="s">
        <v>56</v>
      </c>
      <c r="Z798" s="2">
        <v>41275</v>
      </c>
      <c r="AA798" s="2">
        <v>41395</v>
      </c>
      <c r="AB798" s="2" t="s">
        <v>4191</v>
      </c>
    </row>
    <row r="799" spans="1:28" x14ac:dyDescent="0.35">
      <c r="A799" s="12">
        <v>5055</v>
      </c>
      <c r="B799" s="12">
        <v>7402255</v>
      </c>
      <c r="C799" s="12" t="s">
        <v>164</v>
      </c>
      <c r="D799" s="12">
        <v>50069657</v>
      </c>
      <c r="E799" s="1" t="s">
        <v>4192</v>
      </c>
      <c r="F799" s="1" t="str">
        <f>VLOOKUP(A799,[1]Sheet1!$A$2:$E$1141,5,0)</f>
        <v>Spv of CR Clay Crusher (2/3/4/5)</v>
      </c>
      <c r="G799" s="17" t="str">
        <f>VLOOKUP(A799,[1]Sheet1!$A$2:$F$1141,6,0)</f>
        <v>Supervisor</v>
      </c>
      <c r="H799" s="1" t="s">
        <v>4135</v>
      </c>
      <c r="I799" s="1" t="s">
        <v>1117</v>
      </c>
      <c r="J799" s="1" t="str">
        <f>VLOOKUP(A799,[1]Sheet1!$A$2:$H$1141,8,0)</f>
        <v>Dept. of Mining &amp; Power Plant</v>
      </c>
      <c r="K799" s="1" t="str">
        <f>VLOOKUP(A799,[1]Sheet1!$A$2:$I$1141,9,0)</f>
        <v>Unit of Raw Material Management</v>
      </c>
      <c r="L799" s="1" t="str">
        <f>VLOOKUP(A799,[1]Sheet1!$A$2:$J$1141,10,0)</f>
        <v>Section of Clay Crusher Operation</v>
      </c>
      <c r="M799" s="2">
        <v>27235</v>
      </c>
      <c r="N799" s="1" t="s">
        <v>29</v>
      </c>
      <c r="O799" s="1" t="s">
        <v>30</v>
      </c>
      <c r="P799" s="1" t="s">
        <v>4193</v>
      </c>
      <c r="Q799" s="1" t="s">
        <v>4181</v>
      </c>
      <c r="R799" s="1" t="s">
        <v>4182</v>
      </c>
      <c r="S799" s="1" t="s">
        <v>4139</v>
      </c>
      <c r="T799" s="14">
        <v>47696</v>
      </c>
      <c r="U799" s="1" t="s">
        <v>4194</v>
      </c>
      <c r="V799" s="1" t="s">
        <v>36</v>
      </c>
      <c r="W799" s="3" t="str">
        <f t="shared" si="12"/>
        <v>52 tahun</v>
      </c>
      <c r="X799" s="1" t="s">
        <v>248</v>
      </c>
      <c r="Y799" s="1" t="s">
        <v>56</v>
      </c>
      <c r="Z799" s="2">
        <v>37469</v>
      </c>
      <c r="AA799" s="2">
        <v>38718</v>
      </c>
      <c r="AB799" s="2" t="s">
        <v>4195</v>
      </c>
    </row>
    <row r="800" spans="1:28" x14ac:dyDescent="0.35">
      <c r="A800" s="12">
        <v>4607</v>
      </c>
      <c r="B800" s="12">
        <v>7406478</v>
      </c>
      <c r="C800" s="12" t="s">
        <v>219</v>
      </c>
      <c r="D800" s="12">
        <v>50069658</v>
      </c>
      <c r="E800" s="1" t="s">
        <v>4196</v>
      </c>
      <c r="F800" s="1" t="str">
        <f>VLOOKUP(A800,[1]Sheet1!$A$2:$E$1141,5,0)</f>
        <v>Spv of CR Clay Crusher (2/3/4/5)</v>
      </c>
      <c r="G800" s="17" t="str">
        <f>VLOOKUP(A800,[1]Sheet1!$A$2:$F$1141,6,0)</f>
        <v>Supervisor</v>
      </c>
      <c r="H800" s="1" t="s">
        <v>4135</v>
      </c>
      <c r="I800" s="1" t="s">
        <v>1117</v>
      </c>
      <c r="J800" s="1" t="str">
        <f>VLOOKUP(A800,[1]Sheet1!$A$2:$H$1141,8,0)</f>
        <v>Dept. of Mining &amp; Power Plant</v>
      </c>
      <c r="K800" s="1" t="str">
        <f>VLOOKUP(A800,[1]Sheet1!$A$2:$I$1141,9,0)</f>
        <v>Unit of Raw Material Management</v>
      </c>
      <c r="L800" s="1" t="str">
        <f>VLOOKUP(A800,[1]Sheet1!$A$2:$J$1141,10,0)</f>
        <v>Section of Clay Crusher Operation</v>
      </c>
      <c r="M800" s="2">
        <v>27378</v>
      </c>
      <c r="N800" s="1" t="s">
        <v>29</v>
      </c>
      <c r="O800" s="1" t="s">
        <v>30</v>
      </c>
      <c r="P800" s="1" t="s">
        <v>4197</v>
      </c>
      <c r="Q800" s="1" t="s">
        <v>4181</v>
      </c>
      <c r="R800" s="1" t="s">
        <v>4182</v>
      </c>
      <c r="S800" s="1" t="s">
        <v>4139</v>
      </c>
      <c r="T800" s="14">
        <v>47849</v>
      </c>
      <c r="U800" s="1" t="s">
        <v>4198</v>
      </c>
      <c r="V800" s="1" t="s">
        <v>36</v>
      </c>
      <c r="W800" s="3" t="str">
        <f t="shared" si="12"/>
        <v>51 tahun</v>
      </c>
      <c r="X800" s="1" t="s">
        <v>361</v>
      </c>
      <c r="Y800" s="1" t="s">
        <v>56</v>
      </c>
      <c r="Z800" s="2">
        <v>38718</v>
      </c>
      <c r="AA800" s="2">
        <v>41030</v>
      </c>
      <c r="AB800" s="2" t="s">
        <v>4199</v>
      </c>
    </row>
    <row r="801" spans="1:28" x14ac:dyDescent="0.35">
      <c r="A801" s="12">
        <v>5162</v>
      </c>
      <c r="B801" s="12">
        <v>7606533</v>
      </c>
      <c r="C801" s="12" t="s">
        <v>219</v>
      </c>
      <c r="D801" s="12">
        <v>50069659</v>
      </c>
      <c r="E801" s="1" t="s">
        <v>4200</v>
      </c>
      <c r="F801" s="1" t="str">
        <f>VLOOKUP(A801,[1]Sheet1!$A$2:$E$1141,5,0)</f>
        <v>Spv of CR Clay Crusher (2/3/4/5)</v>
      </c>
      <c r="G801" s="17" t="str">
        <f>VLOOKUP(A801,[1]Sheet1!$A$2:$F$1141,6,0)</f>
        <v>Supervisor</v>
      </c>
      <c r="H801" s="1" t="s">
        <v>4135</v>
      </c>
      <c r="I801" s="1" t="s">
        <v>1117</v>
      </c>
      <c r="J801" s="1" t="str">
        <f>VLOOKUP(A801,[1]Sheet1!$A$2:$H$1141,8,0)</f>
        <v>Dept. of Mining &amp; Power Plant</v>
      </c>
      <c r="K801" s="1" t="str">
        <f>VLOOKUP(A801,[1]Sheet1!$A$2:$I$1141,9,0)</f>
        <v>Unit of Raw Material Management</v>
      </c>
      <c r="L801" s="1" t="str">
        <f>VLOOKUP(A801,[1]Sheet1!$A$2:$J$1141,10,0)</f>
        <v>Section of Clay Crusher Operation</v>
      </c>
      <c r="M801" s="2">
        <v>28018</v>
      </c>
      <c r="N801" s="1" t="s">
        <v>29</v>
      </c>
      <c r="O801" s="1" t="s">
        <v>30</v>
      </c>
      <c r="P801" s="1" t="s">
        <v>4201</v>
      </c>
      <c r="Q801" s="1" t="s">
        <v>4181</v>
      </c>
      <c r="R801" s="1" t="s">
        <v>4182</v>
      </c>
      <c r="S801" s="1" t="s">
        <v>4139</v>
      </c>
      <c r="T801" s="14">
        <v>48488</v>
      </c>
      <c r="U801" s="1" t="s">
        <v>4202</v>
      </c>
      <c r="V801" s="1" t="s">
        <v>186</v>
      </c>
      <c r="W801" s="3" t="str">
        <f t="shared" si="12"/>
        <v>49 tahun</v>
      </c>
      <c r="X801" s="1" t="s">
        <v>4203</v>
      </c>
      <c r="Y801" s="1" t="s">
        <v>56</v>
      </c>
      <c r="Z801" s="2">
        <v>38718</v>
      </c>
      <c r="AA801" s="2">
        <v>41030</v>
      </c>
      <c r="AB801" s="2" t="s">
        <v>4204</v>
      </c>
    </row>
    <row r="802" spans="1:28" x14ac:dyDescent="0.35">
      <c r="A802" s="12">
        <v>4732</v>
      </c>
      <c r="B802" s="12">
        <v>7095257</v>
      </c>
      <c r="C802" s="12" t="s">
        <v>50</v>
      </c>
      <c r="D802" s="12">
        <v>50069661</v>
      </c>
      <c r="E802" s="1" t="s">
        <v>4205</v>
      </c>
      <c r="F802" s="1" t="str">
        <f>VLOOKUP(A802,[1]Sheet1!$A$2:$E$1141,5,0)</f>
        <v>Autonomous Clay &amp; SC Crusher Jr Officer</v>
      </c>
      <c r="G802" s="17" t="str">
        <f>VLOOKUP(A802,[1]Sheet1!$A$2:$F$1141,6,0)</f>
        <v>Supervisor</v>
      </c>
      <c r="H802" s="1" t="s">
        <v>4135</v>
      </c>
      <c r="I802" s="1" t="s">
        <v>1117</v>
      </c>
      <c r="J802" s="1" t="str">
        <f>VLOOKUP(A802,[1]Sheet1!$A$2:$H$1141,8,0)</f>
        <v>Dept. of Mining &amp; Power Plant</v>
      </c>
      <c r="K802" s="1" t="str">
        <f>VLOOKUP(A802,[1]Sheet1!$A$2:$I$1141,9,0)</f>
        <v>Unit of Raw Material Management</v>
      </c>
      <c r="L802" s="1" t="str">
        <f>VLOOKUP(A802,[1]Sheet1!$A$2:$J$1141,10,0)</f>
        <v>Section of Clay Crusher Operation</v>
      </c>
      <c r="M802" s="2">
        <v>25826</v>
      </c>
      <c r="N802" s="1" t="s">
        <v>29</v>
      </c>
      <c r="O802" s="1" t="s">
        <v>30</v>
      </c>
      <c r="P802" s="1" t="s">
        <v>4206</v>
      </c>
      <c r="Q802" s="1" t="s">
        <v>4207</v>
      </c>
      <c r="R802" s="1" t="s">
        <v>4208</v>
      </c>
      <c r="S802" s="1" t="s">
        <v>4139</v>
      </c>
      <c r="T802" s="14">
        <v>46296</v>
      </c>
      <c r="U802" s="1" t="s">
        <v>4209</v>
      </c>
      <c r="V802" s="1" t="s">
        <v>186</v>
      </c>
      <c r="W802" s="3" t="str">
        <f t="shared" si="12"/>
        <v>55 tahun</v>
      </c>
      <c r="X802" s="1" t="s">
        <v>91</v>
      </c>
      <c r="Y802" s="1" t="s">
        <v>56</v>
      </c>
      <c r="Z802" s="2">
        <v>35034</v>
      </c>
      <c r="AA802" s="2">
        <v>35400</v>
      </c>
      <c r="AB802" s="2" t="s">
        <v>4210</v>
      </c>
    </row>
    <row r="803" spans="1:28" x14ac:dyDescent="0.35">
      <c r="A803" s="12">
        <v>5194</v>
      </c>
      <c r="B803" s="12">
        <v>7695247</v>
      </c>
      <c r="C803" s="12" t="s">
        <v>50</v>
      </c>
      <c r="D803" s="12">
        <v>50069597</v>
      </c>
      <c r="E803" s="16" t="s">
        <v>4211</v>
      </c>
      <c r="F803" s="1" t="str">
        <f>VLOOKUP(A803,[1]Sheet1!$A$2:$E$1141,5,0)</f>
        <v>Mgr of Mine Planning &amp; Monitoring</v>
      </c>
      <c r="G803" s="16" t="str">
        <f>VLOOKUP(A803,[1]Sheet1!$A$2:$F$1141,6,0)</f>
        <v>Manager</v>
      </c>
      <c r="H803" s="1" t="s">
        <v>4212</v>
      </c>
      <c r="I803" s="1" t="s">
        <v>1117</v>
      </c>
      <c r="J803" s="1" t="str">
        <f>VLOOKUP(A803,[1]Sheet1!$A$2:$H$1141,8,0)</f>
        <v>Dept. of Mining &amp; Power Plant</v>
      </c>
      <c r="K803" s="1" t="str">
        <f>VLOOKUP(A803,[1]Sheet1!$A$2:$I$1141,9,0)</f>
        <v>Unit of Mine Plan</v>
      </c>
      <c r="L803" s="1" t="str">
        <f>VLOOKUP(A803,[1]Sheet1!$A$2:$J$1141,10,0)</f>
        <v>Section of Mine Planning &amp; Monitoring</v>
      </c>
      <c r="M803" s="2">
        <v>27840</v>
      </c>
      <c r="N803" s="1" t="s">
        <v>29</v>
      </c>
      <c r="O803" s="1" t="s">
        <v>30</v>
      </c>
      <c r="P803" s="1" t="s">
        <v>4213</v>
      </c>
      <c r="Q803" s="1" t="s">
        <v>4214</v>
      </c>
      <c r="R803" s="1" t="s">
        <v>4215</v>
      </c>
      <c r="S803" s="1" t="s">
        <v>4216</v>
      </c>
      <c r="T803" s="14">
        <v>48305</v>
      </c>
      <c r="U803" s="1" t="s">
        <v>4217</v>
      </c>
      <c r="V803" s="1" t="s">
        <v>186</v>
      </c>
      <c r="W803" s="3" t="str">
        <f t="shared" si="12"/>
        <v>50 tahun</v>
      </c>
      <c r="X803" s="1" t="s">
        <v>55</v>
      </c>
      <c r="Y803" s="1" t="s">
        <v>56</v>
      </c>
      <c r="Z803" s="2">
        <v>35002</v>
      </c>
      <c r="AA803" s="2">
        <v>35370</v>
      </c>
      <c r="AB803" s="2" t="s">
        <v>4218</v>
      </c>
    </row>
    <row r="804" spans="1:28" x14ac:dyDescent="0.35">
      <c r="A804" s="12">
        <v>4865</v>
      </c>
      <c r="B804" s="12">
        <v>7295183</v>
      </c>
      <c r="C804" s="12" t="s">
        <v>50</v>
      </c>
      <c r="D804" s="12">
        <v>50069600</v>
      </c>
      <c r="E804" s="1" t="s">
        <v>4219</v>
      </c>
      <c r="F804" s="1" t="str">
        <f>VLOOKUP(A804,[1]Sheet1!$A$2:$E$1141,5,0)</f>
        <v>Mine Plan Jr Officer</v>
      </c>
      <c r="G804" s="17" t="str">
        <f>VLOOKUP(A804,[1]Sheet1!$A$2:$F$1141,6,0)</f>
        <v>Supervisor</v>
      </c>
      <c r="H804" s="1" t="s">
        <v>4212</v>
      </c>
      <c r="I804" s="1" t="s">
        <v>1117</v>
      </c>
      <c r="J804" s="1" t="str">
        <f>VLOOKUP(A804,[1]Sheet1!$A$2:$H$1141,8,0)</f>
        <v>Dept. of Mining &amp; Power Plant</v>
      </c>
      <c r="K804" s="1" t="str">
        <f>VLOOKUP(A804,[1]Sheet1!$A$2:$I$1141,9,0)</f>
        <v>Unit of Mine Plan</v>
      </c>
      <c r="L804" s="1" t="str">
        <f>VLOOKUP(A804,[1]Sheet1!$A$2:$J$1141,10,0)</f>
        <v>Section of Mine Planning &amp; Monitoring</v>
      </c>
      <c r="M804" s="2">
        <v>26524</v>
      </c>
      <c r="N804" s="1" t="s">
        <v>29</v>
      </c>
      <c r="O804" s="1" t="s">
        <v>30</v>
      </c>
      <c r="P804" s="1" t="s">
        <v>4220</v>
      </c>
      <c r="Q804" s="1" t="s">
        <v>4221</v>
      </c>
      <c r="R804" s="1" t="s">
        <v>4222</v>
      </c>
      <c r="S804" s="1" t="s">
        <v>4216</v>
      </c>
      <c r="T804" s="14">
        <v>46997</v>
      </c>
      <c r="U804" s="1" t="s">
        <v>4223</v>
      </c>
      <c r="V804" s="1" t="s">
        <v>36</v>
      </c>
      <c r="W804" s="3" t="str">
        <f t="shared" si="12"/>
        <v>54 tahun</v>
      </c>
      <c r="X804" s="1" t="s">
        <v>248</v>
      </c>
      <c r="Y804" s="1" t="s">
        <v>56</v>
      </c>
      <c r="Z804" s="2">
        <v>35002</v>
      </c>
      <c r="AA804" s="2">
        <v>35370</v>
      </c>
      <c r="AB804" s="2" t="s">
        <v>4224</v>
      </c>
    </row>
    <row r="805" spans="1:28" x14ac:dyDescent="0.35">
      <c r="A805" s="12">
        <v>5887</v>
      </c>
      <c r="B805" s="12">
        <v>8612054</v>
      </c>
      <c r="C805" s="12" t="s">
        <v>103</v>
      </c>
      <c r="D805" s="12">
        <v>50069601</v>
      </c>
      <c r="E805" s="1" t="s">
        <v>4225</v>
      </c>
      <c r="F805" s="1" t="str">
        <f>VLOOKUP(A805,[1]Sheet1!$A$2:$E$1141,5,0)</f>
        <v>Mine Plan Jr Officer</v>
      </c>
      <c r="G805" s="17" t="str">
        <f>VLOOKUP(A805,[1]Sheet1!$A$2:$F$1141,6,0)</f>
        <v>Supervisor</v>
      </c>
      <c r="H805" s="1" t="s">
        <v>4212</v>
      </c>
      <c r="I805" s="1" t="s">
        <v>1117</v>
      </c>
      <c r="J805" s="1" t="str">
        <f>VLOOKUP(A805,[1]Sheet1!$A$2:$H$1141,8,0)</f>
        <v>Dept. of Mining &amp; Power Plant</v>
      </c>
      <c r="K805" s="1" t="str">
        <f>VLOOKUP(A805,[1]Sheet1!$A$2:$I$1141,9,0)</f>
        <v>Unit of Mine Plan</v>
      </c>
      <c r="L805" s="1" t="str">
        <f>VLOOKUP(A805,[1]Sheet1!$A$2:$J$1141,10,0)</f>
        <v>Section of Mine Planning &amp; Monitoring</v>
      </c>
      <c r="M805" s="2">
        <v>31689</v>
      </c>
      <c r="N805" s="1" t="s">
        <v>29</v>
      </c>
      <c r="O805" s="1" t="s">
        <v>30</v>
      </c>
      <c r="P805" s="1" t="s">
        <v>4226</v>
      </c>
      <c r="Q805" s="1" t="s">
        <v>4221</v>
      </c>
      <c r="R805" s="1" t="s">
        <v>4222</v>
      </c>
      <c r="S805" s="1" t="s">
        <v>4216</v>
      </c>
      <c r="T805" s="14">
        <v>52171</v>
      </c>
      <c r="U805" s="1" t="s">
        <v>4227</v>
      </c>
      <c r="V805" s="1" t="s">
        <v>36</v>
      </c>
      <c r="W805" s="3" t="str">
        <f t="shared" si="12"/>
        <v>39 tahun</v>
      </c>
      <c r="X805" s="1" t="s">
        <v>112</v>
      </c>
      <c r="Y805" s="1" t="s">
        <v>48</v>
      </c>
      <c r="Z805" s="2">
        <v>41275</v>
      </c>
      <c r="AA805" s="2">
        <v>41395</v>
      </c>
      <c r="AB805" s="2" t="s">
        <v>4228</v>
      </c>
    </row>
    <row r="806" spans="1:28" x14ac:dyDescent="0.35">
      <c r="A806" s="12">
        <v>8267</v>
      </c>
      <c r="B806" s="12">
        <v>9923009</v>
      </c>
      <c r="C806" s="12" t="s">
        <v>158</v>
      </c>
      <c r="D806" s="12">
        <v>50069602</v>
      </c>
      <c r="E806" s="1" t="s">
        <v>4229</v>
      </c>
      <c r="F806" s="1" t="str">
        <f>VLOOKUP(A806,[1]Sheet1!$A$2:$E$1141,5,0)</f>
        <v>Mine Plan Jr Officer</v>
      </c>
      <c r="G806" s="17" t="str">
        <f>VLOOKUP(A806,[1]Sheet1!$A$2:$F$1141,6,0)</f>
        <v>Supervisor</v>
      </c>
      <c r="H806" s="1" t="s">
        <v>4212</v>
      </c>
      <c r="I806" s="1" t="s">
        <v>1117</v>
      </c>
      <c r="J806" s="1" t="str">
        <f>VLOOKUP(A806,[1]Sheet1!$A$2:$H$1141,8,0)</f>
        <v>Dept. of Mining &amp; Power Plant</v>
      </c>
      <c r="K806" s="1" t="str">
        <f>VLOOKUP(A806,[1]Sheet1!$A$2:$I$1141,9,0)</f>
        <v>Unit of Mine Plan</v>
      </c>
      <c r="L806" s="1" t="str">
        <f>VLOOKUP(A806,[1]Sheet1!$A$2:$J$1141,10,0)</f>
        <v>Section of Mine Planning &amp; Monitoring</v>
      </c>
      <c r="M806" s="2">
        <v>36256</v>
      </c>
      <c r="N806" s="1" t="s">
        <v>29</v>
      </c>
      <c r="O806" s="1" t="s">
        <v>30</v>
      </c>
      <c r="P806" s="1" t="s">
        <v>4230</v>
      </c>
      <c r="Q806" s="1" t="s">
        <v>4221</v>
      </c>
      <c r="R806" s="1" t="s">
        <v>4222</v>
      </c>
      <c r="S806" s="1" t="s">
        <v>4216</v>
      </c>
      <c r="T806" s="14">
        <v>56735</v>
      </c>
      <c r="U806" s="1" t="s">
        <v>4231</v>
      </c>
      <c r="V806" s="1" t="s">
        <v>36</v>
      </c>
      <c r="W806" s="3" t="str">
        <f t="shared" si="12"/>
        <v>27 tahun</v>
      </c>
      <c r="X806" s="1" t="s">
        <v>486</v>
      </c>
      <c r="Y806" s="1" t="s">
        <v>48</v>
      </c>
      <c r="Z806" s="2">
        <v>45200</v>
      </c>
      <c r="AA806" s="2">
        <v>45566</v>
      </c>
      <c r="AB806" s="2" t="s">
        <v>4232</v>
      </c>
    </row>
    <row r="807" spans="1:28" x14ac:dyDescent="0.35">
      <c r="A807" s="12">
        <v>6123</v>
      </c>
      <c r="B807" s="12">
        <v>9012292</v>
      </c>
      <c r="C807" s="12" t="s">
        <v>103</v>
      </c>
      <c r="D807" s="12">
        <v>50069604</v>
      </c>
      <c r="E807" s="1" t="s">
        <v>4233</v>
      </c>
      <c r="F807" s="1" t="str">
        <f>VLOOKUP(A807,[1]Sheet1!$A$2:$E$1141,5,0)</f>
        <v>Spv of Mine Mapping &amp; Survey</v>
      </c>
      <c r="G807" s="17" t="str">
        <f>VLOOKUP(A807,[1]Sheet1!$A$2:$F$1141,6,0)</f>
        <v>Supervisor</v>
      </c>
      <c r="H807" s="1" t="s">
        <v>4212</v>
      </c>
      <c r="I807" s="1" t="s">
        <v>1117</v>
      </c>
      <c r="J807" s="1" t="str">
        <f>VLOOKUP(A807,[1]Sheet1!$A$2:$H$1141,8,0)</f>
        <v>Dept. of Mining &amp; Power Plant</v>
      </c>
      <c r="K807" s="1" t="str">
        <f>VLOOKUP(A807,[1]Sheet1!$A$2:$I$1141,9,0)</f>
        <v>Unit of Mine Plan</v>
      </c>
      <c r="L807" s="1" t="str">
        <f>VLOOKUP(A807,[1]Sheet1!$A$2:$J$1141,10,0)</f>
        <v>Section of Mine Planning &amp; Monitoring</v>
      </c>
      <c r="M807" s="2">
        <v>33135</v>
      </c>
      <c r="N807" s="1" t="s">
        <v>29</v>
      </c>
      <c r="O807" s="1" t="s">
        <v>30</v>
      </c>
      <c r="P807" s="1" t="s">
        <v>4234</v>
      </c>
      <c r="Q807" s="1" t="s">
        <v>4235</v>
      </c>
      <c r="R807" s="1" t="s">
        <v>4236</v>
      </c>
      <c r="S807" s="1" t="s">
        <v>4216</v>
      </c>
      <c r="T807" s="14">
        <v>53601</v>
      </c>
      <c r="U807" s="1" t="s">
        <v>4237</v>
      </c>
      <c r="V807" s="1" t="s">
        <v>36</v>
      </c>
      <c r="W807" s="3" t="str">
        <f t="shared" si="12"/>
        <v>35 tahun</v>
      </c>
      <c r="X807" s="1" t="s">
        <v>204</v>
      </c>
      <c r="Y807" s="1" t="s">
        <v>48</v>
      </c>
      <c r="Z807" s="2">
        <v>41275</v>
      </c>
      <c r="AA807" s="2">
        <v>41395</v>
      </c>
      <c r="AB807" s="2" t="s">
        <v>4238</v>
      </c>
    </row>
    <row r="808" spans="1:28" x14ac:dyDescent="0.35">
      <c r="A808" s="12">
        <v>5245</v>
      </c>
      <c r="B808" s="12">
        <v>8002296</v>
      </c>
      <c r="C808" s="12" t="s">
        <v>164</v>
      </c>
      <c r="D808" s="12">
        <v>50069606</v>
      </c>
      <c r="E808" s="1" t="s">
        <v>4239</v>
      </c>
      <c r="F808" s="1" t="str">
        <f>VLOOKUP(A808,[1]Sheet1!$A$2:$E$1141,5,0)</f>
        <v>Spv of Explosive Warehouse</v>
      </c>
      <c r="G808" s="17" t="str">
        <f>VLOOKUP(A808,[1]Sheet1!$A$2:$F$1141,6,0)</f>
        <v>Supervisor</v>
      </c>
      <c r="H808" s="1" t="s">
        <v>4212</v>
      </c>
      <c r="I808" s="1" t="s">
        <v>1117</v>
      </c>
      <c r="J808" s="1" t="str">
        <f>VLOOKUP(A808,[1]Sheet1!$A$2:$H$1141,8,0)</f>
        <v>Dept. of Mining &amp; Power Plant</v>
      </c>
      <c r="K808" s="1" t="str">
        <f>VLOOKUP(A808,[1]Sheet1!$A$2:$I$1141,9,0)</f>
        <v>Unit of Mine Plan</v>
      </c>
      <c r="L808" s="1" t="str">
        <f>VLOOKUP(A808,[1]Sheet1!$A$2:$J$1141,10,0)</f>
        <v>Section of Mine Planning &amp; Monitoring</v>
      </c>
      <c r="M808" s="2">
        <v>29369</v>
      </c>
      <c r="N808" s="1" t="s">
        <v>29</v>
      </c>
      <c r="O808" s="1" t="s">
        <v>30</v>
      </c>
      <c r="P808" s="1" t="s">
        <v>4240</v>
      </c>
      <c r="Q808" s="1" t="s">
        <v>4241</v>
      </c>
      <c r="R808" s="1" t="s">
        <v>4242</v>
      </c>
      <c r="S808" s="1" t="s">
        <v>4216</v>
      </c>
      <c r="T808" s="14">
        <v>49827</v>
      </c>
      <c r="U808" s="1" t="s">
        <v>4243</v>
      </c>
      <c r="V808" s="1" t="s">
        <v>36</v>
      </c>
      <c r="W808" s="3" t="str">
        <f t="shared" si="12"/>
        <v>46 tahun</v>
      </c>
      <c r="X808" s="1" t="s">
        <v>248</v>
      </c>
      <c r="Y808" s="1" t="s">
        <v>56</v>
      </c>
      <c r="Z808" s="2">
        <v>37469</v>
      </c>
      <c r="AA808" s="2">
        <v>38718</v>
      </c>
      <c r="AB808" s="2" t="s">
        <v>4244</v>
      </c>
    </row>
    <row r="809" spans="1:28" x14ac:dyDescent="0.35">
      <c r="A809" s="12">
        <v>4744</v>
      </c>
      <c r="B809" s="12">
        <v>7098014</v>
      </c>
      <c r="C809" s="12" t="s">
        <v>986</v>
      </c>
      <c r="D809" s="12">
        <v>50069598</v>
      </c>
      <c r="E809" s="16" t="s">
        <v>4245</v>
      </c>
      <c r="F809" s="1" t="str">
        <f>VLOOKUP(A809,[1]Sheet1!$A$2:$E$1141,5,0)</f>
        <v>Mgr of Mine Safety Reclamation</v>
      </c>
      <c r="G809" s="16" t="str">
        <f>VLOOKUP(A809,[1]Sheet1!$A$2:$F$1141,6,0)</f>
        <v>Manager</v>
      </c>
      <c r="H809" s="1" t="s">
        <v>4047</v>
      </c>
      <c r="I809" s="1" t="s">
        <v>1117</v>
      </c>
      <c r="J809" s="1" t="str">
        <f>VLOOKUP(A809,[1]Sheet1!$A$2:$H$1141,8,0)</f>
        <v>Dept. of Mining &amp; Power Plant</v>
      </c>
      <c r="K809" s="1" t="str">
        <f>VLOOKUP(A809,[1]Sheet1!$A$2:$I$1141,9,0)</f>
        <v>Unit of Mine Plan</v>
      </c>
      <c r="L809" s="1" t="str">
        <f>VLOOKUP(A809,[1]Sheet1!$A$2:$J$1141,10,0)</f>
        <v>Section of Mine Safety Reclamation</v>
      </c>
      <c r="M809" s="2">
        <v>25888</v>
      </c>
      <c r="N809" s="1" t="s">
        <v>29</v>
      </c>
      <c r="O809" s="1" t="s">
        <v>30</v>
      </c>
      <c r="P809" s="1" t="s">
        <v>4246</v>
      </c>
      <c r="Q809" s="1" t="s">
        <v>4247</v>
      </c>
      <c r="R809" s="1" t="s">
        <v>4248</v>
      </c>
      <c r="S809" s="1" t="s">
        <v>4051</v>
      </c>
      <c r="T809" s="14">
        <v>46357</v>
      </c>
      <c r="U809" s="1" t="s">
        <v>4249</v>
      </c>
      <c r="V809" s="1" t="s">
        <v>36</v>
      </c>
      <c r="W809" s="3" t="str">
        <f t="shared" si="12"/>
        <v>55 tahun</v>
      </c>
      <c r="X809" s="1" t="s">
        <v>55</v>
      </c>
      <c r="Y809" s="1" t="s">
        <v>48</v>
      </c>
      <c r="Z809" s="2">
        <v>35796</v>
      </c>
      <c r="AA809" s="2">
        <v>36161</v>
      </c>
      <c r="AB809" s="2" t="s">
        <v>4250</v>
      </c>
    </row>
    <row r="810" spans="1:28" x14ac:dyDescent="0.35">
      <c r="A810" s="12">
        <v>6152</v>
      </c>
      <c r="B810" s="12">
        <v>9112320</v>
      </c>
      <c r="C810" s="12" t="s">
        <v>103</v>
      </c>
      <c r="D810" s="12">
        <v>50069608</v>
      </c>
      <c r="E810" s="1" t="s">
        <v>4251</v>
      </c>
      <c r="F810" s="1" t="str">
        <f>VLOOKUP(A810,[1]Sheet1!$A$2:$E$1141,5,0)</f>
        <v>Spv of Reclamation</v>
      </c>
      <c r="G810" s="17" t="str">
        <f>VLOOKUP(A810,[1]Sheet1!$A$2:$F$1141,6,0)</f>
        <v>Supervisor</v>
      </c>
      <c r="H810" s="1" t="s">
        <v>4047</v>
      </c>
      <c r="I810" s="1" t="s">
        <v>1117</v>
      </c>
      <c r="J810" s="1" t="str">
        <f>VLOOKUP(A810,[1]Sheet1!$A$2:$H$1141,8,0)</f>
        <v>Dept. of Mining &amp; Power Plant</v>
      </c>
      <c r="K810" s="1" t="str">
        <f>VLOOKUP(A810,[1]Sheet1!$A$2:$I$1141,9,0)</f>
        <v>Unit of Mine Plan</v>
      </c>
      <c r="L810" s="1" t="str">
        <f>VLOOKUP(A810,[1]Sheet1!$A$2:$J$1141,10,0)</f>
        <v>Section of Mine Safety Reclamation</v>
      </c>
      <c r="M810" s="2">
        <v>33251</v>
      </c>
      <c r="N810" s="1" t="s">
        <v>29</v>
      </c>
      <c r="O810" s="1" t="s">
        <v>30</v>
      </c>
      <c r="P810" s="1" t="s">
        <v>4252</v>
      </c>
      <c r="Q810" s="1" t="s">
        <v>4253</v>
      </c>
      <c r="R810" s="1" t="s">
        <v>4254</v>
      </c>
      <c r="S810" s="1" t="s">
        <v>4051</v>
      </c>
      <c r="T810" s="14">
        <v>53724</v>
      </c>
      <c r="U810" s="1" t="s">
        <v>4255</v>
      </c>
      <c r="V810" s="1" t="s">
        <v>36</v>
      </c>
      <c r="W810" s="3" t="str">
        <f t="shared" si="12"/>
        <v>35 tahun</v>
      </c>
      <c r="X810" s="1" t="s">
        <v>356</v>
      </c>
      <c r="Y810" s="1" t="s">
        <v>48</v>
      </c>
      <c r="Z810" s="2">
        <v>41275</v>
      </c>
      <c r="AA810" s="2">
        <v>41426</v>
      </c>
      <c r="AB810" s="2" t="s">
        <v>4256</v>
      </c>
    </row>
    <row r="811" spans="1:28" x14ac:dyDescent="0.35">
      <c r="A811" s="12">
        <v>4770</v>
      </c>
      <c r="B811" s="12">
        <v>7102166</v>
      </c>
      <c r="C811" s="12" t="s">
        <v>164</v>
      </c>
      <c r="D811" s="12">
        <v>50069610</v>
      </c>
      <c r="E811" s="1" t="s">
        <v>4257</v>
      </c>
      <c r="F811" s="1" t="str">
        <f>VLOOKUP(A811,[1]Sheet1!$A$2:$E$1141,5,0)</f>
        <v>Spv of Plant Green Service</v>
      </c>
      <c r="G811" s="17" t="str">
        <f>VLOOKUP(A811,[1]Sheet1!$A$2:$F$1141,6,0)</f>
        <v>Supervisor</v>
      </c>
      <c r="H811" s="1" t="s">
        <v>4047</v>
      </c>
      <c r="I811" s="1" t="s">
        <v>1117</v>
      </c>
      <c r="J811" s="1" t="str">
        <f>VLOOKUP(A811,[1]Sheet1!$A$2:$H$1141,8,0)</f>
        <v>Dept. of Mining &amp; Power Plant</v>
      </c>
      <c r="K811" s="1" t="str">
        <f>VLOOKUP(A811,[1]Sheet1!$A$2:$I$1141,9,0)</f>
        <v>Unit of Mine Plan</v>
      </c>
      <c r="L811" s="1" t="str">
        <f>VLOOKUP(A811,[1]Sheet1!$A$2:$J$1141,10,0)</f>
        <v>Section of Mine Safety Reclamation</v>
      </c>
      <c r="M811" s="2">
        <v>26110</v>
      </c>
      <c r="N811" s="1" t="s">
        <v>29</v>
      </c>
      <c r="O811" s="1" t="s">
        <v>30</v>
      </c>
      <c r="P811" s="1" t="s">
        <v>4258</v>
      </c>
      <c r="Q811" s="1" t="s">
        <v>4259</v>
      </c>
      <c r="R811" s="1" t="s">
        <v>4050</v>
      </c>
      <c r="S811" s="1" t="s">
        <v>4051</v>
      </c>
      <c r="T811" s="14">
        <v>46569</v>
      </c>
      <c r="U811" s="1" t="s">
        <v>4260</v>
      </c>
      <c r="V811" s="1" t="s">
        <v>36</v>
      </c>
      <c r="W811" s="3" t="str">
        <f t="shared" si="12"/>
        <v>55 tahun</v>
      </c>
      <c r="X811" s="1" t="s">
        <v>361</v>
      </c>
      <c r="Y811" s="1" t="s">
        <v>56</v>
      </c>
      <c r="Z811" s="2">
        <v>37469</v>
      </c>
      <c r="AA811" s="2">
        <v>38718</v>
      </c>
      <c r="AB811" s="2" t="s">
        <v>84</v>
      </c>
    </row>
    <row r="812" spans="1:28" x14ac:dyDescent="0.35">
      <c r="A812" s="12">
        <v>4997</v>
      </c>
      <c r="B812" s="12">
        <v>7402240</v>
      </c>
      <c r="C812" s="12" t="s">
        <v>164</v>
      </c>
      <c r="D812" s="12">
        <v>50069612</v>
      </c>
      <c r="E812" s="1" t="s">
        <v>4261</v>
      </c>
      <c r="F812" s="1" t="str">
        <f>VLOOKUP(A812,[1]Sheet1!$A$2:$E$1141,5,0)</f>
        <v>Spv of Mining Safety Supervision</v>
      </c>
      <c r="G812" s="17" t="str">
        <f>VLOOKUP(A812,[1]Sheet1!$A$2:$F$1141,6,0)</f>
        <v>Supervisor</v>
      </c>
      <c r="H812" s="1" t="s">
        <v>4047</v>
      </c>
      <c r="I812" s="1" t="s">
        <v>1117</v>
      </c>
      <c r="J812" s="1" t="str">
        <f>VLOOKUP(A812,[1]Sheet1!$A$2:$H$1141,8,0)</f>
        <v>Dept. of Mining &amp; Power Plant</v>
      </c>
      <c r="K812" s="1" t="str">
        <f>VLOOKUP(A812,[1]Sheet1!$A$2:$I$1141,9,0)</f>
        <v>Unit of Mine Plan</v>
      </c>
      <c r="L812" s="1" t="str">
        <f>VLOOKUP(A812,[1]Sheet1!$A$2:$J$1141,10,0)</f>
        <v>Section of Mine Safety Reclamation</v>
      </c>
      <c r="M812" s="2">
        <v>27042</v>
      </c>
      <c r="N812" s="1" t="s">
        <v>29</v>
      </c>
      <c r="O812" s="1" t="s">
        <v>30</v>
      </c>
      <c r="P812" s="1" t="s">
        <v>4262</v>
      </c>
      <c r="Q812" s="1" t="s">
        <v>4263</v>
      </c>
      <c r="R812" s="1" t="s">
        <v>4264</v>
      </c>
      <c r="S812" s="1" t="s">
        <v>4051</v>
      </c>
      <c r="T812" s="14">
        <v>47515</v>
      </c>
      <c r="U812" s="1" t="s">
        <v>4265</v>
      </c>
      <c r="V812" s="1" t="s">
        <v>36</v>
      </c>
      <c r="W812" s="3" t="str">
        <f t="shared" si="12"/>
        <v>52 tahun</v>
      </c>
      <c r="X812" s="1" t="s">
        <v>4266</v>
      </c>
      <c r="Y812" s="1" t="s">
        <v>48</v>
      </c>
      <c r="Z812" s="2">
        <v>37469</v>
      </c>
      <c r="AA812" s="2">
        <v>38718</v>
      </c>
      <c r="AB812" s="2" t="s">
        <v>84</v>
      </c>
    </row>
    <row r="813" spans="1:28" x14ac:dyDescent="0.35">
      <c r="A813" s="12">
        <v>5392</v>
      </c>
      <c r="B813" s="12">
        <v>8710054</v>
      </c>
      <c r="C813" s="12" t="s">
        <v>139</v>
      </c>
      <c r="D813" s="12">
        <v>50069613</v>
      </c>
      <c r="E813" s="1" t="s">
        <v>4267</v>
      </c>
      <c r="F813" s="1" t="str">
        <f>VLOOKUP(A813,[1]Sheet1!$A$2:$E$1141,5,0)</f>
        <v>Spv of Mining Safety Supervision</v>
      </c>
      <c r="G813" s="17" t="str">
        <f>VLOOKUP(A813,[1]Sheet1!$A$2:$F$1141,6,0)</f>
        <v>Supervisor</v>
      </c>
      <c r="H813" s="1" t="s">
        <v>4047</v>
      </c>
      <c r="I813" s="1" t="s">
        <v>1117</v>
      </c>
      <c r="J813" s="1" t="str">
        <f>VLOOKUP(A813,[1]Sheet1!$A$2:$H$1141,8,0)</f>
        <v>Dept. of Mining &amp; Power Plant</v>
      </c>
      <c r="K813" s="1" t="str">
        <f>VLOOKUP(A813,[1]Sheet1!$A$2:$I$1141,9,0)</f>
        <v>Unit of Mine Plan</v>
      </c>
      <c r="L813" s="1" t="str">
        <f>VLOOKUP(A813,[1]Sheet1!$A$2:$J$1141,10,0)</f>
        <v>Section of Mine Safety Reclamation</v>
      </c>
      <c r="M813" s="2">
        <v>31895</v>
      </c>
      <c r="N813" s="1" t="s">
        <v>29</v>
      </c>
      <c r="O813" s="1" t="s">
        <v>30</v>
      </c>
      <c r="P813" s="1" t="s">
        <v>4268</v>
      </c>
      <c r="Q813" s="1" t="s">
        <v>4263</v>
      </c>
      <c r="R813" s="1" t="s">
        <v>4264</v>
      </c>
      <c r="S813" s="1" t="s">
        <v>4051</v>
      </c>
      <c r="T813" s="14">
        <v>52352</v>
      </c>
      <c r="U813" s="1" t="s">
        <v>4269</v>
      </c>
      <c r="V813" s="1" t="s">
        <v>36</v>
      </c>
      <c r="W813" s="3" t="str">
        <f t="shared" si="12"/>
        <v>39 tahun</v>
      </c>
      <c r="X813" s="1" t="s">
        <v>851</v>
      </c>
      <c r="Y813" s="1" t="s">
        <v>48</v>
      </c>
      <c r="Z813" s="2">
        <v>40544</v>
      </c>
      <c r="AA813" s="2">
        <v>40664</v>
      </c>
      <c r="AB813" s="2" t="s">
        <v>4270</v>
      </c>
    </row>
    <row r="814" spans="1:28" x14ac:dyDescent="0.35">
      <c r="A814" s="12">
        <v>5278</v>
      </c>
      <c r="B814" s="12">
        <v>8208029</v>
      </c>
      <c r="C814" s="12" t="s">
        <v>25</v>
      </c>
      <c r="D814" s="12">
        <v>50065988</v>
      </c>
      <c r="E814" s="13" t="s">
        <v>4271</v>
      </c>
      <c r="F814" s="1" t="str">
        <f>VLOOKUP(A814,[1]Sheet1!$A$2:$E$1141,5,0)</f>
        <v>GM of Project Mngmnt &amp; Maint. Support</v>
      </c>
      <c r="G814" s="13" t="str">
        <f>VLOOKUP(A814,[1]Sheet1!$A$2:$F$1141,6,0)</f>
        <v>General Manager</v>
      </c>
      <c r="H814" s="1" t="s">
        <v>4272</v>
      </c>
      <c r="I814" s="1" t="s">
        <v>1117</v>
      </c>
      <c r="J814" s="1" t="str">
        <f>VLOOKUP(A814,[1]Sheet1!$A$2:$H$1141,8,0)</f>
        <v>Dep. of Project Mngmnt &amp; Maint. Support</v>
      </c>
      <c r="K814" s="1" t="e">
        <f>VLOOKUP(A814,[1]Sheet1!$A$2:$I$1141,9,0)</f>
        <v>#REF!</v>
      </c>
      <c r="L814" s="1" t="e">
        <f>VLOOKUP(A814,[1]Sheet1!$A$2:$J$1141,10,0)</f>
        <v>#REF!</v>
      </c>
      <c r="M814" s="2">
        <v>30283</v>
      </c>
      <c r="N814" s="1" t="s">
        <v>29</v>
      </c>
      <c r="O814" s="1" t="s">
        <v>30</v>
      </c>
      <c r="P814" s="1" t="s">
        <v>4273</v>
      </c>
      <c r="Q814" s="1" t="s">
        <v>4274</v>
      </c>
      <c r="R814" s="1" t="s">
        <v>4275</v>
      </c>
      <c r="S814" s="1" t="s">
        <v>4276</v>
      </c>
      <c r="T814" s="14">
        <v>50740</v>
      </c>
      <c r="U814" s="1" t="s">
        <v>4277</v>
      </c>
      <c r="V814" s="1" t="s">
        <v>36</v>
      </c>
      <c r="W814" s="3" t="str">
        <f t="shared" si="12"/>
        <v>43 tahun</v>
      </c>
      <c r="X814" s="1" t="s">
        <v>4278</v>
      </c>
      <c r="Y814" s="1" t="s">
        <v>48</v>
      </c>
      <c r="Z814" s="2">
        <v>39814</v>
      </c>
      <c r="AA814" s="2">
        <v>39934</v>
      </c>
      <c r="AB814" s="2" t="s">
        <v>4279</v>
      </c>
    </row>
    <row r="815" spans="1:28" x14ac:dyDescent="0.35">
      <c r="A815" s="12">
        <v>5247</v>
      </c>
      <c r="B815" s="12">
        <v>8010004</v>
      </c>
      <c r="C815" s="12" t="s">
        <v>139</v>
      </c>
      <c r="D815" s="12">
        <v>50065990</v>
      </c>
      <c r="E815" s="15" t="s">
        <v>4280</v>
      </c>
      <c r="F815" s="1" t="str">
        <f>VLOOKUP(A815,[1]Sheet1!$A$2:$E$1141,5,0)</f>
        <v>SM of Engineering</v>
      </c>
      <c r="G815" s="15" t="str">
        <f>VLOOKUP(A815,[1]Sheet1!$A$2:$F$1141,6,0)</f>
        <v>Senior Manager</v>
      </c>
      <c r="H815" s="1" t="s">
        <v>4281</v>
      </c>
      <c r="I815" s="1" t="s">
        <v>1117</v>
      </c>
      <c r="J815" s="1" t="str">
        <f>VLOOKUP(A815,[1]Sheet1!$A$2:$H$1141,8,0)</f>
        <v>Dep. of Project Mngmnt &amp; Maint. Support</v>
      </c>
      <c r="K815" s="1" t="str">
        <f>VLOOKUP(A815,[1]Sheet1!$A$2:$I$1141,9,0)</f>
        <v>Unit of Engineering</v>
      </c>
      <c r="L815" s="1" t="e">
        <f>VLOOKUP(A815,[1]Sheet1!$A$2:$J$1141,10,0)</f>
        <v>#REF!</v>
      </c>
      <c r="M815" s="2">
        <v>29378</v>
      </c>
      <c r="N815" s="1" t="s">
        <v>29</v>
      </c>
      <c r="O815" s="1" t="s">
        <v>30</v>
      </c>
      <c r="P815" s="1" t="s">
        <v>4282</v>
      </c>
      <c r="Q815" s="1" t="s">
        <v>4283</v>
      </c>
      <c r="R815" s="1" t="s">
        <v>4284</v>
      </c>
      <c r="S815" s="1" t="s">
        <v>4284</v>
      </c>
      <c r="T815" s="14">
        <v>49857</v>
      </c>
      <c r="U815" s="1" t="s">
        <v>4285</v>
      </c>
      <c r="V815" s="1" t="s">
        <v>36</v>
      </c>
      <c r="W815" s="3" t="str">
        <f t="shared" si="12"/>
        <v>46 tahun</v>
      </c>
      <c r="X815" s="1" t="s">
        <v>55</v>
      </c>
      <c r="Y815" s="1" t="s">
        <v>48</v>
      </c>
      <c r="Z815" s="2">
        <v>40544</v>
      </c>
      <c r="AA815" s="2">
        <v>40664</v>
      </c>
      <c r="AB815" s="2" t="s">
        <v>866</v>
      </c>
    </row>
    <row r="816" spans="1:28" x14ac:dyDescent="0.35">
      <c r="A816" s="12">
        <v>5037</v>
      </c>
      <c r="B816" s="12">
        <v>7495217</v>
      </c>
      <c r="C816" s="12" t="s">
        <v>50</v>
      </c>
      <c r="D816" s="12">
        <v>50066249</v>
      </c>
      <c r="E816" s="1" t="s">
        <v>4286</v>
      </c>
      <c r="F816" s="1" t="str">
        <f>VLOOKUP(A816,[1]Sheet1!$A$2:$E$1141,5,0)</f>
        <v>Mechanical Design Engineer Jr Officer</v>
      </c>
      <c r="G816" s="17" t="str">
        <f>VLOOKUP(A816,[1]Sheet1!$A$2:$F$1141,6,0)</f>
        <v>Supervisor</v>
      </c>
      <c r="H816" s="1" t="s">
        <v>4287</v>
      </c>
      <c r="I816" s="1" t="s">
        <v>1117</v>
      </c>
      <c r="J816" s="1" t="str">
        <f>VLOOKUP(A816,[1]Sheet1!$A$2:$H$1141,8,0)</f>
        <v>Dep. of Project Mngmnt &amp; Maint. Support</v>
      </c>
      <c r="K816" s="1" t="str">
        <f>VLOOKUP(A816,[1]Sheet1!$A$2:$I$1141,9,0)</f>
        <v>Unit of Engineering</v>
      </c>
      <c r="L816" s="1" t="str">
        <f>VLOOKUP(A816,[1]Sheet1!$A$2:$J$1141,10,0)</f>
        <v>Staff of Mechanical Design Engineer</v>
      </c>
      <c r="M816" s="2">
        <v>27177</v>
      </c>
      <c r="N816" s="1" t="s">
        <v>29</v>
      </c>
      <c r="O816" s="1" t="s">
        <v>30</v>
      </c>
      <c r="P816" s="1" t="s">
        <v>4288</v>
      </c>
      <c r="Q816" s="1" t="s">
        <v>4289</v>
      </c>
      <c r="R816" s="1" t="s">
        <v>4290</v>
      </c>
      <c r="S816" s="1" t="s">
        <v>4291</v>
      </c>
      <c r="T816" s="14">
        <v>47635</v>
      </c>
      <c r="U816" s="1" t="s">
        <v>4292</v>
      </c>
      <c r="V816" s="1" t="s">
        <v>36</v>
      </c>
      <c r="W816" s="3" t="str">
        <f t="shared" si="12"/>
        <v>52 tahun</v>
      </c>
      <c r="X816" s="1" t="s">
        <v>55</v>
      </c>
      <c r="Y816" s="1" t="s">
        <v>48</v>
      </c>
      <c r="Z816" s="2">
        <v>35002</v>
      </c>
      <c r="AA816" s="2">
        <v>35370</v>
      </c>
      <c r="AB816" s="2" t="s">
        <v>4293</v>
      </c>
    </row>
    <row r="817" spans="1:28" x14ac:dyDescent="0.35">
      <c r="A817" s="12">
        <v>5298</v>
      </c>
      <c r="B817" s="12">
        <v>8408038</v>
      </c>
      <c r="C817" s="12" t="s">
        <v>25</v>
      </c>
      <c r="D817" s="12">
        <v>50065992</v>
      </c>
      <c r="E817" s="16" t="s">
        <v>4294</v>
      </c>
      <c r="F817" s="1" t="str">
        <f>VLOOKUP(A817,[1]Sheet1!$A$2:$E$1141,5,0)</f>
        <v>Elins Design Engineer Officer</v>
      </c>
      <c r="G817" s="16" t="str">
        <f>VLOOKUP(A817,[1]Sheet1!$A$2:$F$1141,6,0)</f>
        <v>Manager</v>
      </c>
      <c r="H817" s="1" t="s">
        <v>4295</v>
      </c>
      <c r="I817" s="1" t="s">
        <v>1117</v>
      </c>
      <c r="J817" s="1" t="str">
        <f>VLOOKUP(A817,[1]Sheet1!$A$2:$H$1141,8,0)</f>
        <v>Dep. of Project Mngmnt &amp; Maint. Support</v>
      </c>
      <c r="K817" s="1" t="str">
        <f>VLOOKUP(A817,[1]Sheet1!$A$2:$I$1141,9,0)</f>
        <v>Unit of Engineering</v>
      </c>
      <c r="L817" s="1" t="str">
        <f>VLOOKUP(A817,[1]Sheet1!$A$2:$J$1141,10,0)</f>
        <v>Staff of Elins Design Engineer</v>
      </c>
      <c r="M817" s="2">
        <v>30684</v>
      </c>
      <c r="N817" s="1" t="s">
        <v>29</v>
      </c>
      <c r="O817" s="1" t="s">
        <v>30</v>
      </c>
      <c r="P817" s="1" t="s">
        <v>4296</v>
      </c>
      <c r="Q817" s="1" t="s">
        <v>4297</v>
      </c>
      <c r="R817" s="1" t="s">
        <v>4298</v>
      </c>
      <c r="S817" s="1" t="s">
        <v>4299</v>
      </c>
      <c r="T817" s="14">
        <v>51167</v>
      </c>
      <c r="U817" s="1" t="s">
        <v>4300</v>
      </c>
      <c r="V817" s="1" t="s">
        <v>36</v>
      </c>
      <c r="W817" s="3" t="str">
        <f t="shared" si="12"/>
        <v>42 tahun</v>
      </c>
      <c r="X817" s="1" t="s">
        <v>4301</v>
      </c>
      <c r="Y817" s="1" t="s">
        <v>38</v>
      </c>
      <c r="Z817" s="2">
        <v>39814</v>
      </c>
      <c r="AA817" s="2">
        <v>39934</v>
      </c>
      <c r="AB817" s="2" t="s">
        <v>4302</v>
      </c>
    </row>
    <row r="818" spans="1:28" x14ac:dyDescent="0.35">
      <c r="A818" s="12">
        <v>5087</v>
      </c>
      <c r="B818" s="12">
        <v>7495043</v>
      </c>
      <c r="C818" s="12" t="s">
        <v>50</v>
      </c>
      <c r="D818" s="12">
        <v>50066250</v>
      </c>
      <c r="E818" s="1" t="s">
        <v>4303</v>
      </c>
      <c r="F818" s="1" t="str">
        <f>VLOOKUP(A818,[1]Sheet1!$A$2:$E$1141,5,0)</f>
        <v>Elins Design Engineer Jr Officer</v>
      </c>
      <c r="G818" s="17" t="str">
        <f>VLOOKUP(A818,[1]Sheet1!$A$2:$F$1141,6,0)</f>
        <v>Supervisor</v>
      </c>
      <c r="H818" s="1" t="s">
        <v>4295</v>
      </c>
      <c r="I818" s="1" t="s">
        <v>1117</v>
      </c>
      <c r="J818" s="1" t="str">
        <f>VLOOKUP(A818,[1]Sheet1!$A$2:$H$1141,8,0)</f>
        <v>Dep. of Project Mngmnt &amp; Maint. Support</v>
      </c>
      <c r="K818" s="1" t="str">
        <f>VLOOKUP(A818,[1]Sheet1!$A$2:$I$1141,9,0)</f>
        <v>Unit of Engineering</v>
      </c>
      <c r="L818" s="1" t="str">
        <f>VLOOKUP(A818,[1]Sheet1!$A$2:$J$1141,10,0)</f>
        <v>Staff of Elins Design Engineer</v>
      </c>
      <c r="M818" s="2">
        <v>27355</v>
      </c>
      <c r="N818" s="1" t="s">
        <v>29</v>
      </c>
      <c r="O818" s="1" t="s">
        <v>30</v>
      </c>
      <c r="P818" s="1" t="s">
        <v>4304</v>
      </c>
      <c r="Q818" s="1" t="s">
        <v>4297</v>
      </c>
      <c r="R818" s="1" t="s">
        <v>4298</v>
      </c>
      <c r="S818" s="1" t="s">
        <v>4299</v>
      </c>
      <c r="T818" s="14">
        <v>47818</v>
      </c>
      <c r="U818" s="1" t="s">
        <v>4305</v>
      </c>
      <c r="V818" s="1" t="s">
        <v>36</v>
      </c>
      <c r="W818" s="3" t="str">
        <f t="shared" si="12"/>
        <v>51 tahun</v>
      </c>
      <c r="X818" s="1" t="s">
        <v>55</v>
      </c>
      <c r="Y818" s="1" t="s">
        <v>56</v>
      </c>
      <c r="Z818" s="2">
        <v>34897</v>
      </c>
      <c r="AA818" s="2">
        <v>35278</v>
      </c>
      <c r="AB818" s="2" t="s">
        <v>1993</v>
      </c>
    </row>
    <row r="819" spans="1:28" x14ac:dyDescent="0.35">
      <c r="A819" s="12">
        <v>5372</v>
      </c>
      <c r="B819" s="12">
        <v>8610045</v>
      </c>
      <c r="C819" s="12" t="s">
        <v>139</v>
      </c>
      <c r="D819" s="12">
        <v>50065993</v>
      </c>
      <c r="E819" s="16" t="s">
        <v>4306</v>
      </c>
      <c r="F819" s="1" t="str">
        <f>VLOOKUP(A819,[1]Sheet1!$A$2:$E$1141,5,0)</f>
        <v>Civil Design Engineer Officer</v>
      </c>
      <c r="G819" s="16" t="str">
        <f>VLOOKUP(A819,[1]Sheet1!$A$2:$F$1141,6,0)</f>
        <v>Manager</v>
      </c>
      <c r="H819" s="1" t="s">
        <v>4307</v>
      </c>
      <c r="I819" s="1" t="s">
        <v>1117</v>
      </c>
      <c r="J819" s="1" t="str">
        <f>VLOOKUP(A819,[1]Sheet1!$A$2:$H$1141,8,0)</f>
        <v>Dep. of Project Mngmnt &amp; Maint. Support</v>
      </c>
      <c r="K819" s="1" t="str">
        <f>VLOOKUP(A819,[1]Sheet1!$A$2:$I$1141,9,0)</f>
        <v>Unit of Engineering</v>
      </c>
      <c r="L819" s="1" t="str">
        <f>VLOOKUP(A819,[1]Sheet1!$A$2:$J$1141,10,0)</f>
        <v>Staff of Civil Design Engineer</v>
      </c>
      <c r="M819" s="2">
        <v>31623</v>
      </c>
      <c r="N819" s="1" t="s">
        <v>59</v>
      </c>
      <c r="O819" s="1" t="s">
        <v>30</v>
      </c>
      <c r="P819" s="1" t="s">
        <v>4308</v>
      </c>
      <c r="Q819" s="1" t="s">
        <v>4309</v>
      </c>
      <c r="R819" s="1" t="s">
        <v>4310</v>
      </c>
      <c r="S819" s="1" t="s">
        <v>4311</v>
      </c>
      <c r="T819" s="14">
        <v>52079</v>
      </c>
      <c r="U819" s="1" t="s">
        <v>4312</v>
      </c>
      <c r="V819" s="1" t="s">
        <v>36</v>
      </c>
      <c r="W819" s="3" t="str">
        <f t="shared" si="12"/>
        <v>40 tahun</v>
      </c>
      <c r="X819" s="1" t="s">
        <v>4313</v>
      </c>
      <c r="Y819" s="1" t="s">
        <v>68</v>
      </c>
      <c r="Z819" s="2">
        <v>40544</v>
      </c>
      <c r="AA819" s="2">
        <v>40664</v>
      </c>
      <c r="AB819" s="2" t="s">
        <v>4314</v>
      </c>
    </row>
    <row r="820" spans="1:28" x14ac:dyDescent="0.35">
      <c r="A820" s="12">
        <v>5925</v>
      </c>
      <c r="B820" s="12">
        <v>8712091</v>
      </c>
      <c r="C820" s="12" t="s">
        <v>103</v>
      </c>
      <c r="D820" s="12">
        <v>50066251</v>
      </c>
      <c r="E820" s="1" t="s">
        <v>4315</v>
      </c>
      <c r="F820" s="1" t="str">
        <f>VLOOKUP(A820,[1]Sheet1!$A$2:$E$1141,5,0)</f>
        <v>Civil Design Engineer Jr Officer</v>
      </c>
      <c r="G820" s="17" t="str">
        <f>VLOOKUP(A820,[1]Sheet1!$A$2:$F$1141,6,0)</f>
        <v>Supervisor</v>
      </c>
      <c r="H820" s="1" t="s">
        <v>4307</v>
      </c>
      <c r="I820" s="1" t="s">
        <v>1117</v>
      </c>
      <c r="J820" s="1" t="str">
        <f>VLOOKUP(A820,[1]Sheet1!$A$2:$H$1141,8,0)</f>
        <v>Dep. of Project Mngmnt &amp; Maint. Support</v>
      </c>
      <c r="K820" s="1" t="str">
        <f>VLOOKUP(A820,[1]Sheet1!$A$2:$I$1141,9,0)</f>
        <v>Unit of Engineering</v>
      </c>
      <c r="L820" s="1" t="str">
        <f>VLOOKUP(A820,[1]Sheet1!$A$2:$J$1141,10,0)</f>
        <v>Staff of Civil Design Engineer</v>
      </c>
      <c r="M820" s="2">
        <v>31988</v>
      </c>
      <c r="N820" s="1" t="s">
        <v>29</v>
      </c>
      <c r="O820" s="1" t="s">
        <v>30</v>
      </c>
      <c r="P820" s="1" t="s">
        <v>4316</v>
      </c>
      <c r="Q820" s="1" t="s">
        <v>4309</v>
      </c>
      <c r="R820" s="1" t="s">
        <v>4310</v>
      </c>
      <c r="S820" s="1" t="s">
        <v>4311</v>
      </c>
      <c r="T820" s="14">
        <v>52444</v>
      </c>
      <c r="U820" s="1" t="s">
        <v>4317</v>
      </c>
      <c r="V820" s="1" t="s">
        <v>36</v>
      </c>
      <c r="W820" s="3" t="str">
        <f t="shared" si="12"/>
        <v>39 tahun</v>
      </c>
      <c r="X820" s="1" t="s">
        <v>55</v>
      </c>
      <c r="Y820" s="1" t="s">
        <v>48</v>
      </c>
      <c r="Z820" s="2">
        <v>41275</v>
      </c>
      <c r="AA820" s="2">
        <v>41365</v>
      </c>
      <c r="AB820" s="2" t="s">
        <v>4318</v>
      </c>
    </row>
    <row r="821" spans="1:28" x14ac:dyDescent="0.35">
      <c r="A821" s="12">
        <v>5400</v>
      </c>
      <c r="B821" s="12">
        <v>8710082</v>
      </c>
      <c r="C821" s="12" t="s">
        <v>139</v>
      </c>
      <c r="D821" s="12">
        <v>50065994</v>
      </c>
      <c r="E821" s="16" t="s">
        <v>4319</v>
      </c>
      <c r="F821" s="1" t="str">
        <f>VLOOKUP(A821,[1]Sheet1!$A$2:$E$1141,5,0)</f>
        <v>Process Design Engineer Officer</v>
      </c>
      <c r="G821" s="16" t="str">
        <f>VLOOKUP(A821,[1]Sheet1!$A$2:$F$1141,6,0)</f>
        <v>Manager</v>
      </c>
      <c r="H821" s="1" t="s">
        <v>4320</v>
      </c>
      <c r="I821" s="1" t="s">
        <v>1117</v>
      </c>
      <c r="J821" s="1" t="str">
        <f>VLOOKUP(A821,[1]Sheet1!$A$2:$H$1141,8,0)</f>
        <v>Dep. of Project Mngmnt &amp; Maint. Support</v>
      </c>
      <c r="K821" s="1" t="str">
        <f>VLOOKUP(A821,[1]Sheet1!$A$2:$I$1141,9,0)</f>
        <v>Unit of Engineering</v>
      </c>
      <c r="L821" s="1" t="str">
        <f>VLOOKUP(A821,[1]Sheet1!$A$2:$J$1141,10,0)</f>
        <v>Staff of Process Design Engineer</v>
      </c>
      <c r="M821" s="2">
        <v>31981</v>
      </c>
      <c r="N821" s="1" t="s">
        <v>29</v>
      </c>
      <c r="O821" s="1" t="s">
        <v>30</v>
      </c>
      <c r="P821" s="1" t="s">
        <v>4321</v>
      </c>
      <c r="Q821" s="1" t="s">
        <v>4322</v>
      </c>
      <c r="R821" s="1" t="s">
        <v>4323</v>
      </c>
      <c r="S821" s="1" t="s">
        <v>4324</v>
      </c>
      <c r="T821" s="14">
        <v>52444</v>
      </c>
      <c r="U821" s="1" t="s">
        <v>4325</v>
      </c>
      <c r="V821" s="1" t="s">
        <v>36</v>
      </c>
      <c r="W821" s="3" t="str">
        <f t="shared" si="12"/>
        <v>39 tahun</v>
      </c>
      <c r="X821" s="1" t="s">
        <v>824</v>
      </c>
      <c r="Y821" s="1" t="s">
        <v>48</v>
      </c>
      <c r="Z821" s="2">
        <v>40544</v>
      </c>
      <c r="AA821" s="2">
        <v>40695</v>
      </c>
      <c r="AB821" s="2" t="s">
        <v>866</v>
      </c>
    </row>
    <row r="822" spans="1:28" x14ac:dyDescent="0.35">
      <c r="A822" s="12">
        <v>5269</v>
      </c>
      <c r="B822" s="12">
        <v>8208022</v>
      </c>
      <c r="C822" s="12" t="s">
        <v>25</v>
      </c>
      <c r="D822" s="12">
        <v>50066125</v>
      </c>
      <c r="E822" s="15" t="s">
        <v>4326</v>
      </c>
      <c r="F822" s="1" t="str">
        <f>VLOOKUP(A822,[1]Sheet1!$A$2:$E$1141,5,0)</f>
        <v>SM of Project Management</v>
      </c>
      <c r="G822" s="15" t="str">
        <f>VLOOKUP(A822,[1]Sheet1!$A$2:$F$1141,6,0)</f>
        <v>Senior Manager</v>
      </c>
      <c r="H822" s="1" t="s">
        <v>4327</v>
      </c>
      <c r="I822" s="1" t="s">
        <v>1117</v>
      </c>
      <c r="J822" s="1" t="str">
        <f>VLOOKUP(A822,[1]Sheet1!$A$2:$H$1141,8,0)</f>
        <v>Dep. of Project Mngmnt &amp; Maint. Support</v>
      </c>
      <c r="K822" s="1" t="str">
        <f>VLOOKUP(A822,[1]Sheet1!$A$2:$I$1141,9,0)</f>
        <v>Unit of Project Management</v>
      </c>
      <c r="L822" s="1" t="e">
        <f>VLOOKUP(A822,[1]Sheet1!$A$2:$J$1141,10,0)</f>
        <v>#REF!</v>
      </c>
      <c r="M822" s="2">
        <v>30058</v>
      </c>
      <c r="N822" s="1" t="s">
        <v>29</v>
      </c>
      <c r="O822" s="1" t="s">
        <v>30</v>
      </c>
      <c r="P822" s="1" t="s">
        <v>4328</v>
      </c>
      <c r="Q822" s="1" t="s">
        <v>4329</v>
      </c>
      <c r="R822" s="1" t="s">
        <v>4330</v>
      </c>
      <c r="S822" s="1" t="s">
        <v>4331</v>
      </c>
      <c r="T822" s="14">
        <v>50526</v>
      </c>
      <c r="U822" s="1" t="s">
        <v>4332</v>
      </c>
      <c r="V822" s="1" t="s">
        <v>36</v>
      </c>
      <c r="W822" s="3" t="str">
        <f t="shared" si="12"/>
        <v>44 tahun</v>
      </c>
      <c r="X822" s="1" t="s">
        <v>4333</v>
      </c>
      <c r="Y822" s="1" t="s">
        <v>38</v>
      </c>
      <c r="Z822" s="2">
        <v>39814</v>
      </c>
      <c r="AA822" s="2">
        <v>39934</v>
      </c>
      <c r="AB822" s="2" t="s">
        <v>4334</v>
      </c>
    </row>
    <row r="823" spans="1:28" x14ac:dyDescent="0.35">
      <c r="A823" s="12">
        <v>5351</v>
      </c>
      <c r="B823" s="12">
        <v>8508083</v>
      </c>
      <c r="C823" s="12" t="s">
        <v>25</v>
      </c>
      <c r="D823" s="12">
        <v>50066127</v>
      </c>
      <c r="E823" s="16" t="s">
        <v>4335</v>
      </c>
      <c r="F823" s="1" t="str">
        <f>VLOOKUP(A823,[1]Sheet1!$A$2:$E$1141,5,0)</f>
        <v>Mgr of Project Execution (Construction)</v>
      </c>
      <c r="G823" s="16" t="str">
        <f>VLOOKUP(A823,[1]Sheet1!$A$2:$F$1141,6,0)</f>
        <v>Manager</v>
      </c>
      <c r="H823" s="1" t="s">
        <v>4336</v>
      </c>
      <c r="I823" s="1" t="s">
        <v>1117</v>
      </c>
      <c r="J823" s="1" t="str">
        <f>VLOOKUP(A823,[1]Sheet1!$A$2:$H$1141,8,0)</f>
        <v>Dep. of Project Mngmnt &amp; Maint. Support</v>
      </c>
      <c r="K823" s="1" t="str">
        <f>VLOOKUP(A823,[1]Sheet1!$A$2:$I$1141,9,0)</f>
        <v>Unit of Project Management</v>
      </c>
      <c r="L823" s="1" t="str">
        <f>VLOOKUP(A823,[1]Sheet1!$A$2:$J$1141,10,0)</f>
        <v>Section of Project Execution (Constr.)</v>
      </c>
      <c r="M823" s="2">
        <v>31297</v>
      </c>
      <c r="N823" s="1" t="s">
        <v>29</v>
      </c>
      <c r="O823" s="1" t="s">
        <v>30</v>
      </c>
      <c r="P823" s="1" t="s">
        <v>4337</v>
      </c>
      <c r="Q823" s="1" t="s">
        <v>4338</v>
      </c>
      <c r="R823" s="1" t="s">
        <v>4339</v>
      </c>
      <c r="S823" s="1" t="s">
        <v>4340</v>
      </c>
      <c r="T823" s="14">
        <v>51775</v>
      </c>
      <c r="U823" s="1" t="s">
        <v>4341</v>
      </c>
      <c r="V823" s="1" t="s">
        <v>36</v>
      </c>
      <c r="W823" s="3" t="str">
        <f t="shared" si="12"/>
        <v>40 tahun</v>
      </c>
      <c r="X823" s="1" t="s">
        <v>4342</v>
      </c>
      <c r="Y823" s="1" t="s">
        <v>48</v>
      </c>
      <c r="Z823" s="2">
        <v>39814</v>
      </c>
      <c r="AA823" s="2">
        <v>39934</v>
      </c>
      <c r="AB823" s="2" t="s">
        <v>4343</v>
      </c>
    </row>
    <row r="824" spans="1:28" x14ac:dyDescent="0.35">
      <c r="A824" s="12">
        <v>6065</v>
      </c>
      <c r="B824" s="12">
        <v>8912232</v>
      </c>
      <c r="C824" s="12" t="s">
        <v>103</v>
      </c>
      <c r="D824" s="12">
        <v>50066428</v>
      </c>
      <c r="E824" s="1" t="s">
        <v>4344</v>
      </c>
      <c r="F824" s="1" t="str">
        <f>VLOOKUP(A824,[1]Sheet1!$A$2:$E$1141,5,0)</f>
        <v>Spv of Civil Infrastructure</v>
      </c>
      <c r="G824" s="17" t="str">
        <f>VLOOKUP(A824,[1]Sheet1!$A$2:$F$1141,6,0)</f>
        <v>Supervisor</v>
      </c>
      <c r="H824" s="1" t="s">
        <v>4336</v>
      </c>
      <c r="I824" s="1" t="s">
        <v>1117</v>
      </c>
      <c r="J824" s="1" t="str">
        <f>VLOOKUP(A824,[1]Sheet1!$A$2:$H$1141,8,0)</f>
        <v>Dep. of Project Mngmnt &amp; Maint. Support</v>
      </c>
      <c r="K824" s="1" t="str">
        <f>VLOOKUP(A824,[1]Sheet1!$A$2:$I$1141,9,0)</f>
        <v>Unit of Project Management</v>
      </c>
      <c r="L824" s="1" t="str">
        <f>VLOOKUP(A824,[1]Sheet1!$A$2:$J$1141,10,0)</f>
        <v>Section of Project Execution (Constr.)</v>
      </c>
      <c r="M824" s="2">
        <v>32865</v>
      </c>
      <c r="N824" s="1" t="s">
        <v>29</v>
      </c>
      <c r="O824" s="1" t="s">
        <v>30</v>
      </c>
      <c r="P824" s="1" t="s">
        <v>4345</v>
      </c>
      <c r="Q824" s="1" t="s">
        <v>4346</v>
      </c>
      <c r="R824" s="1" t="s">
        <v>4347</v>
      </c>
      <c r="S824" s="1" t="s">
        <v>4340</v>
      </c>
      <c r="T824" s="14">
        <v>53328</v>
      </c>
      <c r="U824" s="1" t="s">
        <v>4348</v>
      </c>
      <c r="V824" s="1" t="s">
        <v>36</v>
      </c>
      <c r="W824" s="3" t="str">
        <f t="shared" si="12"/>
        <v>36 tahun</v>
      </c>
      <c r="X824" s="1" t="s">
        <v>101</v>
      </c>
      <c r="Y824" s="1" t="s">
        <v>56</v>
      </c>
      <c r="Z824" s="2">
        <v>41275</v>
      </c>
      <c r="AA824" s="2">
        <v>41395</v>
      </c>
      <c r="AB824" s="2" t="s">
        <v>4349</v>
      </c>
    </row>
    <row r="825" spans="1:28" x14ac:dyDescent="0.35">
      <c r="A825" s="12">
        <v>4833</v>
      </c>
      <c r="B825" s="12">
        <v>7295262</v>
      </c>
      <c r="C825" s="12" t="s">
        <v>50</v>
      </c>
      <c r="D825" s="12">
        <v>50066430</v>
      </c>
      <c r="E825" s="1" t="s">
        <v>4350</v>
      </c>
      <c r="F825" s="1" t="str">
        <f>VLOOKUP(A825,[1]Sheet1!$A$2:$E$1141,5,0)</f>
        <v>Spv of Civil Infrastructure</v>
      </c>
      <c r="G825" s="17" t="str">
        <f>VLOOKUP(A825,[1]Sheet1!$A$2:$F$1141,6,0)</f>
        <v>Supervisor</v>
      </c>
      <c r="H825" s="1" t="s">
        <v>4336</v>
      </c>
      <c r="I825" s="1" t="s">
        <v>1117</v>
      </c>
      <c r="J825" s="1" t="str">
        <f>VLOOKUP(A825,[1]Sheet1!$A$2:$H$1141,8,0)</f>
        <v>Dep. of Project Mngmnt &amp; Maint. Support</v>
      </c>
      <c r="K825" s="1" t="str">
        <f>VLOOKUP(A825,[1]Sheet1!$A$2:$I$1141,9,0)</f>
        <v>Unit of Project Management</v>
      </c>
      <c r="L825" s="1" t="str">
        <f>VLOOKUP(A825,[1]Sheet1!$A$2:$J$1141,10,0)</f>
        <v>Section of Project Execution (Constr.)</v>
      </c>
      <c r="M825" s="2">
        <v>26426</v>
      </c>
      <c r="N825" s="1" t="s">
        <v>29</v>
      </c>
      <c r="O825" s="1" t="s">
        <v>30</v>
      </c>
      <c r="P825" s="1" t="s">
        <v>4351</v>
      </c>
      <c r="Q825" s="1" t="s">
        <v>4346</v>
      </c>
      <c r="R825" s="1" t="s">
        <v>4347</v>
      </c>
      <c r="S825" s="1" t="s">
        <v>4340</v>
      </c>
      <c r="T825" s="14">
        <v>46905</v>
      </c>
      <c r="U825" s="1" t="s">
        <v>4352</v>
      </c>
      <c r="V825" s="1" t="s">
        <v>186</v>
      </c>
      <c r="W825" s="3" t="str">
        <f t="shared" si="12"/>
        <v>54 tahun</v>
      </c>
      <c r="X825" s="1" t="s">
        <v>55</v>
      </c>
      <c r="Y825" s="1" t="s">
        <v>56</v>
      </c>
      <c r="Z825" s="2">
        <v>35034</v>
      </c>
      <c r="AA825" s="2">
        <v>35400</v>
      </c>
      <c r="AB825" s="2" t="s">
        <v>4353</v>
      </c>
    </row>
    <row r="826" spans="1:28" x14ac:dyDescent="0.35">
      <c r="A826" s="12">
        <v>4815</v>
      </c>
      <c r="B826" s="12">
        <v>7295148</v>
      </c>
      <c r="C826" s="12" t="s">
        <v>50</v>
      </c>
      <c r="D826" s="12">
        <v>50066423</v>
      </c>
      <c r="E826" s="1" t="s">
        <v>879</v>
      </c>
      <c r="F826" s="1" t="str">
        <f>VLOOKUP(A826,[1]Sheet1!$A$2:$E$1141,5,0)</f>
        <v>Spv of Mechanical &amp; Fabrication</v>
      </c>
      <c r="G826" s="17" t="str">
        <f>VLOOKUP(A826,[1]Sheet1!$A$2:$F$1141,6,0)</f>
        <v>Supervisor</v>
      </c>
      <c r="H826" s="1" t="s">
        <v>4336</v>
      </c>
      <c r="I826" s="1" t="s">
        <v>1117</v>
      </c>
      <c r="J826" s="1" t="str">
        <f>VLOOKUP(A826,[1]Sheet1!$A$2:$H$1141,8,0)</f>
        <v>Dep. of Project Mngmnt &amp; Maint. Support</v>
      </c>
      <c r="K826" s="1" t="str">
        <f>VLOOKUP(A826,[1]Sheet1!$A$2:$I$1141,9,0)</f>
        <v>Unit of Project Management</v>
      </c>
      <c r="L826" s="1" t="str">
        <f>VLOOKUP(A826,[1]Sheet1!$A$2:$J$1141,10,0)</f>
        <v>Section of Project Execution (Constr.)</v>
      </c>
      <c r="M826" s="2">
        <v>26361</v>
      </c>
      <c r="N826" s="1" t="s">
        <v>29</v>
      </c>
      <c r="O826" s="1" t="s">
        <v>30</v>
      </c>
      <c r="P826" s="1" t="s">
        <v>4354</v>
      </c>
      <c r="Q826" s="1" t="s">
        <v>4355</v>
      </c>
      <c r="R826" s="1" t="s">
        <v>4356</v>
      </c>
      <c r="S826" s="1" t="s">
        <v>4340</v>
      </c>
      <c r="T826" s="14">
        <v>46844</v>
      </c>
      <c r="U826" s="1" t="s">
        <v>4357</v>
      </c>
      <c r="V826" s="1" t="s">
        <v>36</v>
      </c>
      <c r="W826" s="3" t="str">
        <f t="shared" si="12"/>
        <v>54 tahun</v>
      </c>
      <c r="X826" s="1" t="s">
        <v>356</v>
      </c>
      <c r="Y826" s="1" t="s">
        <v>56</v>
      </c>
      <c r="Z826" s="2">
        <v>34943</v>
      </c>
      <c r="AA826" s="2">
        <v>35309</v>
      </c>
      <c r="AB826" s="2" t="s">
        <v>4358</v>
      </c>
    </row>
    <row r="827" spans="1:28" x14ac:dyDescent="0.35">
      <c r="A827" s="12">
        <v>6138</v>
      </c>
      <c r="B827" s="12">
        <v>9012306</v>
      </c>
      <c r="C827" s="12" t="s">
        <v>103</v>
      </c>
      <c r="D827" s="12">
        <v>50066424</v>
      </c>
      <c r="E827" s="1" t="s">
        <v>4359</v>
      </c>
      <c r="F827" s="1" t="str">
        <f>VLOOKUP(A827,[1]Sheet1!$A$2:$E$1141,5,0)</f>
        <v>Spv of Mechanical &amp; Fabrication</v>
      </c>
      <c r="G827" s="17" t="str">
        <f>VLOOKUP(A827,[1]Sheet1!$A$2:$F$1141,6,0)</f>
        <v>Supervisor</v>
      </c>
      <c r="H827" s="1" t="s">
        <v>4336</v>
      </c>
      <c r="I827" s="1" t="s">
        <v>1117</v>
      </c>
      <c r="J827" s="1" t="str">
        <f>VLOOKUP(A827,[1]Sheet1!$A$2:$H$1141,8,0)</f>
        <v>Dep. of Project Mngmnt &amp; Maint. Support</v>
      </c>
      <c r="K827" s="1" t="str">
        <f>VLOOKUP(A827,[1]Sheet1!$A$2:$I$1141,9,0)</f>
        <v>Unit of Project Management</v>
      </c>
      <c r="L827" s="1" t="str">
        <f>VLOOKUP(A827,[1]Sheet1!$A$2:$J$1141,10,0)</f>
        <v>Section of Project Execution (Constr.)</v>
      </c>
      <c r="M827" s="2">
        <v>33188</v>
      </c>
      <c r="N827" s="1" t="s">
        <v>29</v>
      </c>
      <c r="O827" s="1" t="s">
        <v>30</v>
      </c>
      <c r="P827" s="1" t="s">
        <v>4360</v>
      </c>
      <c r="Q827" s="1" t="s">
        <v>4355</v>
      </c>
      <c r="R827" s="1" t="s">
        <v>4356</v>
      </c>
      <c r="S827" s="1" t="s">
        <v>4340</v>
      </c>
      <c r="T827" s="14">
        <v>53662</v>
      </c>
      <c r="U827" s="1" t="s">
        <v>4361</v>
      </c>
      <c r="V827" s="1" t="s">
        <v>36</v>
      </c>
      <c r="W827" s="3" t="str">
        <f t="shared" si="12"/>
        <v>35 tahun</v>
      </c>
      <c r="X827" s="1" t="s">
        <v>121</v>
      </c>
      <c r="Y827" s="1" t="s">
        <v>56</v>
      </c>
      <c r="Z827" s="2">
        <v>41275</v>
      </c>
      <c r="AA827" s="2">
        <v>41456</v>
      </c>
      <c r="AB827" s="2" t="s">
        <v>4362</v>
      </c>
    </row>
    <row r="828" spans="1:28" x14ac:dyDescent="0.35">
      <c r="A828" s="12">
        <v>5903</v>
      </c>
      <c r="B828" s="12">
        <v>8712071</v>
      </c>
      <c r="C828" s="12" t="s">
        <v>103</v>
      </c>
      <c r="D828" s="12">
        <v>50066421</v>
      </c>
      <c r="E828" s="1" t="s">
        <v>4363</v>
      </c>
      <c r="F828" s="1" t="str">
        <f>VLOOKUP(A828,[1]Sheet1!$A$2:$E$1141,5,0)</f>
        <v>Spv of Elins Construction</v>
      </c>
      <c r="G828" s="17" t="str">
        <f>VLOOKUP(A828,[1]Sheet1!$A$2:$F$1141,6,0)</f>
        <v>Supervisor</v>
      </c>
      <c r="H828" s="1" t="s">
        <v>4336</v>
      </c>
      <c r="I828" s="1" t="s">
        <v>1117</v>
      </c>
      <c r="J828" s="1" t="str">
        <f>VLOOKUP(A828,[1]Sheet1!$A$2:$H$1141,8,0)</f>
        <v>Dep. of Project Mngmnt &amp; Maint. Support</v>
      </c>
      <c r="K828" s="1" t="str">
        <f>VLOOKUP(A828,[1]Sheet1!$A$2:$I$1141,9,0)</f>
        <v>Unit of Project Management</v>
      </c>
      <c r="L828" s="1" t="str">
        <f>VLOOKUP(A828,[1]Sheet1!$A$2:$J$1141,10,0)</f>
        <v>Section of Project Execution (Constr.)</v>
      </c>
      <c r="M828" s="2">
        <v>31820</v>
      </c>
      <c r="N828" s="1" t="s">
        <v>29</v>
      </c>
      <c r="O828" s="1" t="s">
        <v>30</v>
      </c>
      <c r="P828" s="1" t="s">
        <v>4364</v>
      </c>
      <c r="Q828" s="1" t="s">
        <v>4365</v>
      </c>
      <c r="R828" s="1" t="s">
        <v>4366</v>
      </c>
      <c r="S828" s="1" t="s">
        <v>4340</v>
      </c>
      <c r="T828" s="14">
        <v>52291</v>
      </c>
      <c r="U828" s="1" t="s">
        <v>4367</v>
      </c>
      <c r="V828" s="1" t="s">
        <v>36</v>
      </c>
      <c r="W828" s="3" t="str">
        <f t="shared" si="12"/>
        <v>39 tahun</v>
      </c>
      <c r="X828" s="1" t="s">
        <v>2069</v>
      </c>
      <c r="Y828" s="1" t="s">
        <v>56</v>
      </c>
      <c r="Z828" s="2">
        <v>41275</v>
      </c>
      <c r="AA828" s="2">
        <v>41395</v>
      </c>
      <c r="AB828" s="2" t="s">
        <v>2527</v>
      </c>
    </row>
    <row r="829" spans="1:28" x14ac:dyDescent="0.35">
      <c r="A829" s="12">
        <v>4806</v>
      </c>
      <c r="B829" s="12">
        <v>7295002</v>
      </c>
      <c r="C829" s="12" t="s">
        <v>50</v>
      </c>
      <c r="D829" s="12">
        <v>50069443</v>
      </c>
      <c r="E829" s="1" t="s">
        <v>4368</v>
      </c>
      <c r="F829" s="1" t="str">
        <f>VLOOKUP(A829,[1]Sheet1!$A$2:$E$1141,5,0)</f>
        <v>Capex Inventory Control Jr Officer</v>
      </c>
      <c r="G829" s="17" t="str">
        <f>VLOOKUP(A829,[1]Sheet1!$A$2:$F$1141,6,0)</f>
        <v>Supervisor</v>
      </c>
      <c r="H829" s="1" t="s">
        <v>4336</v>
      </c>
      <c r="I829" s="1" t="s">
        <v>1117</v>
      </c>
      <c r="J829" s="1" t="str">
        <f>VLOOKUP(A829,[1]Sheet1!$A$2:$H$1141,8,0)</f>
        <v>Dep. of Project Mngmnt &amp; Maint. Support</v>
      </c>
      <c r="K829" s="1" t="str">
        <f>VLOOKUP(A829,[1]Sheet1!$A$2:$I$1141,9,0)</f>
        <v>Unit of Project Management</v>
      </c>
      <c r="L829" s="1" t="str">
        <f>VLOOKUP(A829,[1]Sheet1!$A$2:$J$1141,10,0)</f>
        <v>Section of Project Execution (Constr.)</v>
      </c>
      <c r="M829" s="2">
        <v>26358</v>
      </c>
      <c r="N829" s="1" t="s">
        <v>29</v>
      </c>
      <c r="O829" s="1" t="s">
        <v>30</v>
      </c>
      <c r="P829" s="1" t="s">
        <v>4369</v>
      </c>
      <c r="Q829" s="1" t="s">
        <v>4370</v>
      </c>
      <c r="R829" s="1" t="s">
        <v>4371</v>
      </c>
      <c r="S829" s="1" t="s">
        <v>4340</v>
      </c>
      <c r="T829" s="14">
        <v>46813</v>
      </c>
      <c r="U829" s="1" t="s">
        <v>4372</v>
      </c>
      <c r="V829" s="1" t="s">
        <v>36</v>
      </c>
      <c r="W829" s="3" t="str">
        <f t="shared" si="12"/>
        <v>54 tahun</v>
      </c>
      <c r="X829" s="1" t="s">
        <v>248</v>
      </c>
      <c r="Y829" s="1" t="s">
        <v>56</v>
      </c>
      <c r="Z829" s="2">
        <v>34897</v>
      </c>
      <c r="AA829" s="2">
        <v>35278</v>
      </c>
      <c r="AB829" s="2" t="s">
        <v>4373</v>
      </c>
    </row>
    <row r="830" spans="1:28" x14ac:dyDescent="0.35">
      <c r="A830" s="12">
        <v>5068</v>
      </c>
      <c r="B830" s="12">
        <v>7495224</v>
      </c>
      <c r="C830" s="12" t="s">
        <v>50</v>
      </c>
      <c r="D830" s="12">
        <v>50066129</v>
      </c>
      <c r="E830" s="16" t="s">
        <v>4374</v>
      </c>
      <c r="F830" s="1" t="str">
        <f>VLOOKUP(A830,[1]Sheet1!$A$2:$E$1141,5,0)</f>
        <v>Overhaul Management Officer</v>
      </c>
      <c r="G830" s="16" t="str">
        <f>VLOOKUP(A830,[1]Sheet1!$A$2:$F$1141,6,0)</f>
        <v>Manager</v>
      </c>
      <c r="H830" s="1" t="s">
        <v>4375</v>
      </c>
      <c r="I830" s="1" t="s">
        <v>1117</v>
      </c>
      <c r="J830" s="1" t="str">
        <f>VLOOKUP(A830,[1]Sheet1!$A$2:$H$1141,8,0)</f>
        <v>Dep. of Project Mngmnt &amp; Maint. Support</v>
      </c>
      <c r="K830" s="1" t="str">
        <f>VLOOKUP(A830,[1]Sheet1!$A$2:$I$1141,9,0)</f>
        <v>Unit of Project Management</v>
      </c>
      <c r="L830" s="1" t="str">
        <f>VLOOKUP(A830,[1]Sheet1!$A$2:$J$1141,10,0)</f>
        <v>Staff of OVH Management</v>
      </c>
      <c r="M830" s="2">
        <v>27243</v>
      </c>
      <c r="N830" s="1" t="s">
        <v>29</v>
      </c>
      <c r="O830" s="1" t="s">
        <v>30</v>
      </c>
      <c r="P830" s="1" t="s">
        <v>4376</v>
      </c>
      <c r="Q830" s="1" t="s">
        <v>4377</v>
      </c>
      <c r="R830" s="1" t="s">
        <v>4378</v>
      </c>
      <c r="S830" s="1" t="s">
        <v>4379</v>
      </c>
      <c r="T830" s="14">
        <v>47727</v>
      </c>
      <c r="U830" s="1" t="s">
        <v>4380</v>
      </c>
      <c r="V830" s="1" t="s">
        <v>36</v>
      </c>
      <c r="W830" s="3" t="str">
        <f t="shared" si="12"/>
        <v>52 tahun</v>
      </c>
      <c r="X830" s="1" t="s">
        <v>873</v>
      </c>
      <c r="Y830" s="1" t="s">
        <v>48</v>
      </c>
      <c r="Z830" s="2">
        <v>35002</v>
      </c>
      <c r="AA830" s="2">
        <v>35370</v>
      </c>
      <c r="AB830" s="2" t="s">
        <v>4381</v>
      </c>
    </row>
    <row r="831" spans="1:28" x14ac:dyDescent="0.35">
      <c r="A831" s="12">
        <v>5423</v>
      </c>
      <c r="B831" s="12">
        <v>8810095</v>
      </c>
      <c r="C831" s="12" t="s">
        <v>139</v>
      </c>
      <c r="D831" s="12">
        <v>50067133</v>
      </c>
      <c r="E831" s="16" t="s">
        <v>4382</v>
      </c>
      <c r="F831" s="1" t="str">
        <f>VLOOKUP(A831,[1]Sheet1!$A$2:$E$1141,5,0)</f>
        <v>Overhaul Management Officer</v>
      </c>
      <c r="G831" s="16" t="str">
        <f>VLOOKUP(A831,[1]Sheet1!$A$2:$F$1141,6,0)</f>
        <v>Manager</v>
      </c>
      <c r="H831" s="1" t="s">
        <v>4375</v>
      </c>
      <c r="I831" s="1" t="s">
        <v>1117</v>
      </c>
      <c r="J831" s="1" t="str">
        <f>VLOOKUP(A831,[1]Sheet1!$A$2:$H$1141,8,0)</f>
        <v>Dep. of Project Mngmnt &amp; Maint. Support</v>
      </c>
      <c r="K831" s="1" t="str">
        <f>VLOOKUP(A831,[1]Sheet1!$A$2:$I$1141,9,0)</f>
        <v>Unit of Project Management</v>
      </c>
      <c r="L831" s="1" t="str">
        <f>VLOOKUP(A831,[1]Sheet1!$A$2:$J$1141,10,0)</f>
        <v>Staff of OVH Management</v>
      </c>
      <c r="M831" s="2">
        <v>32484</v>
      </c>
      <c r="N831" s="1" t="s">
        <v>29</v>
      </c>
      <c r="O831" s="1" t="s">
        <v>30</v>
      </c>
      <c r="P831" s="1" t="s">
        <v>4383</v>
      </c>
      <c r="Q831" s="1" t="s">
        <v>4377</v>
      </c>
      <c r="R831" s="1" t="s">
        <v>4378</v>
      </c>
      <c r="S831" s="1" t="s">
        <v>4379</v>
      </c>
      <c r="T831" s="14">
        <v>52963</v>
      </c>
      <c r="U831" s="1" t="s">
        <v>4384</v>
      </c>
      <c r="V831" s="1" t="s">
        <v>186</v>
      </c>
      <c r="W831" s="3" t="str">
        <f t="shared" si="12"/>
        <v>37 tahun</v>
      </c>
      <c r="X831" s="1" t="s">
        <v>4385</v>
      </c>
      <c r="Y831" s="1" t="s">
        <v>48</v>
      </c>
      <c r="Z831" s="2">
        <v>40544</v>
      </c>
      <c r="AA831" s="2">
        <v>40695</v>
      </c>
      <c r="AB831" s="2" t="s">
        <v>4386</v>
      </c>
    </row>
    <row r="832" spans="1:28" x14ac:dyDescent="0.35">
      <c r="A832" s="12">
        <v>5995</v>
      </c>
      <c r="B832" s="12">
        <v>8912162</v>
      </c>
      <c r="C832" s="12" t="s">
        <v>103</v>
      </c>
      <c r="D832" s="12">
        <v>50066414</v>
      </c>
      <c r="E832" s="1" t="s">
        <v>4387</v>
      </c>
      <c r="F832" s="1" t="str">
        <f>VLOOKUP(A832,[1]Sheet1!$A$2:$E$1141,5,0)</f>
        <v>Overhaul Management Jr Officer</v>
      </c>
      <c r="G832" s="17" t="str">
        <f>VLOOKUP(A832,[1]Sheet1!$A$2:$F$1141,6,0)</f>
        <v>Supervisor</v>
      </c>
      <c r="H832" s="1" t="s">
        <v>4375</v>
      </c>
      <c r="I832" s="1" t="s">
        <v>1117</v>
      </c>
      <c r="J832" s="1" t="str">
        <f>VLOOKUP(A832,[1]Sheet1!$A$2:$H$1141,8,0)</f>
        <v>Dep. of Project Mngmnt &amp; Maint. Support</v>
      </c>
      <c r="K832" s="1" t="str">
        <f>VLOOKUP(A832,[1]Sheet1!$A$2:$I$1141,9,0)</f>
        <v>Unit of Project Management</v>
      </c>
      <c r="L832" s="1" t="str">
        <f>VLOOKUP(A832,[1]Sheet1!$A$2:$J$1141,10,0)</f>
        <v>Staff of OVH Management</v>
      </c>
      <c r="M832" s="2">
        <v>32523</v>
      </c>
      <c r="N832" s="1" t="s">
        <v>29</v>
      </c>
      <c r="O832" s="1" t="s">
        <v>30</v>
      </c>
      <c r="P832" s="1" t="s">
        <v>4388</v>
      </c>
      <c r="Q832" s="1" t="s">
        <v>4377</v>
      </c>
      <c r="R832" s="1" t="s">
        <v>4378</v>
      </c>
      <c r="S832" s="1" t="s">
        <v>4379</v>
      </c>
      <c r="T832" s="14">
        <v>52994</v>
      </c>
      <c r="U832" s="1" t="s">
        <v>4389</v>
      </c>
      <c r="V832" s="1" t="s">
        <v>186</v>
      </c>
      <c r="W832" s="3" t="str">
        <f t="shared" si="12"/>
        <v>37 tahun</v>
      </c>
      <c r="X832" s="1" t="s">
        <v>55</v>
      </c>
      <c r="Y832" s="1" t="s">
        <v>56</v>
      </c>
      <c r="Z832" s="2">
        <v>41275</v>
      </c>
      <c r="AA832" s="2">
        <v>41395</v>
      </c>
      <c r="AB832" s="2" t="s">
        <v>4390</v>
      </c>
    </row>
    <row r="833" spans="1:28" x14ac:dyDescent="0.35">
      <c r="A833" s="12">
        <v>4724</v>
      </c>
      <c r="B833" s="12">
        <v>7002137</v>
      </c>
      <c r="C833" s="12" t="s">
        <v>164</v>
      </c>
      <c r="D833" s="12">
        <v>50008229</v>
      </c>
      <c r="E833" s="1" t="s">
        <v>4391</v>
      </c>
      <c r="F833" s="1" t="str">
        <f>VLOOKUP(A833,[1]Sheet1!$A$2:$E$1141,5,0)</f>
        <v>Overhaul Management Jr Officer</v>
      </c>
      <c r="G833" s="17" t="str">
        <f>VLOOKUP(A833,[1]Sheet1!$A$2:$F$1141,6,0)</f>
        <v>Supervisor</v>
      </c>
      <c r="H833" s="1" t="s">
        <v>4375</v>
      </c>
      <c r="I833" s="1" t="s">
        <v>1117</v>
      </c>
      <c r="J833" s="1" t="str">
        <f>VLOOKUP(A833,[1]Sheet1!$A$2:$H$1141,8,0)</f>
        <v>Dep. of Project Mngmnt &amp; Maint. Support</v>
      </c>
      <c r="K833" s="1" t="str">
        <f>VLOOKUP(A833,[1]Sheet1!$A$2:$I$1141,9,0)</f>
        <v>Unit of Project Management</v>
      </c>
      <c r="L833" s="1" t="str">
        <f>VLOOKUP(A833,[1]Sheet1!$A$2:$J$1141,10,0)</f>
        <v>Staff of OVH Management</v>
      </c>
      <c r="M833" s="2">
        <v>25796</v>
      </c>
      <c r="N833" s="1" t="s">
        <v>29</v>
      </c>
      <c r="O833" s="1" t="s">
        <v>30</v>
      </c>
      <c r="P833" s="1" t="s">
        <v>4392</v>
      </c>
      <c r="Q833" s="1" t="s">
        <v>4377</v>
      </c>
      <c r="R833" s="1" t="s">
        <v>4378</v>
      </c>
      <c r="S833" s="1" t="s">
        <v>4379</v>
      </c>
      <c r="T833" s="14">
        <v>46266</v>
      </c>
      <c r="U833" s="1" t="s">
        <v>4393</v>
      </c>
      <c r="V833" s="1" t="s">
        <v>36</v>
      </c>
      <c r="W833" s="3" t="str">
        <f t="shared" si="12"/>
        <v>56 tahun</v>
      </c>
      <c r="X833" s="1" t="s">
        <v>361</v>
      </c>
      <c r="Y833" s="1" t="s">
        <v>56</v>
      </c>
      <c r="Z833" s="2">
        <v>37469</v>
      </c>
      <c r="AA833" s="2">
        <v>38718</v>
      </c>
      <c r="AB833" s="2" t="s">
        <v>4394</v>
      </c>
    </row>
    <row r="834" spans="1:28" x14ac:dyDescent="0.35">
      <c r="A834" s="12">
        <v>6151</v>
      </c>
      <c r="B834" s="12">
        <v>9112399</v>
      </c>
      <c r="C834" s="12" t="s">
        <v>103</v>
      </c>
      <c r="D834" s="12">
        <v>50066416</v>
      </c>
      <c r="E834" s="1" t="s">
        <v>4395</v>
      </c>
      <c r="F834" s="1" t="str">
        <f>VLOOKUP(A834,[1]Sheet1!$A$2:$E$1141,5,0)</f>
        <v>Overhaul Management Jr Officer</v>
      </c>
      <c r="G834" s="17" t="str">
        <f>VLOOKUP(A834,[1]Sheet1!$A$2:$F$1141,6,0)</f>
        <v>Supervisor</v>
      </c>
      <c r="H834" s="1" t="s">
        <v>4375</v>
      </c>
      <c r="I834" s="1" t="s">
        <v>1117</v>
      </c>
      <c r="J834" s="1" t="str">
        <f>VLOOKUP(A834,[1]Sheet1!$A$2:$H$1141,8,0)</f>
        <v>Dep. of Project Mngmnt &amp; Maint. Support</v>
      </c>
      <c r="K834" s="1" t="str">
        <f>VLOOKUP(A834,[1]Sheet1!$A$2:$I$1141,9,0)</f>
        <v>Unit of Project Management</v>
      </c>
      <c r="L834" s="1" t="str">
        <f>VLOOKUP(A834,[1]Sheet1!$A$2:$J$1141,10,0)</f>
        <v>Staff of OVH Management</v>
      </c>
      <c r="M834" s="2">
        <v>33240</v>
      </c>
      <c r="N834" s="1" t="s">
        <v>29</v>
      </c>
      <c r="O834" s="1" t="s">
        <v>30</v>
      </c>
      <c r="P834" s="1" t="s">
        <v>4396</v>
      </c>
      <c r="Q834" s="1" t="s">
        <v>4377</v>
      </c>
      <c r="R834" s="1" t="s">
        <v>4378</v>
      </c>
      <c r="S834" s="1" t="s">
        <v>4379</v>
      </c>
      <c r="T834" s="14">
        <v>53724</v>
      </c>
      <c r="U834" s="1" t="s">
        <v>4397</v>
      </c>
      <c r="V834" s="1" t="s">
        <v>36</v>
      </c>
      <c r="W834" s="3" t="str">
        <f t="shared" si="12"/>
        <v>35 tahun</v>
      </c>
      <c r="X834" s="1" t="s">
        <v>112</v>
      </c>
      <c r="Y834" s="1" t="s">
        <v>56</v>
      </c>
      <c r="Z834" s="2">
        <v>41275</v>
      </c>
      <c r="AA834" s="2">
        <v>41395</v>
      </c>
      <c r="AB834" s="2" t="s">
        <v>4398</v>
      </c>
    </row>
    <row r="835" spans="1:28" x14ac:dyDescent="0.35">
      <c r="A835" s="12">
        <v>6025</v>
      </c>
      <c r="B835" s="12">
        <v>8912192</v>
      </c>
      <c r="C835" s="12" t="s">
        <v>103</v>
      </c>
      <c r="D835" s="12">
        <v>50066417</v>
      </c>
      <c r="E835" s="1" t="s">
        <v>4399</v>
      </c>
      <c r="F835" s="1" t="str">
        <f>VLOOKUP(A835,[1]Sheet1!$A$2:$E$1141,5,0)</f>
        <v>Overhaul Management Jr Officer</v>
      </c>
      <c r="G835" s="17" t="str">
        <f>VLOOKUP(A835,[1]Sheet1!$A$2:$F$1141,6,0)</f>
        <v>Supervisor</v>
      </c>
      <c r="H835" s="1" t="s">
        <v>4375</v>
      </c>
      <c r="I835" s="1" t="s">
        <v>1117</v>
      </c>
      <c r="J835" s="1" t="str">
        <f>VLOOKUP(A835,[1]Sheet1!$A$2:$H$1141,8,0)</f>
        <v>Dep. of Project Mngmnt &amp; Maint. Support</v>
      </c>
      <c r="K835" s="1" t="str">
        <f>VLOOKUP(A835,[1]Sheet1!$A$2:$I$1141,9,0)</f>
        <v>Unit of Project Management</v>
      </c>
      <c r="L835" s="1" t="str">
        <f>VLOOKUP(A835,[1]Sheet1!$A$2:$J$1141,10,0)</f>
        <v>Staff of OVH Management</v>
      </c>
      <c r="M835" s="2">
        <v>32664</v>
      </c>
      <c r="N835" s="1" t="s">
        <v>29</v>
      </c>
      <c r="O835" s="1" t="s">
        <v>30</v>
      </c>
      <c r="P835" s="1" t="s">
        <v>4400</v>
      </c>
      <c r="Q835" s="1" t="s">
        <v>4377</v>
      </c>
      <c r="R835" s="1" t="s">
        <v>4378</v>
      </c>
      <c r="S835" s="1" t="s">
        <v>4379</v>
      </c>
      <c r="T835" s="14">
        <v>53144</v>
      </c>
      <c r="U835" s="1" t="s">
        <v>4401</v>
      </c>
      <c r="V835" s="1" t="s">
        <v>36</v>
      </c>
      <c r="W835" s="3" t="str">
        <f t="shared" ref="W835:W898" si="13">DATEDIF(M835,$W$1,"Y")&amp;" "&amp;"tahun"</f>
        <v>37 tahun</v>
      </c>
      <c r="X835" s="1" t="s">
        <v>55</v>
      </c>
      <c r="Y835" s="1" t="s">
        <v>48</v>
      </c>
      <c r="Z835" s="2">
        <v>41275</v>
      </c>
      <c r="AA835" s="2">
        <v>41395</v>
      </c>
      <c r="AB835" s="2" t="s">
        <v>4402</v>
      </c>
    </row>
    <row r="836" spans="1:28" x14ac:dyDescent="0.35">
      <c r="A836" s="12">
        <v>6163</v>
      </c>
      <c r="B836" s="12">
        <v>9112330</v>
      </c>
      <c r="C836" s="12" t="s">
        <v>103</v>
      </c>
      <c r="D836" s="12">
        <v>50066413</v>
      </c>
      <c r="E836" s="1" t="s">
        <v>4403</v>
      </c>
      <c r="F836" s="1" t="str">
        <f>VLOOKUP(A836,[1]Sheet1!$A$2:$E$1141,5,0)</f>
        <v>Overhaul Management Jr Officer</v>
      </c>
      <c r="G836" s="17" t="str">
        <f>VLOOKUP(A836,[1]Sheet1!$A$2:$F$1141,6,0)</f>
        <v>Supervisor</v>
      </c>
      <c r="H836" s="1" t="s">
        <v>3355</v>
      </c>
      <c r="I836" s="1" t="s">
        <v>1117</v>
      </c>
      <c r="J836" s="1" t="str">
        <f>VLOOKUP(A836,[1]Sheet1!$A$2:$H$1141,8,0)</f>
        <v>Dep. of Project Mngmnt &amp; Maint. Support</v>
      </c>
      <c r="K836" s="1" t="str">
        <f>VLOOKUP(A836,[1]Sheet1!$A$2:$I$1141,9,0)</f>
        <v>Unit of Project Management</v>
      </c>
      <c r="L836" s="1" t="str">
        <f>VLOOKUP(A836,[1]Sheet1!$A$2:$J$1141,10,0)</f>
        <v>Staff of OVH Management</v>
      </c>
      <c r="M836" s="2">
        <v>33312</v>
      </c>
      <c r="N836" s="1" t="s">
        <v>29</v>
      </c>
      <c r="O836" s="1" t="s">
        <v>30</v>
      </c>
      <c r="P836" s="1" t="s">
        <v>4404</v>
      </c>
      <c r="Q836" s="1" t="s">
        <v>3371</v>
      </c>
      <c r="R836" s="1" t="s">
        <v>3372</v>
      </c>
      <c r="S836" s="1" t="s">
        <v>3359</v>
      </c>
      <c r="T836" s="14">
        <v>53783</v>
      </c>
      <c r="U836" s="1" t="s">
        <v>4405</v>
      </c>
      <c r="V836" s="1" t="s">
        <v>36</v>
      </c>
      <c r="W836" s="3" t="str">
        <f t="shared" si="13"/>
        <v>35 tahun</v>
      </c>
      <c r="X836" s="1" t="s">
        <v>107</v>
      </c>
      <c r="Y836" s="1" t="s">
        <v>48</v>
      </c>
      <c r="Z836" s="2">
        <v>41275</v>
      </c>
      <c r="AA836" s="2">
        <v>41395</v>
      </c>
      <c r="AB836" s="2" t="s">
        <v>4406</v>
      </c>
    </row>
    <row r="837" spans="1:28" x14ac:dyDescent="0.35">
      <c r="A837" s="12">
        <v>5059</v>
      </c>
      <c r="B837" s="12">
        <v>7495222</v>
      </c>
      <c r="C837" s="12" t="s">
        <v>50</v>
      </c>
      <c r="D837" s="12">
        <v>50069445</v>
      </c>
      <c r="E837" s="1" t="s">
        <v>4407</v>
      </c>
      <c r="F837" s="1" t="str">
        <f>VLOOKUP(A837,[1]Sheet1!$A$2:$E$1141,5,0)</f>
        <v>Overhaul Management Jr Officer</v>
      </c>
      <c r="G837" s="17" t="str">
        <f>VLOOKUP(A837,[1]Sheet1!$A$2:$F$1141,6,0)</f>
        <v>Supervisor</v>
      </c>
      <c r="H837" s="1" t="s">
        <v>4375</v>
      </c>
      <c r="I837" s="1" t="s">
        <v>1117</v>
      </c>
      <c r="J837" s="1" t="str">
        <f>VLOOKUP(A837,[1]Sheet1!$A$2:$H$1141,8,0)</f>
        <v>Dep. of Project Mngmnt &amp; Maint. Support</v>
      </c>
      <c r="K837" s="1" t="str">
        <f>VLOOKUP(A837,[1]Sheet1!$A$2:$I$1141,9,0)</f>
        <v>Unit of Project Management</v>
      </c>
      <c r="L837" s="1" t="str">
        <f>VLOOKUP(A837,[1]Sheet1!$A$2:$J$1141,10,0)</f>
        <v>Staff of OVH Management</v>
      </c>
      <c r="M837" s="2">
        <v>27218</v>
      </c>
      <c r="N837" s="1" t="s">
        <v>29</v>
      </c>
      <c r="O837" s="1" t="s">
        <v>30</v>
      </c>
      <c r="P837" s="1" t="s">
        <v>4408</v>
      </c>
      <c r="Q837" s="1" t="s">
        <v>4377</v>
      </c>
      <c r="R837" s="1" t="s">
        <v>4378</v>
      </c>
      <c r="S837" s="1" t="s">
        <v>4379</v>
      </c>
      <c r="T837" s="14">
        <v>47696</v>
      </c>
      <c r="U837" s="1" t="s">
        <v>4409</v>
      </c>
      <c r="V837" s="1" t="s">
        <v>36</v>
      </c>
      <c r="W837" s="3" t="str">
        <f t="shared" si="13"/>
        <v>52 tahun</v>
      </c>
      <c r="X837" s="1" t="s">
        <v>55</v>
      </c>
      <c r="Y837" s="1" t="s">
        <v>56</v>
      </c>
      <c r="Z837" s="2">
        <v>35002</v>
      </c>
      <c r="AA837" s="2">
        <v>35370</v>
      </c>
      <c r="AB837" s="2" t="s">
        <v>4410</v>
      </c>
    </row>
    <row r="838" spans="1:28" x14ac:dyDescent="0.35">
      <c r="A838" s="12">
        <v>4760</v>
      </c>
      <c r="B838" s="12">
        <v>7195146</v>
      </c>
      <c r="C838" s="12" t="s">
        <v>50</v>
      </c>
      <c r="D838" s="12">
        <v>50069446</v>
      </c>
      <c r="E838" s="1" t="s">
        <v>4411</v>
      </c>
      <c r="F838" s="1" t="str">
        <f>VLOOKUP(A838,[1]Sheet1!$A$2:$E$1141,5,0)</f>
        <v>Overhaul Management Jr Officer</v>
      </c>
      <c r="G838" s="17" t="str">
        <f>VLOOKUP(A838,[1]Sheet1!$A$2:$F$1141,6,0)</f>
        <v>Supervisor</v>
      </c>
      <c r="H838" s="1" t="s">
        <v>4375</v>
      </c>
      <c r="I838" s="1" t="s">
        <v>1117</v>
      </c>
      <c r="J838" s="1" t="str">
        <f>VLOOKUP(A838,[1]Sheet1!$A$2:$H$1141,8,0)</f>
        <v>Dep. of Project Mngmnt &amp; Maint. Support</v>
      </c>
      <c r="K838" s="1" t="str">
        <f>VLOOKUP(A838,[1]Sheet1!$A$2:$I$1141,9,0)</f>
        <v>Unit of Project Management</v>
      </c>
      <c r="L838" s="1" t="str">
        <f>VLOOKUP(A838,[1]Sheet1!$A$2:$J$1141,10,0)</f>
        <v>Staff of OVH Management</v>
      </c>
      <c r="M838" s="2">
        <v>26042</v>
      </c>
      <c r="N838" s="1" t="s">
        <v>29</v>
      </c>
      <c r="O838" s="1" t="s">
        <v>30</v>
      </c>
      <c r="P838" s="1" t="s">
        <v>4412</v>
      </c>
      <c r="Q838" s="1" t="s">
        <v>4377</v>
      </c>
      <c r="R838" s="1" t="s">
        <v>4378</v>
      </c>
      <c r="S838" s="1" t="s">
        <v>4379</v>
      </c>
      <c r="T838" s="14">
        <v>46508</v>
      </c>
      <c r="U838" s="1" t="s">
        <v>4413</v>
      </c>
      <c r="V838" s="1" t="s">
        <v>36</v>
      </c>
      <c r="W838" s="3" t="str">
        <f t="shared" si="13"/>
        <v>55 tahun</v>
      </c>
      <c r="X838" s="1" t="s">
        <v>96</v>
      </c>
      <c r="Y838" s="1" t="s">
        <v>56</v>
      </c>
      <c r="Z838" s="2">
        <v>34943</v>
      </c>
      <c r="AA838" s="2">
        <v>35309</v>
      </c>
      <c r="AB838" s="2" t="s">
        <v>84</v>
      </c>
    </row>
    <row r="839" spans="1:28" x14ac:dyDescent="0.35">
      <c r="A839" s="12">
        <v>6245</v>
      </c>
      <c r="B839" s="12">
        <v>9212413</v>
      </c>
      <c r="C839" s="12" t="s">
        <v>103</v>
      </c>
      <c r="D839" s="12">
        <v>50069447</v>
      </c>
      <c r="E839" s="1" t="s">
        <v>4414</v>
      </c>
      <c r="F839" s="1" t="str">
        <f>VLOOKUP(A839,[1]Sheet1!$A$2:$E$1141,5,0)</f>
        <v>Overhaul Management Jr Officer</v>
      </c>
      <c r="G839" s="17" t="str">
        <f>VLOOKUP(A839,[1]Sheet1!$A$2:$F$1141,6,0)</f>
        <v>Supervisor</v>
      </c>
      <c r="H839" s="1" t="s">
        <v>4375</v>
      </c>
      <c r="I839" s="1" t="s">
        <v>1117</v>
      </c>
      <c r="J839" s="1" t="str">
        <f>VLOOKUP(A839,[1]Sheet1!$A$2:$H$1141,8,0)</f>
        <v>Dep. of Project Mngmnt &amp; Maint. Support</v>
      </c>
      <c r="K839" s="1" t="str">
        <f>VLOOKUP(A839,[1]Sheet1!$A$2:$I$1141,9,0)</f>
        <v>Unit of Project Management</v>
      </c>
      <c r="L839" s="1" t="str">
        <f>VLOOKUP(A839,[1]Sheet1!$A$2:$J$1141,10,0)</f>
        <v>Staff of OVH Management</v>
      </c>
      <c r="M839" s="2">
        <v>33710</v>
      </c>
      <c r="N839" s="1" t="s">
        <v>29</v>
      </c>
      <c r="O839" s="1" t="s">
        <v>30</v>
      </c>
      <c r="P839" s="1" t="s">
        <v>4415</v>
      </c>
      <c r="Q839" s="1" t="s">
        <v>4377</v>
      </c>
      <c r="R839" s="1" t="s">
        <v>4378</v>
      </c>
      <c r="S839" s="1" t="s">
        <v>4379</v>
      </c>
      <c r="T839" s="14">
        <v>54179</v>
      </c>
      <c r="U839" s="1" t="s">
        <v>4416</v>
      </c>
      <c r="V839" s="1" t="s">
        <v>36</v>
      </c>
      <c r="W839" s="3" t="str">
        <f t="shared" si="13"/>
        <v>34 tahun</v>
      </c>
      <c r="X839" s="1" t="s">
        <v>112</v>
      </c>
      <c r="Y839" s="1" t="s">
        <v>56</v>
      </c>
      <c r="Z839" s="2">
        <v>41275</v>
      </c>
      <c r="AA839" s="2">
        <v>41395</v>
      </c>
      <c r="AB839" s="2" t="s">
        <v>4417</v>
      </c>
    </row>
    <row r="840" spans="1:28" x14ac:dyDescent="0.35">
      <c r="A840" s="12">
        <v>5330</v>
      </c>
      <c r="B840" s="12">
        <v>8508074</v>
      </c>
      <c r="C840" s="12" t="s">
        <v>25</v>
      </c>
      <c r="D840" s="12">
        <v>50066131</v>
      </c>
      <c r="E840" s="15" t="s">
        <v>4418</v>
      </c>
      <c r="F840" s="1" t="str">
        <f>VLOOKUP(A840,[1]Sheet1!$A$2:$E$1141,5,0)</f>
        <v>SM of CAPEX Management</v>
      </c>
      <c r="G840" s="15" t="str">
        <f>VLOOKUP(A840,[1]Sheet1!$A$2:$F$1141,6,0)</f>
        <v>Senior Manager</v>
      </c>
      <c r="H840" s="1" t="s">
        <v>4419</v>
      </c>
      <c r="I840" s="1" t="s">
        <v>1117</v>
      </c>
      <c r="J840" s="1" t="str">
        <f>VLOOKUP(A840,[1]Sheet1!$A$2:$H$1141,8,0)</f>
        <v>Dep. of Project Mngmnt &amp; Maint. Support</v>
      </c>
      <c r="K840" s="1" t="str">
        <f>VLOOKUP(A840,[1]Sheet1!$A$2:$I$1141,9,0)</f>
        <v>Unit of CAPEX Management</v>
      </c>
      <c r="L840" s="1" t="e">
        <f>VLOOKUP(A840,[1]Sheet1!$A$2:$J$1141,10,0)</f>
        <v>#REF!</v>
      </c>
      <c r="M840" s="2">
        <v>31103</v>
      </c>
      <c r="N840" s="1" t="s">
        <v>29</v>
      </c>
      <c r="O840" s="1" t="s">
        <v>30</v>
      </c>
      <c r="P840" s="1" t="s">
        <v>4420</v>
      </c>
      <c r="Q840" s="1" t="s">
        <v>4421</v>
      </c>
      <c r="R840" s="1" t="s">
        <v>4422</v>
      </c>
      <c r="S840" s="1" t="s">
        <v>4423</v>
      </c>
      <c r="T840" s="14">
        <v>51561</v>
      </c>
      <c r="U840" s="1" t="s">
        <v>4424</v>
      </c>
      <c r="V840" s="1" t="s">
        <v>36</v>
      </c>
      <c r="W840" s="3" t="str">
        <f t="shared" si="13"/>
        <v>41 tahun</v>
      </c>
      <c r="X840" s="1" t="s">
        <v>96</v>
      </c>
      <c r="Y840" s="1" t="s">
        <v>48</v>
      </c>
      <c r="Z840" s="2">
        <v>39814</v>
      </c>
      <c r="AA840" s="2">
        <v>39934</v>
      </c>
      <c r="AB840" s="2" t="s">
        <v>4425</v>
      </c>
    </row>
    <row r="841" spans="1:28" x14ac:dyDescent="0.35">
      <c r="A841" s="12">
        <v>6226</v>
      </c>
      <c r="B841" s="12">
        <v>9112392</v>
      </c>
      <c r="C841" s="12" t="s">
        <v>103</v>
      </c>
      <c r="D841" s="12">
        <v>50066408</v>
      </c>
      <c r="E841" s="1" t="s">
        <v>4426</v>
      </c>
      <c r="F841" s="1" t="str">
        <f>VLOOKUP(A841,[1]Sheet1!$A$2:$E$1141,5,0)</f>
        <v>CAPEX Jr Officer</v>
      </c>
      <c r="G841" s="17" t="str">
        <f>VLOOKUP(A841,[1]Sheet1!$A$2:$F$1141,6,0)</f>
        <v>Supervisor</v>
      </c>
      <c r="H841" s="1" t="s">
        <v>4427</v>
      </c>
      <c r="I841" s="1" t="s">
        <v>1117</v>
      </c>
      <c r="J841" s="1" t="str">
        <f>VLOOKUP(A841,[1]Sheet1!$A$2:$H$1141,8,0)</f>
        <v>Dep. of Project Mngmnt &amp; Maint. Support</v>
      </c>
      <c r="K841" s="1" t="str">
        <f>VLOOKUP(A841,[1]Sheet1!$A$2:$I$1141,9,0)</f>
        <v>Unit of CAPEX Management</v>
      </c>
      <c r="L841" s="1" t="str">
        <f>VLOOKUP(A841,[1]Sheet1!$A$2:$J$1141,10,0)</f>
        <v>Staff Process of  CAPEX</v>
      </c>
      <c r="M841" s="2">
        <v>33597</v>
      </c>
      <c r="N841" s="1" t="s">
        <v>29</v>
      </c>
      <c r="O841" s="1" t="s">
        <v>30</v>
      </c>
      <c r="P841" s="1" t="s">
        <v>4428</v>
      </c>
      <c r="Q841" s="1" t="s">
        <v>4429</v>
      </c>
      <c r="R841" s="1" t="s">
        <v>4430</v>
      </c>
      <c r="S841" s="1" t="s">
        <v>4430</v>
      </c>
      <c r="T841" s="14">
        <v>54058</v>
      </c>
      <c r="U841" s="1" t="s">
        <v>4431</v>
      </c>
      <c r="V841" s="1" t="s">
        <v>36</v>
      </c>
      <c r="W841" s="3" t="str">
        <f t="shared" si="13"/>
        <v>34 tahun</v>
      </c>
      <c r="X841" s="1" t="s">
        <v>121</v>
      </c>
      <c r="Y841" s="1" t="s">
        <v>56</v>
      </c>
      <c r="Z841" s="2">
        <v>41275</v>
      </c>
      <c r="AA841" s="2">
        <v>41426</v>
      </c>
      <c r="AB841" s="2" t="s">
        <v>4432</v>
      </c>
    </row>
    <row r="842" spans="1:28" x14ac:dyDescent="0.35">
      <c r="A842" s="12">
        <v>5344</v>
      </c>
      <c r="B842" s="12">
        <v>8508080</v>
      </c>
      <c r="C842" s="12" t="s">
        <v>25</v>
      </c>
      <c r="D842" s="12">
        <v>50066409</v>
      </c>
      <c r="E842" s="1" t="s">
        <v>4433</v>
      </c>
      <c r="F842" s="1" t="str">
        <f>VLOOKUP(A842,[1]Sheet1!$A$2:$E$1141,5,0)</f>
        <v>CAPEX Jr Officer</v>
      </c>
      <c r="G842" s="17" t="str">
        <f>VLOOKUP(A842,[1]Sheet1!$A$2:$F$1141,6,0)</f>
        <v>Supervisor</v>
      </c>
      <c r="H842" s="1" t="s">
        <v>4427</v>
      </c>
      <c r="I842" s="1" t="s">
        <v>1117</v>
      </c>
      <c r="J842" s="1" t="str">
        <f>VLOOKUP(A842,[1]Sheet1!$A$2:$H$1141,8,0)</f>
        <v>Dep. of Project Mngmnt &amp; Maint. Support</v>
      </c>
      <c r="K842" s="1" t="str">
        <f>VLOOKUP(A842,[1]Sheet1!$A$2:$I$1141,9,0)</f>
        <v>Unit of CAPEX Management</v>
      </c>
      <c r="L842" s="1" t="str">
        <f>VLOOKUP(A842,[1]Sheet1!$A$2:$J$1141,10,0)</f>
        <v>Staff Process of  CAPEX</v>
      </c>
      <c r="M842" s="2">
        <v>31233</v>
      </c>
      <c r="N842" s="1" t="s">
        <v>29</v>
      </c>
      <c r="O842" s="1" t="s">
        <v>30</v>
      </c>
      <c r="P842" s="1" t="s">
        <v>4434</v>
      </c>
      <c r="Q842" s="1" t="s">
        <v>4429</v>
      </c>
      <c r="R842" s="1" t="s">
        <v>4430</v>
      </c>
      <c r="S842" s="1" t="s">
        <v>4430</v>
      </c>
      <c r="T842" s="14">
        <v>51714</v>
      </c>
      <c r="U842" s="1" t="s">
        <v>4435</v>
      </c>
      <c r="V842" s="1" t="s">
        <v>36</v>
      </c>
      <c r="W842" s="3" t="str">
        <f t="shared" si="13"/>
        <v>41 tahun</v>
      </c>
      <c r="X842" s="1" t="s">
        <v>204</v>
      </c>
      <c r="Y842" s="1" t="s">
        <v>68</v>
      </c>
      <c r="Z842" s="2">
        <v>39814</v>
      </c>
      <c r="AA842" s="2">
        <v>39965</v>
      </c>
      <c r="AB842" s="2" t="s">
        <v>84</v>
      </c>
    </row>
    <row r="843" spans="1:28" x14ac:dyDescent="0.35">
      <c r="A843" s="12">
        <v>6244</v>
      </c>
      <c r="B843" s="12">
        <v>9212412</v>
      </c>
      <c r="C843" s="12" t="s">
        <v>103</v>
      </c>
      <c r="D843" s="12">
        <v>50066410</v>
      </c>
      <c r="E843" s="1" t="s">
        <v>4436</v>
      </c>
      <c r="F843" s="1" t="str">
        <f>VLOOKUP(A843,[1]Sheet1!$A$2:$E$1141,5,0)</f>
        <v>CAPEX Jr Officer</v>
      </c>
      <c r="G843" s="17" t="str">
        <f>VLOOKUP(A843,[1]Sheet1!$A$2:$F$1141,6,0)</f>
        <v>Supervisor</v>
      </c>
      <c r="H843" s="1" t="s">
        <v>4427</v>
      </c>
      <c r="I843" s="1" t="s">
        <v>1117</v>
      </c>
      <c r="J843" s="1" t="str">
        <f>VLOOKUP(A843,[1]Sheet1!$A$2:$H$1141,8,0)</f>
        <v>Dep. of Project Mngmnt &amp; Maint. Support</v>
      </c>
      <c r="K843" s="1" t="str">
        <f>VLOOKUP(A843,[1]Sheet1!$A$2:$I$1141,9,0)</f>
        <v>Unit of CAPEX Management</v>
      </c>
      <c r="L843" s="1" t="str">
        <f>VLOOKUP(A843,[1]Sheet1!$A$2:$J$1141,10,0)</f>
        <v>Staff Process of  CAPEX</v>
      </c>
      <c r="M843" s="2">
        <v>33692</v>
      </c>
      <c r="N843" s="1" t="s">
        <v>29</v>
      </c>
      <c r="O843" s="1" t="s">
        <v>30</v>
      </c>
      <c r="P843" s="1" t="s">
        <v>4437</v>
      </c>
      <c r="Q843" s="1" t="s">
        <v>4429</v>
      </c>
      <c r="R843" s="1" t="s">
        <v>4430</v>
      </c>
      <c r="S843" s="1" t="s">
        <v>4430</v>
      </c>
      <c r="T843" s="14">
        <v>54149</v>
      </c>
      <c r="U843" s="1" t="s">
        <v>4438</v>
      </c>
      <c r="V843" s="1" t="s">
        <v>36</v>
      </c>
      <c r="W843" s="3" t="str">
        <f t="shared" si="13"/>
        <v>34 tahun</v>
      </c>
      <c r="X843" s="1" t="s">
        <v>2816</v>
      </c>
      <c r="Y843" s="1" t="s">
        <v>48</v>
      </c>
      <c r="Z843" s="2">
        <v>41275</v>
      </c>
      <c r="AA843" s="2">
        <v>41456</v>
      </c>
      <c r="AB843" s="2" t="s">
        <v>4439</v>
      </c>
    </row>
    <row r="844" spans="1:28" x14ac:dyDescent="0.35">
      <c r="A844" s="12">
        <v>5273</v>
      </c>
      <c r="B844" s="12">
        <v>8208025</v>
      </c>
      <c r="C844" s="12" t="s">
        <v>25</v>
      </c>
      <c r="D844" s="12">
        <v>50066019</v>
      </c>
      <c r="E844" s="15" t="s">
        <v>4440</v>
      </c>
      <c r="F844" s="1" t="str">
        <f>VLOOKUP(A844,[1]Sheet1!$A$2:$E$1141,5,0)</f>
        <v>TPM Sr Officer</v>
      </c>
      <c r="G844" s="15" t="str">
        <f>VLOOKUP(A844,[1]Sheet1!$A$2:$F$1141,6,0)</f>
        <v>Senior Manager</v>
      </c>
      <c r="H844" s="1" t="s">
        <v>4272</v>
      </c>
      <c r="I844" s="1" t="s">
        <v>1117</v>
      </c>
      <c r="J844" s="1" t="str">
        <f>VLOOKUP(A844,[1]Sheet1!$A$2:$H$1141,8,0)</f>
        <v>Dep. of Project Mngmnt &amp; Maint. Support</v>
      </c>
      <c r="K844" s="1" t="str">
        <f>VLOOKUP(A844,[1]Sheet1!$A$2:$I$1141,9,0)</f>
        <v>Staff of TPM Officer</v>
      </c>
      <c r="L844" s="1" t="e">
        <f>VLOOKUP(A844,[1]Sheet1!$A$2:$J$1141,10,0)</f>
        <v>#REF!</v>
      </c>
      <c r="M844" s="2">
        <v>30138</v>
      </c>
      <c r="N844" s="1" t="s">
        <v>29</v>
      </c>
      <c r="O844" s="1" t="s">
        <v>30</v>
      </c>
      <c r="P844" s="1" t="s">
        <v>4441</v>
      </c>
      <c r="Q844" s="1" t="s">
        <v>4442</v>
      </c>
      <c r="R844" s="1" t="s">
        <v>4443</v>
      </c>
      <c r="S844" s="1" t="s">
        <v>4276</v>
      </c>
      <c r="T844" s="14">
        <v>50618</v>
      </c>
      <c r="U844" s="1" t="s">
        <v>4444</v>
      </c>
      <c r="V844" s="1" t="s">
        <v>36</v>
      </c>
      <c r="W844" s="3" t="str">
        <f t="shared" si="13"/>
        <v>44 tahun</v>
      </c>
      <c r="X844" s="1" t="s">
        <v>37</v>
      </c>
      <c r="Y844" s="1" t="s">
        <v>48</v>
      </c>
      <c r="Z844" s="2">
        <v>39814</v>
      </c>
      <c r="AA844" s="2">
        <v>39934</v>
      </c>
      <c r="AB844" s="2" t="s">
        <v>4445</v>
      </c>
    </row>
    <row r="845" spans="1:28" x14ac:dyDescent="0.35">
      <c r="A845" s="12">
        <v>5063</v>
      </c>
      <c r="B845" s="12">
        <v>7495038</v>
      </c>
      <c r="C845" s="12" t="s">
        <v>50</v>
      </c>
      <c r="D845" s="12">
        <v>50066020</v>
      </c>
      <c r="E845" s="15" t="s">
        <v>4446</v>
      </c>
      <c r="F845" s="1" t="str">
        <f>VLOOKUP(A845,[1]Sheet1!$A$2:$E$1141,5,0)</f>
        <v>TPM Sr Officer</v>
      </c>
      <c r="G845" s="15" t="str">
        <f>VLOOKUP(A845,[1]Sheet1!$A$2:$F$1141,6,0)</f>
        <v>Senior Manager</v>
      </c>
      <c r="H845" s="1" t="s">
        <v>4272</v>
      </c>
      <c r="I845" s="1" t="s">
        <v>1117</v>
      </c>
      <c r="J845" s="1" t="str">
        <f>VLOOKUP(A845,[1]Sheet1!$A$2:$H$1141,8,0)</f>
        <v>Dep. of Project Mngmnt &amp; Maint. Support</v>
      </c>
      <c r="K845" s="1" t="str">
        <f>VLOOKUP(A845,[1]Sheet1!$A$2:$I$1141,9,0)</f>
        <v>Staff of TPM Officer</v>
      </c>
      <c r="L845" s="1" t="e">
        <f>VLOOKUP(A845,[1]Sheet1!$A$2:$J$1141,10,0)</f>
        <v>#REF!</v>
      </c>
      <c r="M845" s="2">
        <v>27251</v>
      </c>
      <c r="N845" s="1" t="s">
        <v>29</v>
      </c>
      <c r="O845" s="1" t="s">
        <v>30</v>
      </c>
      <c r="P845" s="1" t="s">
        <v>4447</v>
      </c>
      <c r="Q845" s="1" t="s">
        <v>4442</v>
      </c>
      <c r="R845" s="1" t="s">
        <v>4443</v>
      </c>
      <c r="S845" s="1" t="s">
        <v>4276</v>
      </c>
      <c r="T845" s="14">
        <v>47727</v>
      </c>
      <c r="U845" s="1" t="s">
        <v>4448</v>
      </c>
      <c r="V845" s="1" t="s">
        <v>36</v>
      </c>
      <c r="W845" s="3" t="str">
        <f t="shared" si="13"/>
        <v>52 tahun</v>
      </c>
      <c r="X845" s="1" t="s">
        <v>55</v>
      </c>
      <c r="Y845" s="1" t="s">
        <v>48</v>
      </c>
      <c r="Z845" s="2">
        <v>34897</v>
      </c>
      <c r="AA845" s="2">
        <v>35278</v>
      </c>
      <c r="AB845" s="2" t="s">
        <v>4449</v>
      </c>
    </row>
    <row r="846" spans="1:28" x14ac:dyDescent="0.35">
      <c r="A846" s="12">
        <v>4817</v>
      </c>
      <c r="B846" s="12">
        <v>7295176</v>
      </c>
      <c r="C846" s="12" t="s">
        <v>50</v>
      </c>
      <c r="D846" s="12">
        <v>50066023</v>
      </c>
      <c r="E846" s="16" t="s">
        <v>4450</v>
      </c>
      <c r="F846" s="1" t="str">
        <f>VLOOKUP(A846,[1]Sheet1!$A$2:$E$1141,5,0)</f>
        <v>TPM Officer</v>
      </c>
      <c r="G846" s="16" t="str">
        <f>VLOOKUP(A846,[1]Sheet1!$A$2:$F$1141,6,0)</f>
        <v>Manager</v>
      </c>
      <c r="H846" s="1" t="s">
        <v>4272</v>
      </c>
      <c r="I846" s="1" t="s">
        <v>1117</v>
      </c>
      <c r="J846" s="1" t="str">
        <f>VLOOKUP(A846,[1]Sheet1!$A$2:$H$1141,8,0)</f>
        <v>Dep. of Project Mngmnt &amp; Maint. Support</v>
      </c>
      <c r="K846" s="1" t="str">
        <f>VLOOKUP(A846,[1]Sheet1!$A$2:$I$1141,9,0)</f>
        <v>Staff of TPM Officer</v>
      </c>
      <c r="L846" s="1" t="e">
        <f>VLOOKUP(A846,[1]Sheet1!$A$2:$J$1141,10,0)</f>
        <v>#REF!</v>
      </c>
      <c r="M846" s="2">
        <v>26390</v>
      </c>
      <c r="N846" s="1" t="s">
        <v>29</v>
      </c>
      <c r="O846" s="1" t="s">
        <v>30</v>
      </c>
      <c r="P846" s="1" t="s">
        <v>4451</v>
      </c>
      <c r="Q846" s="1" t="s">
        <v>4442</v>
      </c>
      <c r="R846" s="1" t="s">
        <v>4452</v>
      </c>
      <c r="S846" s="1" t="s">
        <v>4276</v>
      </c>
      <c r="T846" s="14">
        <v>46874</v>
      </c>
      <c r="U846" s="1" t="s">
        <v>4453</v>
      </c>
      <c r="V846" s="1" t="s">
        <v>36</v>
      </c>
      <c r="W846" s="3" t="str">
        <f t="shared" si="13"/>
        <v>54 tahun</v>
      </c>
      <c r="X846" s="1" t="s">
        <v>248</v>
      </c>
      <c r="Y846" s="1" t="s">
        <v>56</v>
      </c>
      <c r="Z846" s="2">
        <v>35002</v>
      </c>
      <c r="AA846" s="2">
        <v>35551</v>
      </c>
      <c r="AB846" s="2" t="s">
        <v>4454</v>
      </c>
    </row>
    <row r="847" spans="1:28" x14ac:dyDescent="0.35">
      <c r="A847" s="12">
        <v>4783</v>
      </c>
      <c r="B847" s="12">
        <v>7195147</v>
      </c>
      <c r="C847" s="12" t="s">
        <v>50</v>
      </c>
      <c r="D847" s="12">
        <v>50066024</v>
      </c>
      <c r="E847" s="16" t="s">
        <v>4455</v>
      </c>
      <c r="F847" s="1" t="str">
        <f>VLOOKUP(A847,[1]Sheet1!$A$2:$E$1141,5,0)</f>
        <v>TPM Officer</v>
      </c>
      <c r="G847" s="16" t="str">
        <f>VLOOKUP(A847,[1]Sheet1!$A$2:$F$1141,6,0)</f>
        <v>Manager</v>
      </c>
      <c r="H847" s="1" t="s">
        <v>4272</v>
      </c>
      <c r="I847" s="1" t="s">
        <v>1117</v>
      </c>
      <c r="J847" s="1" t="str">
        <f>VLOOKUP(A847,[1]Sheet1!$A$2:$H$1141,8,0)</f>
        <v>Dep. of Project Mngmnt &amp; Maint. Support</v>
      </c>
      <c r="K847" s="1" t="str">
        <f>VLOOKUP(A847,[1]Sheet1!$A$2:$I$1141,9,0)</f>
        <v>Staff of TPM Officer</v>
      </c>
      <c r="L847" s="1" t="e">
        <f>VLOOKUP(A847,[1]Sheet1!$A$2:$J$1141,10,0)</f>
        <v>#REF!</v>
      </c>
      <c r="M847" s="2">
        <v>26229</v>
      </c>
      <c r="N847" s="1" t="s">
        <v>29</v>
      </c>
      <c r="O847" s="1" t="s">
        <v>30</v>
      </c>
      <c r="P847" s="1" t="s">
        <v>4456</v>
      </c>
      <c r="Q847" s="1" t="s">
        <v>4442</v>
      </c>
      <c r="R847" s="1" t="s">
        <v>4443</v>
      </c>
      <c r="S847" s="1" t="s">
        <v>4276</v>
      </c>
      <c r="T847" s="14">
        <v>46692</v>
      </c>
      <c r="U847" s="1" t="s">
        <v>4457</v>
      </c>
      <c r="V847" s="1" t="s">
        <v>36</v>
      </c>
      <c r="W847" s="3" t="str">
        <f t="shared" si="13"/>
        <v>54 tahun</v>
      </c>
      <c r="X847" s="1" t="s">
        <v>473</v>
      </c>
      <c r="Y847" s="1" t="s">
        <v>48</v>
      </c>
      <c r="Z847" s="2">
        <v>34943</v>
      </c>
      <c r="AA847" s="2">
        <v>35309</v>
      </c>
      <c r="AB847" s="2" t="s">
        <v>4458</v>
      </c>
    </row>
    <row r="848" spans="1:28" x14ac:dyDescent="0.35">
      <c r="A848" s="12">
        <v>5191</v>
      </c>
      <c r="B848" s="12">
        <v>7695073</v>
      </c>
      <c r="C848" s="12" t="s">
        <v>50</v>
      </c>
      <c r="D848" s="12">
        <v>50066227</v>
      </c>
      <c r="E848" s="16" t="s">
        <v>4459</v>
      </c>
      <c r="F848" s="1" t="str">
        <f>VLOOKUP(A848,[1]Sheet1!$A$2:$E$1141,5,0)</f>
        <v>C TPM Officer</v>
      </c>
      <c r="G848" s="16" t="str">
        <f>VLOOKUP(A848,[1]Sheet1!$A$2:$F$1141,6,0)</f>
        <v>Manager</v>
      </c>
      <c r="H848" s="1" t="s">
        <v>4272</v>
      </c>
      <c r="I848" s="1" t="s">
        <v>1117</v>
      </c>
      <c r="J848" s="1" t="str">
        <f>VLOOKUP(A848,[1]Sheet1!$A$2:$H$1141,8,0)</f>
        <v>Dep. of Project Mngmnt &amp; Maint. Support</v>
      </c>
      <c r="K848" s="1" t="str">
        <f>VLOOKUP(A848,[1]Sheet1!$A$2:$I$1141,9,0)</f>
        <v>Staff of TPM Officer</v>
      </c>
      <c r="L848" s="1" t="e">
        <f>VLOOKUP(A848,[1]Sheet1!$A$2:$J$1141,10,0)</f>
        <v>#REF!</v>
      </c>
      <c r="M848" s="2">
        <v>27844</v>
      </c>
      <c r="N848" s="1" t="s">
        <v>29</v>
      </c>
      <c r="O848" s="1" t="s">
        <v>30</v>
      </c>
      <c r="P848" s="1" t="s">
        <v>4460</v>
      </c>
      <c r="Q848" s="1" t="s">
        <v>4442</v>
      </c>
      <c r="R848" s="1" t="s">
        <v>4443</v>
      </c>
      <c r="S848" s="1" t="s">
        <v>4276</v>
      </c>
      <c r="T848" s="14">
        <v>48305</v>
      </c>
      <c r="U848" s="1" t="s">
        <v>4461</v>
      </c>
      <c r="V848" s="1" t="s">
        <v>186</v>
      </c>
      <c r="W848" s="3" t="str">
        <f t="shared" si="13"/>
        <v>50 tahun</v>
      </c>
      <c r="X848" s="1" t="s">
        <v>248</v>
      </c>
      <c r="Y848" s="1" t="s">
        <v>56</v>
      </c>
      <c r="Z848" s="2">
        <v>34897</v>
      </c>
      <c r="AA848" s="2">
        <v>35278</v>
      </c>
      <c r="AB848" s="2" t="s">
        <v>4462</v>
      </c>
    </row>
    <row r="849" spans="1:28" x14ac:dyDescent="0.35">
      <c r="A849" s="12">
        <v>5369</v>
      </c>
      <c r="B849" s="12">
        <v>8610068</v>
      </c>
      <c r="C849" s="12" t="s">
        <v>139</v>
      </c>
      <c r="D849" s="12">
        <v>50066229</v>
      </c>
      <c r="E849" s="16" t="s">
        <v>4463</v>
      </c>
      <c r="F849" s="1" t="str">
        <f>VLOOKUP(A849,[1]Sheet1!$A$2:$E$1141,5,0)</f>
        <v>C TPM Officer</v>
      </c>
      <c r="G849" s="16" t="str">
        <f>VLOOKUP(A849,[1]Sheet1!$A$2:$F$1141,6,0)</f>
        <v>Manager</v>
      </c>
      <c r="H849" s="1" t="s">
        <v>4272</v>
      </c>
      <c r="I849" s="1" t="s">
        <v>1117</v>
      </c>
      <c r="J849" s="1" t="str">
        <f>VLOOKUP(A849,[1]Sheet1!$A$2:$H$1141,8,0)</f>
        <v>Dep. of Project Mngmnt &amp; Maint. Support</v>
      </c>
      <c r="K849" s="1" t="str">
        <f>VLOOKUP(A849,[1]Sheet1!$A$2:$I$1141,9,0)</f>
        <v>Staff of TPM Officer</v>
      </c>
      <c r="L849" s="1" t="e">
        <f>VLOOKUP(A849,[1]Sheet1!$A$2:$J$1141,10,0)</f>
        <v>#REF!</v>
      </c>
      <c r="M849" s="2">
        <v>31556</v>
      </c>
      <c r="N849" s="1" t="s">
        <v>29</v>
      </c>
      <c r="O849" s="1" t="s">
        <v>30</v>
      </c>
      <c r="P849" s="1" t="s">
        <v>4464</v>
      </c>
      <c r="Q849" s="1" t="s">
        <v>4442</v>
      </c>
      <c r="R849" s="1" t="s">
        <v>4452</v>
      </c>
      <c r="S849" s="1" t="s">
        <v>4276</v>
      </c>
      <c r="T849" s="14">
        <v>52018</v>
      </c>
      <c r="U849" s="1" t="s">
        <v>4465</v>
      </c>
      <c r="V849" s="1" t="s">
        <v>36</v>
      </c>
      <c r="W849" s="3" t="str">
        <f t="shared" si="13"/>
        <v>40 tahun</v>
      </c>
      <c r="X849" s="1" t="s">
        <v>55</v>
      </c>
      <c r="Y849" s="1" t="s">
        <v>48</v>
      </c>
      <c r="Z849" s="2">
        <v>40544</v>
      </c>
      <c r="AA849" s="2">
        <v>40695</v>
      </c>
      <c r="AB849" s="2" t="s">
        <v>4466</v>
      </c>
    </row>
    <row r="850" spans="1:28" x14ac:dyDescent="0.35">
      <c r="A850" s="12">
        <v>4924</v>
      </c>
      <c r="B850" s="12">
        <v>7395015</v>
      </c>
      <c r="C850" s="12" t="s">
        <v>50</v>
      </c>
      <c r="D850" s="12">
        <v>50066600</v>
      </c>
      <c r="E850" s="16" t="s">
        <v>2328</v>
      </c>
      <c r="F850" s="1" t="str">
        <f>VLOOKUP(A850,[1]Sheet1!$A$2:$E$1141,5,0)</f>
        <v>C TPM Officer</v>
      </c>
      <c r="G850" s="16" t="str">
        <f>VLOOKUP(A850,[1]Sheet1!$A$2:$F$1141,6,0)</f>
        <v>Manager</v>
      </c>
      <c r="H850" s="1" t="s">
        <v>4272</v>
      </c>
      <c r="I850" s="1" t="s">
        <v>1117</v>
      </c>
      <c r="J850" s="1" t="str">
        <f>VLOOKUP(A850,[1]Sheet1!$A$2:$H$1141,8,0)</f>
        <v>Dep. of Project Mngmnt &amp; Maint. Support</v>
      </c>
      <c r="K850" s="1" t="str">
        <f>VLOOKUP(A850,[1]Sheet1!$A$2:$I$1141,9,0)</f>
        <v>Staff of TPM Officer</v>
      </c>
      <c r="L850" s="1" t="e">
        <f>VLOOKUP(A850,[1]Sheet1!$A$2:$J$1141,10,0)</f>
        <v>#REF!</v>
      </c>
      <c r="M850" s="2">
        <v>26796</v>
      </c>
      <c r="N850" s="1" t="s">
        <v>29</v>
      </c>
      <c r="O850" s="1" t="s">
        <v>30</v>
      </c>
      <c r="P850" s="1" t="s">
        <v>4467</v>
      </c>
      <c r="Q850" s="1" t="s">
        <v>4442</v>
      </c>
      <c r="R850" s="1" t="s">
        <v>4443</v>
      </c>
      <c r="S850" s="1" t="s">
        <v>4276</v>
      </c>
      <c r="T850" s="14">
        <v>47270</v>
      </c>
      <c r="U850" s="1" t="s">
        <v>4468</v>
      </c>
      <c r="V850" s="1" t="s">
        <v>36</v>
      </c>
      <c r="W850" s="3" t="str">
        <f t="shared" si="13"/>
        <v>53 tahun</v>
      </c>
      <c r="X850" s="1" t="s">
        <v>55</v>
      </c>
      <c r="Y850" s="1" t="s">
        <v>56</v>
      </c>
      <c r="Z850" s="2">
        <v>34897</v>
      </c>
      <c r="AA850" s="2">
        <v>35278</v>
      </c>
      <c r="AB850" s="2" t="s">
        <v>4469</v>
      </c>
    </row>
    <row r="851" spans="1:28" x14ac:dyDescent="0.35">
      <c r="A851" s="12">
        <v>4990</v>
      </c>
      <c r="B851" s="12">
        <v>7395169</v>
      </c>
      <c r="C851" s="12" t="s">
        <v>50</v>
      </c>
      <c r="D851" s="12">
        <v>50065703</v>
      </c>
      <c r="E851" s="1" t="s">
        <v>4470</v>
      </c>
      <c r="F851" s="1" t="str">
        <f>VLOOKUP(A851,[1]Sheet1!$A$2:$E$1141,5,0)</f>
        <v>D TPM Jr Officer</v>
      </c>
      <c r="G851" s="17" t="str">
        <f>VLOOKUP(A851,[1]Sheet1!$A$2:$F$1141,6,0)</f>
        <v>Supervisor</v>
      </c>
      <c r="H851" s="1" t="s">
        <v>4272</v>
      </c>
      <c r="I851" s="1" t="s">
        <v>1117</v>
      </c>
      <c r="J851" s="1" t="str">
        <f>VLOOKUP(A851,[1]Sheet1!$A$2:$H$1141,8,0)</f>
        <v>Dep. of Project Mngmnt &amp; Maint. Support</v>
      </c>
      <c r="K851" s="1" t="str">
        <f>VLOOKUP(A851,[1]Sheet1!$A$2:$I$1141,9,0)</f>
        <v>Staff of TPM Officer</v>
      </c>
      <c r="L851" s="1" t="e">
        <f>VLOOKUP(A851,[1]Sheet1!$A$2:$J$1141,10,0)</f>
        <v>#REF!</v>
      </c>
      <c r="M851" s="2">
        <v>27011</v>
      </c>
      <c r="N851" s="1" t="s">
        <v>29</v>
      </c>
      <c r="O851" s="1" t="s">
        <v>30</v>
      </c>
      <c r="P851" s="1" t="s">
        <v>4471</v>
      </c>
      <c r="Q851" s="1" t="s">
        <v>4442</v>
      </c>
      <c r="R851" s="1" t="s">
        <v>4452</v>
      </c>
      <c r="S851" s="1" t="s">
        <v>4276</v>
      </c>
      <c r="T851" s="14">
        <v>47484</v>
      </c>
      <c r="U851" s="1" t="s">
        <v>4472</v>
      </c>
      <c r="V851" s="1" t="s">
        <v>36</v>
      </c>
      <c r="W851" s="3" t="str">
        <f t="shared" si="13"/>
        <v>52 tahun</v>
      </c>
      <c r="X851" s="1" t="s">
        <v>4473</v>
      </c>
      <c r="Y851" s="1" t="s">
        <v>56</v>
      </c>
      <c r="Z851" s="2">
        <v>34974</v>
      </c>
      <c r="AA851" s="2">
        <v>35521</v>
      </c>
      <c r="AB851" s="2" t="s">
        <v>4474</v>
      </c>
    </row>
    <row r="852" spans="1:28" x14ac:dyDescent="0.35">
      <c r="A852" s="12">
        <v>5371</v>
      </c>
      <c r="B852" s="12">
        <v>8610044</v>
      </c>
      <c r="C852" s="12" t="s">
        <v>139</v>
      </c>
      <c r="D852" s="12">
        <v>50063882</v>
      </c>
      <c r="E852" s="1" t="s">
        <v>4475</v>
      </c>
      <c r="F852" s="1" t="str">
        <f>VLOOKUP(A852,[1]Sheet1!$A$2:$E$1141,5,0)</f>
        <v>D TPM Jr Officer</v>
      </c>
      <c r="G852" s="17" t="str">
        <f>VLOOKUP(A852,[1]Sheet1!$A$2:$F$1141,6,0)</f>
        <v>Supervisor</v>
      </c>
      <c r="H852" s="1" t="s">
        <v>4272</v>
      </c>
      <c r="I852" s="1" t="s">
        <v>1117</v>
      </c>
      <c r="J852" s="1" t="str">
        <f>VLOOKUP(A852,[1]Sheet1!$A$2:$H$1141,8,0)</f>
        <v>Dep. of Project Mngmnt &amp; Maint. Support</v>
      </c>
      <c r="K852" s="1" t="str">
        <f>VLOOKUP(A852,[1]Sheet1!$A$2:$I$1141,9,0)</f>
        <v>Staff of TPM Officer</v>
      </c>
      <c r="L852" s="1" t="e">
        <f>VLOOKUP(A852,[1]Sheet1!$A$2:$J$1141,10,0)</f>
        <v>#REF!</v>
      </c>
      <c r="M852" s="2">
        <v>31600</v>
      </c>
      <c r="N852" s="1" t="s">
        <v>29</v>
      </c>
      <c r="O852" s="1" t="s">
        <v>30</v>
      </c>
      <c r="P852" s="1" t="s">
        <v>4476</v>
      </c>
      <c r="Q852" s="1" t="s">
        <v>4442</v>
      </c>
      <c r="R852" s="1" t="s">
        <v>4452</v>
      </c>
      <c r="S852" s="1" t="s">
        <v>4276</v>
      </c>
      <c r="T852" s="14">
        <v>52079</v>
      </c>
      <c r="U852" s="1" t="s">
        <v>4477</v>
      </c>
      <c r="V852" s="1" t="s">
        <v>36</v>
      </c>
      <c r="W852" s="3" t="str">
        <f t="shared" si="13"/>
        <v>40 tahun</v>
      </c>
      <c r="X852" s="1" t="s">
        <v>356</v>
      </c>
      <c r="Y852" s="1" t="s">
        <v>68</v>
      </c>
      <c r="Z852" s="2">
        <v>40544</v>
      </c>
      <c r="AA852" s="2">
        <v>40664</v>
      </c>
      <c r="AB852" s="2" t="s">
        <v>4478</v>
      </c>
    </row>
    <row r="853" spans="1:28" x14ac:dyDescent="0.35">
      <c r="A853" s="12">
        <v>5308</v>
      </c>
      <c r="B853" s="12">
        <v>8408043</v>
      </c>
      <c r="C853" s="12" t="s">
        <v>25</v>
      </c>
      <c r="D853" s="12">
        <v>50066232</v>
      </c>
      <c r="E853" s="15" t="s">
        <v>4479</v>
      </c>
      <c r="F853" s="1" t="str">
        <f>VLOOKUP(A853,[1]Sheet1!$A$2:$E$1141,5,0)</f>
        <v>SM of Workshop</v>
      </c>
      <c r="G853" s="15" t="str">
        <f>VLOOKUP(A853,[1]Sheet1!$A$2:$F$1141,6,0)</f>
        <v>Senior Manager</v>
      </c>
      <c r="H853" s="1" t="s">
        <v>4272</v>
      </c>
      <c r="I853" s="1" t="s">
        <v>1117</v>
      </c>
      <c r="J853" s="1" t="str">
        <f>VLOOKUP(A853,[1]Sheet1!$A$2:$H$1141,8,0)</f>
        <v>Dep. of Project Mngmnt &amp; Maint. Support</v>
      </c>
      <c r="K853" s="1" t="str">
        <f>VLOOKUP(A853,[1]Sheet1!$A$2:$I$1141,9,0)</f>
        <v>Unit of Workshop</v>
      </c>
      <c r="L853" s="1" t="e">
        <f>VLOOKUP(A853,[1]Sheet1!$A$2:$J$1141,10,0)</f>
        <v>#REF!</v>
      </c>
      <c r="M853" s="2">
        <v>30786</v>
      </c>
      <c r="N853" s="1" t="s">
        <v>29</v>
      </c>
      <c r="O853" s="1" t="s">
        <v>30</v>
      </c>
      <c r="P853" s="1" t="s">
        <v>4480</v>
      </c>
      <c r="Q853" s="1" t="s">
        <v>4481</v>
      </c>
      <c r="R853" s="1" t="s">
        <v>3112</v>
      </c>
      <c r="S853" s="1" t="s">
        <v>4276</v>
      </c>
      <c r="T853" s="14">
        <v>51257</v>
      </c>
      <c r="U853" s="1" t="s">
        <v>4482</v>
      </c>
      <c r="V853" s="1" t="s">
        <v>36</v>
      </c>
      <c r="W853" s="3" t="str">
        <f t="shared" si="13"/>
        <v>42 tahun</v>
      </c>
      <c r="X853" s="1" t="s">
        <v>2475</v>
      </c>
      <c r="Y853" s="1" t="s">
        <v>48</v>
      </c>
      <c r="Z853" s="2">
        <v>39814</v>
      </c>
      <c r="AA853" s="2">
        <v>39934</v>
      </c>
      <c r="AB853" s="2" t="s">
        <v>4483</v>
      </c>
    </row>
    <row r="854" spans="1:28" x14ac:dyDescent="0.35">
      <c r="A854" s="12">
        <v>5310</v>
      </c>
      <c r="B854" s="12">
        <v>8408063</v>
      </c>
      <c r="C854" s="12" t="s">
        <v>25</v>
      </c>
      <c r="D854" s="12">
        <v>50066234</v>
      </c>
      <c r="E854" s="16" t="s">
        <v>4484</v>
      </c>
      <c r="F854" s="1" t="str">
        <f>VLOOKUP(A854,[1]Sheet1!$A$2:$E$1141,5,0)</f>
        <v>Mgr of Elins Workshop</v>
      </c>
      <c r="G854" s="16" t="str">
        <f>VLOOKUP(A854,[1]Sheet1!$A$2:$F$1141,6,0)</f>
        <v>Manager</v>
      </c>
      <c r="H854" s="1" t="s">
        <v>4272</v>
      </c>
      <c r="I854" s="1" t="s">
        <v>1117</v>
      </c>
      <c r="J854" s="1" t="str">
        <f>VLOOKUP(A854,[1]Sheet1!$A$2:$H$1141,8,0)</f>
        <v>Dep. of Project Mngmnt &amp; Maint. Support</v>
      </c>
      <c r="K854" s="1" t="str">
        <f>VLOOKUP(A854,[1]Sheet1!$A$2:$I$1141,9,0)</f>
        <v>Unit of Workshop</v>
      </c>
      <c r="L854" s="1" t="str">
        <f>VLOOKUP(A854,[1]Sheet1!$A$2:$J$1141,10,0)</f>
        <v>Section of Elins Workshop</v>
      </c>
      <c r="M854" s="2">
        <v>30777</v>
      </c>
      <c r="N854" s="1" t="s">
        <v>29</v>
      </c>
      <c r="O854" s="1" t="s">
        <v>30</v>
      </c>
      <c r="P854" s="1" t="s">
        <v>4485</v>
      </c>
      <c r="Q854" s="1" t="s">
        <v>4486</v>
      </c>
      <c r="R854" s="1" t="s">
        <v>4487</v>
      </c>
      <c r="S854" s="1" t="s">
        <v>4276</v>
      </c>
      <c r="T854" s="14">
        <v>51257</v>
      </c>
      <c r="U854" s="1" t="s">
        <v>4488</v>
      </c>
      <c r="V854" s="1" t="s">
        <v>36</v>
      </c>
      <c r="W854" s="3" t="str">
        <f t="shared" si="13"/>
        <v>42 tahun</v>
      </c>
      <c r="X854" s="1" t="s">
        <v>37</v>
      </c>
      <c r="Y854" s="1" t="s">
        <v>68</v>
      </c>
      <c r="Z854" s="2">
        <v>39814</v>
      </c>
      <c r="AA854" s="2">
        <v>39934</v>
      </c>
      <c r="AB854" s="2" t="s">
        <v>4489</v>
      </c>
    </row>
    <row r="855" spans="1:28" x14ac:dyDescent="0.35">
      <c r="A855" s="12">
        <v>5370</v>
      </c>
      <c r="B855" s="12">
        <v>8610069</v>
      </c>
      <c r="C855" s="12" t="s">
        <v>139</v>
      </c>
      <c r="D855" s="12">
        <v>50066403</v>
      </c>
      <c r="E855" s="1" t="s">
        <v>4490</v>
      </c>
      <c r="F855" s="1" t="str">
        <f>VLOOKUP(A855,[1]Sheet1!$A$2:$E$1141,5,0)</f>
        <v>Spv of PdM Elins Workshop</v>
      </c>
      <c r="G855" s="17" t="str">
        <f>VLOOKUP(A855,[1]Sheet1!$A$2:$F$1141,6,0)</f>
        <v>Supervisor</v>
      </c>
      <c r="H855" s="1" t="s">
        <v>3069</v>
      </c>
      <c r="I855" s="1" t="s">
        <v>1117</v>
      </c>
      <c r="J855" s="1" t="str">
        <f>VLOOKUP(A855,[1]Sheet1!$A$2:$H$1141,8,0)</f>
        <v>Dep. of Project Mngmnt &amp; Maint. Support</v>
      </c>
      <c r="K855" s="1" t="str">
        <f>VLOOKUP(A855,[1]Sheet1!$A$2:$I$1141,9,0)</f>
        <v>Unit of Workshop</v>
      </c>
      <c r="L855" s="1" t="str">
        <f>VLOOKUP(A855,[1]Sheet1!$A$2:$J$1141,10,0)</f>
        <v>Section of Elins Workshop</v>
      </c>
      <c r="M855" s="2">
        <v>31586</v>
      </c>
      <c r="N855" s="1" t="s">
        <v>29</v>
      </c>
      <c r="O855" s="1" t="s">
        <v>30</v>
      </c>
      <c r="P855" s="1" t="s">
        <v>4491</v>
      </c>
      <c r="Q855" s="1" t="s">
        <v>4492</v>
      </c>
      <c r="R855" s="1" t="s">
        <v>4493</v>
      </c>
      <c r="S855" s="1" t="s">
        <v>3073</v>
      </c>
      <c r="T855" s="14">
        <v>52048</v>
      </c>
      <c r="U855" s="1" t="s">
        <v>4494</v>
      </c>
      <c r="V855" s="1" t="s">
        <v>36</v>
      </c>
      <c r="W855" s="3" t="str">
        <f t="shared" si="13"/>
        <v>40 tahun</v>
      </c>
      <c r="X855" s="1" t="s">
        <v>846</v>
      </c>
      <c r="Y855" s="1" t="s">
        <v>48</v>
      </c>
      <c r="Z855" s="2">
        <v>40544</v>
      </c>
      <c r="AA855" s="2">
        <v>40664</v>
      </c>
      <c r="AB855" s="2" t="s">
        <v>4495</v>
      </c>
    </row>
    <row r="856" spans="1:28" x14ac:dyDescent="0.35">
      <c r="A856" s="12">
        <v>5153</v>
      </c>
      <c r="B856" s="12">
        <v>7502272</v>
      </c>
      <c r="C856" s="12" t="s">
        <v>164</v>
      </c>
      <c r="D856" s="12">
        <v>50066401</v>
      </c>
      <c r="E856" s="1" t="s">
        <v>4496</v>
      </c>
      <c r="F856" s="1" t="str">
        <f>VLOOKUP(A856,[1]Sheet1!$A$2:$E$1141,5,0)</f>
        <v>Spv of AC Maintenance &amp; Utility</v>
      </c>
      <c r="G856" s="17" t="str">
        <f>VLOOKUP(A856,[1]Sheet1!$A$2:$F$1141,6,0)</f>
        <v>Supervisor</v>
      </c>
      <c r="H856" s="1" t="s">
        <v>3069</v>
      </c>
      <c r="I856" s="1" t="s">
        <v>1117</v>
      </c>
      <c r="J856" s="1" t="str">
        <f>VLOOKUP(A856,[1]Sheet1!$A$2:$H$1141,8,0)</f>
        <v>Dep. of Project Mngmnt &amp; Maint. Support</v>
      </c>
      <c r="K856" s="1" t="str">
        <f>VLOOKUP(A856,[1]Sheet1!$A$2:$I$1141,9,0)</f>
        <v>Unit of Workshop</v>
      </c>
      <c r="L856" s="1" t="str">
        <f>VLOOKUP(A856,[1]Sheet1!$A$2:$J$1141,10,0)</f>
        <v>Section of Elins Workshop</v>
      </c>
      <c r="M856" s="2">
        <v>27624</v>
      </c>
      <c r="N856" s="1" t="s">
        <v>29</v>
      </c>
      <c r="O856" s="1" t="s">
        <v>30</v>
      </c>
      <c r="P856" s="1" t="s">
        <v>4497</v>
      </c>
      <c r="Q856" s="1" t="s">
        <v>4498</v>
      </c>
      <c r="R856" s="1" t="s">
        <v>4499</v>
      </c>
      <c r="S856" s="1" t="s">
        <v>3073</v>
      </c>
      <c r="T856" s="14">
        <v>48092</v>
      </c>
      <c r="U856" s="1" t="s">
        <v>4500</v>
      </c>
      <c r="V856" s="1" t="s">
        <v>36</v>
      </c>
      <c r="W856" s="3" t="str">
        <f t="shared" si="13"/>
        <v>51 tahun</v>
      </c>
      <c r="X856" s="1" t="s">
        <v>4501</v>
      </c>
      <c r="Y856" s="1" t="s">
        <v>56</v>
      </c>
      <c r="Z856" s="2">
        <v>37469</v>
      </c>
      <c r="AA856" s="2">
        <v>38718</v>
      </c>
      <c r="AB856" s="2" t="s">
        <v>4502</v>
      </c>
    </row>
    <row r="857" spans="1:28" x14ac:dyDescent="0.35">
      <c r="A857" s="12">
        <v>4475</v>
      </c>
      <c r="B857" s="12">
        <v>7206360</v>
      </c>
      <c r="C857" s="12" t="s">
        <v>219</v>
      </c>
      <c r="D857" s="12">
        <v>50066397</v>
      </c>
      <c r="E857" s="1" t="s">
        <v>4503</v>
      </c>
      <c r="F857" s="1" t="str">
        <f>VLOOKUP(A857,[1]Sheet1!$A$2:$E$1141,5,0)</f>
        <v>Spv of Motor rewinding</v>
      </c>
      <c r="G857" s="17" t="str">
        <f>VLOOKUP(A857,[1]Sheet1!$A$2:$F$1141,6,0)</f>
        <v>Supervisor</v>
      </c>
      <c r="H857" s="1" t="s">
        <v>3069</v>
      </c>
      <c r="I857" s="1" t="s">
        <v>1117</v>
      </c>
      <c r="J857" s="1" t="str">
        <f>VLOOKUP(A857,[1]Sheet1!$A$2:$H$1141,8,0)</f>
        <v>Dep. of Project Mngmnt &amp; Maint. Support</v>
      </c>
      <c r="K857" s="1" t="str">
        <f>VLOOKUP(A857,[1]Sheet1!$A$2:$I$1141,9,0)</f>
        <v>Unit of Workshop</v>
      </c>
      <c r="L857" s="1" t="str">
        <f>VLOOKUP(A857,[1]Sheet1!$A$2:$J$1141,10,0)</f>
        <v>Section of Elins Workshop</v>
      </c>
      <c r="M857" s="2">
        <v>26493</v>
      </c>
      <c r="N857" s="1" t="s">
        <v>29</v>
      </c>
      <c r="O857" s="1" t="s">
        <v>30</v>
      </c>
      <c r="P857" s="1" t="s">
        <v>4504</v>
      </c>
      <c r="Q857" s="1" t="s">
        <v>4505</v>
      </c>
      <c r="R857" s="1" t="s">
        <v>4506</v>
      </c>
      <c r="S857" s="1" t="s">
        <v>3073</v>
      </c>
      <c r="T857" s="14">
        <v>46966</v>
      </c>
      <c r="U857" s="1" t="s">
        <v>4507</v>
      </c>
      <c r="V857" s="1" t="s">
        <v>36</v>
      </c>
      <c r="W857" s="3" t="str">
        <f t="shared" si="13"/>
        <v>54 tahun</v>
      </c>
      <c r="X857" s="1" t="s">
        <v>595</v>
      </c>
      <c r="Y857" s="1" t="s">
        <v>56</v>
      </c>
      <c r="Z857" s="2">
        <v>38718</v>
      </c>
      <c r="AA857" s="2">
        <v>41030</v>
      </c>
      <c r="AB857" s="2" t="s">
        <v>4508</v>
      </c>
    </row>
    <row r="858" spans="1:28" x14ac:dyDescent="0.35">
      <c r="A858" s="12">
        <v>4894</v>
      </c>
      <c r="B858" s="12">
        <v>7395010</v>
      </c>
      <c r="C858" s="12" t="s">
        <v>50</v>
      </c>
      <c r="D858" s="12">
        <v>50066236</v>
      </c>
      <c r="E858" s="16" t="s">
        <v>4509</v>
      </c>
      <c r="F858" s="1" t="str">
        <f>VLOOKUP(A858,[1]Sheet1!$A$2:$E$1141,5,0)</f>
        <v>Mgr of Machine Workshop</v>
      </c>
      <c r="G858" s="16" t="str">
        <f>VLOOKUP(A858,[1]Sheet1!$A$2:$F$1141,6,0)</f>
        <v>Manager</v>
      </c>
      <c r="H858" s="1" t="s">
        <v>4272</v>
      </c>
      <c r="I858" s="1" t="s">
        <v>1117</v>
      </c>
      <c r="J858" s="1" t="str">
        <f>VLOOKUP(A858,[1]Sheet1!$A$2:$H$1141,8,0)</f>
        <v>Dep. of Project Mngmnt &amp; Maint. Support</v>
      </c>
      <c r="K858" s="1" t="str">
        <f>VLOOKUP(A858,[1]Sheet1!$A$2:$I$1141,9,0)</f>
        <v>Unit of Workshop</v>
      </c>
      <c r="L858" s="1" t="str">
        <f>VLOOKUP(A858,[1]Sheet1!$A$2:$J$1141,10,0)</f>
        <v>Section of Machine Workshop</v>
      </c>
      <c r="M858" s="2">
        <v>26679</v>
      </c>
      <c r="N858" s="1" t="s">
        <v>29</v>
      </c>
      <c r="O858" s="1" t="s">
        <v>30</v>
      </c>
      <c r="P858" s="1" t="s">
        <v>4510</v>
      </c>
      <c r="Q858" s="1" t="s">
        <v>4511</v>
      </c>
      <c r="R858" s="1" t="s">
        <v>4512</v>
      </c>
      <c r="S858" s="1" t="s">
        <v>4276</v>
      </c>
      <c r="T858" s="14">
        <v>47150</v>
      </c>
      <c r="U858" s="1" t="s">
        <v>4513</v>
      </c>
      <c r="V858" s="1" t="s">
        <v>36</v>
      </c>
      <c r="W858" s="3" t="str">
        <f t="shared" si="13"/>
        <v>53 tahun</v>
      </c>
      <c r="X858" s="1" t="s">
        <v>4514</v>
      </c>
      <c r="Y858" s="1" t="s">
        <v>56</v>
      </c>
      <c r="Z858" s="2">
        <v>34897</v>
      </c>
      <c r="AA858" s="2">
        <v>35278</v>
      </c>
      <c r="AB858" s="2" t="s">
        <v>4515</v>
      </c>
    </row>
    <row r="859" spans="1:28" x14ac:dyDescent="0.35">
      <c r="A859" s="12">
        <v>5985</v>
      </c>
      <c r="B859" s="12">
        <v>8812152</v>
      </c>
      <c r="C859" s="12" t="s">
        <v>103</v>
      </c>
      <c r="D859" s="12">
        <v>50066394</v>
      </c>
      <c r="E859" s="1" t="s">
        <v>4516</v>
      </c>
      <c r="F859" s="1" t="str">
        <f>VLOOKUP(A859,[1]Sheet1!$A$2:$E$1141,5,0)</f>
        <v>Spv of Workshop</v>
      </c>
      <c r="G859" s="17" t="str">
        <f>VLOOKUP(A859,[1]Sheet1!$A$2:$F$1141,6,0)</f>
        <v>Supervisor</v>
      </c>
      <c r="H859" s="1" t="s">
        <v>4517</v>
      </c>
      <c r="I859" s="1" t="s">
        <v>1117</v>
      </c>
      <c r="J859" s="1" t="str">
        <f>VLOOKUP(A859,[1]Sheet1!$A$2:$H$1141,8,0)</f>
        <v>Dep. of Project Mngmnt &amp; Maint. Support</v>
      </c>
      <c r="K859" s="1" t="str">
        <f>VLOOKUP(A859,[1]Sheet1!$A$2:$I$1141,9,0)</f>
        <v>Unit of Workshop</v>
      </c>
      <c r="L859" s="1" t="str">
        <f>VLOOKUP(A859,[1]Sheet1!$A$2:$J$1141,10,0)</f>
        <v>Section of Machine Workshop</v>
      </c>
      <c r="M859" s="2">
        <v>32439</v>
      </c>
      <c r="N859" s="1" t="s">
        <v>29</v>
      </c>
      <c r="O859" s="1" t="s">
        <v>30</v>
      </c>
      <c r="P859" s="1" t="s">
        <v>4518</v>
      </c>
      <c r="Q859" s="1" t="s">
        <v>4519</v>
      </c>
      <c r="R859" s="1" t="s">
        <v>4520</v>
      </c>
      <c r="S859" s="1" t="s">
        <v>4521</v>
      </c>
      <c r="T859" s="14">
        <v>52902</v>
      </c>
      <c r="U859" s="1" t="s">
        <v>4522</v>
      </c>
      <c r="V859" s="1" t="s">
        <v>36</v>
      </c>
      <c r="W859" s="3" t="str">
        <f t="shared" si="13"/>
        <v>37 tahun</v>
      </c>
      <c r="X859" s="1" t="s">
        <v>55</v>
      </c>
      <c r="Y859" s="1" t="s">
        <v>56</v>
      </c>
      <c r="Z859" s="2">
        <v>41275</v>
      </c>
      <c r="AA859" s="2">
        <v>41395</v>
      </c>
      <c r="AB859" s="2" t="s">
        <v>4523</v>
      </c>
    </row>
    <row r="860" spans="1:28" x14ac:dyDescent="0.35">
      <c r="A860" s="12">
        <v>6216</v>
      </c>
      <c r="B860" s="12">
        <v>9112382</v>
      </c>
      <c r="C860" s="12" t="s">
        <v>103</v>
      </c>
      <c r="D860" s="12">
        <v>50069454</v>
      </c>
      <c r="E860" s="1" t="s">
        <v>4524</v>
      </c>
      <c r="F860" s="1" t="str">
        <f>VLOOKUP(A860,[1]Sheet1!$A$2:$E$1141,5,0)</f>
        <v>Spv of Workshop</v>
      </c>
      <c r="G860" s="17" t="str">
        <f>VLOOKUP(A860,[1]Sheet1!$A$2:$F$1141,6,0)</f>
        <v>Supervisor</v>
      </c>
      <c r="H860" s="1" t="s">
        <v>4517</v>
      </c>
      <c r="I860" s="1" t="s">
        <v>1117</v>
      </c>
      <c r="J860" s="1" t="str">
        <f>VLOOKUP(A860,[1]Sheet1!$A$2:$H$1141,8,0)</f>
        <v>Dep. of Project Mngmnt &amp; Maint. Support</v>
      </c>
      <c r="K860" s="1" t="str">
        <f>VLOOKUP(A860,[1]Sheet1!$A$2:$I$1141,9,0)</f>
        <v>Unit of Workshop</v>
      </c>
      <c r="L860" s="1" t="str">
        <f>VLOOKUP(A860,[1]Sheet1!$A$2:$J$1141,10,0)</f>
        <v>Section of Machine Workshop</v>
      </c>
      <c r="M860" s="2">
        <v>33532</v>
      </c>
      <c r="N860" s="1" t="s">
        <v>29</v>
      </c>
      <c r="O860" s="1" t="s">
        <v>30</v>
      </c>
      <c r="P860" s="1" t="s">
        <v>4525</v>
      </c>
      <c r="Q860" s="1" t="s">
        <v>4519</v>
      </c>
      <c r="R860" s="1" t="s">
        <v>4520</v>
      </c>
      <c r="S860" s="1" t="s">
        <v>4521</v>
      </c>
      <c r="T860" s="14">
        <v>53997</v>
      </c>
      <c r="U860" s="1" t="s">
        <v>4526</v>
      </c>
      <c r="V860" s="1" t="s">
        <v>36</v>
      </c>
      <c r="W860" s="3" t="str">
        <f t="shared" si="13"/>
        <v>34 tahun</v>
      </c>
      <c r="X860" s="1" t="s">
        <v>595</v>
      </c>
      <c r="Y860" s="1" t="s">
        <v>56</v>
      </c>
      <c r="Z860" s="2">
        <v>41275</v>
      </c>
      <c r="AA860" s="2">
        <v>41426</v>
      </c>
      <c r="AB860" s="2" t="s">
        <v>4527</v>
      </c>
    </row>
    <row r="861" spans="1:28" x14ac:dyDescent="0.35">
      <c r="A861" s="12">
        <v>6268</v>
      </c>
      <c r="B861" s="12">
        <v>9212436</v>
      </c>
      <c r="C861" s="12" t="s">
        <v>103</v>
      </c>
      <c r="D861" s="12">
        <v>50066391</v>
      </c>
      <c r="E861" s="1" t="s">
        <v>4528</v>
      </c>
      <c r="F861" s="1" t="str">
        <f>VLOOKUP(A861,[1]Sheet1!$A$2:$E$1141,5,0)</f>
        <v>Spv of Estimator &amp; Planning</v>
      </c>
      <c r="G861" s="17" t="str">
        <f>VLOOKUP(A861,[1]Sheet1!$A$2:$F$1141,6,0)</f>
        <v>Supervisor</v>
      </c>
      <c r="H861" s="1" t="s">
        <v>4517</v>
      </c>
      <c r="I861" s="1" t="s">
        <v>1117</v>
      </c>
      <c r="J861" s="1" t="str">
        <f>VLOOKUP(A861,[1]Sheet1!$A$2:$H$1141,8,0)</f>
        <v>Dep. of Project Mngmnt &amp; Maint. Support</v>
      </c>
      <c r="K861" s="1" t="str">
        <f>VLOOKUP(A861,[1]Sheet1!$A$2:$I$1141,9,0)</f>
        <v>Unit of Workshop</v>
      </c>
      <c r="L861" s="1" t="str">
        <f>VLOOKUP(A861,[1]Sheet1!$A$2:$J$1141,10,0)</f>
        <v>Section of Machine Workshop</v>
      </c>
      <c r="M861" s="2">
        <v>33865</v>
      </c>
      <c r="N861" s="1" t="s">
        <v>29</v>
      </c>
      <c r="O861" s="1" t="s">
        <v>30</v>
      </c>
      <c r="P861" s="1" t="s">
        <v>4529</v>
      </c>
      <c r="Q861" s="1" t="s">
        <v>4530</v>
      </c>
      <c r="R861" s="1" t="s">
        <v>4531</v>
      </c>
      <c r="S861" s="1" t="s">
        <v>4521</v>
      </c>
      <c r="T861" s="14">
        <v>54332</v>
      </c>
      <c r="U861" s="1" t="s">
        <v>4532</v>
      </c>
      <c r="V861" s="1" t="s">
        <v>36</v>
      </c>
      <c r="W861" s="3" t="str">
        <f t="shared" si="13"/>
        <v>33 tahun</v>
      </c>
      <c r="X861" s="1" t="s">
        <v>121</v>
      </c>
      <c r="Y861" s="1" t="s">
        <v>48</v>
      </c>
      <c r="Z861" s="2">
        <v>41275</v>
      </c>
      <c r="AA861" s="2">
        <v>41426</v>
      </c>
      <c r="AB861" s="2" t="s">
        <v>4533</v>
      </c>
    </row>
    <row r="862" spans="1:28" x14ac:dyDescent="0.35">
      <c r="A862" s="12">
        <v>6121</v>
      </c>
      <c r="B862" s="12">
        <v>9012290</v>
      </c>
      <c r="C862" s="12" t="s">
        <v>103</v>
      </c>
      <c r="D862" s="12">
        <v>50066389</v>
      </c>
      <c r="E862" s="1" t="s">
        <v>4534</v>
      </c>
      <c r="F862" s="1" t="str">
        <f>VLOOKUP(A862,[1]Sheet1!$A$2:$E$1141,5,0)</f>
        <v>Spv of Fabrication</v>
      </c>
      <c r="G862" s="17" t="str">
        <f>VLOOKUP(A862,[1]Sheet1!$A$2:$F$1141,6,0)</f>
        <v>Supervisor</v>
      </c>
      <c r="H862" s="1" t="s">
        <v>4272</v>
      </c>
      <c r="I862" s="1" t="s">
        <v>1117</v>
      </c>
      <c r="J862" s="1" t="str">
        <f>VLOOKUP(A862,[1]Sheet1!$A$2:$H$1141,8,0)</f>
        <v>Dep. of Project Mngmnt &amp; Maint. Support</v>
      </c>
      <c r="K862" s="1" t="str">
        <f>VLOOKUP(A862,[1]Sheet1!$A$2:$I$1141,9,0)</f>
        <v>Unit of Workshop</v>
      </c>
      <c r="L862" s="1" t="str">
        <f>VLOOKUP(A862,[1]Sheet1!$A$2:$J$1141,10,0)</f>
        <v>Section of Machine Workshop</v>
      </c>
      <c r="M862" s="2">
        <v>33133</v>
      </c>
      <c r="N862" s="1" t="s">
        <v>29</v>
      </c>
      <c r="O862" s="1" t="s">
        <v>30</v>
      </c>
      <c r="P862" s="1" t="s">
        <v>4535</v>
      </c>
      <c r="Q862" s="1" t="s">
        <v>4536</v>
      </c>
      <c r="R862" s="1" t="s">
        <v>4537</v>
      </c>
      <c r="S862" s="1" t="s">
        <v>4276</v>
      </c>
      <c r="T862" s="14">
        <v>53601</v>
      </c>
      <c r="U862" s="1" t="s">
        <v>4538</v>
      </c>
      <c r="V862" s="1" t="s">
        <v>36</v>
      </c>
      <c r="W862" s="3" t="str">
        <f t="shared" si="13"/>
        <v>35 tahun</v>
      </c>
      <c r="X862" s="1" t="s">
        <v>55</v>
      </c>
      <c r="Y862" s="1" t="s">
        <v>48</v>
      </c>
      <c r="Z862" s="2">
        <v>41275</v>
      </c>
      <c r="AA862" s="2">
        <v>41426</v>
      </c>
      <c r="AB862" s="2" t="s">
        <v>4539</v>
      </c>
    </row>
    <row r="863" spans="1:28" x14ac:dyDescent="0.35">
      <c r="A863" s="12">
        <v>5851</v>
      </c>
      <c r="B863" s="12">
        <v>8512027</v>
      </c>
      <c r="C863" s="12" t="s">
        <v>103</v>
      </c>
      <c r="D863" s="12">
        <v>50069453</v>
      </c>
      <c r="E863" s="1" t="s">
        <v>4540</v>
      </c>
      <c r="F863" s="1" t="str">
        <f>VLOOKUP(A863,[1]Sheet1!$A$2:$E$1141,5,0)</f>
        <v>Spv of Fabrication</v>
      </c>
      <c r="G863" s="17" t="str">
        <f>VLOOKUP(A863,[1]Sheet1!$A$2:$F$1141,6,0)</f>
        <v>Supervisor</v>
      </c>
      <c r="H863" s="1" t="s">
        <v>4272</v>
      </c>
      <c r="I863" s="1" t="s">
        <v>1117</v>
      </c>
      <c r="J863" s="1" t="str">
        <f>VLOOKUP(A863,[1]Sheet1!$A$2:$H$1141,8,0)</f>
        <v>Dep. of Project Mngmnt &amp; Maint. Support</v>
      </c>
      <c r="K863" s="1" t="str">
        <f>VLOOKUP(A863,[1]Sheet1!$A$2:$I$1141,9,0)</f>
        <v>Unit of Workshop</v>
      </c>
      <c r="L863" s="1" t="str">
        <f>VLOOKUP(A863,[1]Sheet1!$A$2:$J$1141,10,0)</f>
        <v>Section of Machine Workshop</v>
      </c>
      <c r="M863" s="2">
        <v>31302</v>
      </c>
      <c r="N863" s="1" t="s">
        <v>29</v>
      </c>
      <c r="O863" s="1" t="s">
        <v>30</v>
      </c>
      <c r="P863" s="1" t="s">
        <v>4541</v>
      </c>
      <c r="Q863" s="1" t="s">
        <v>4536</v>
      </c>
      <c r="R863" s="1" t="s">
        <v>4537</v>
      </c>
      <c r="S863" s="1" t="s">
        <v>4276</v>
      </c>
      <c r="T863" s="14">
        <v>51775</v>
      </c>
      <c r="U863" s="1" t="s">
        <v>4542</v>
      </c>
      <c r="V863" s="1" t="s">
        <v>36</v>
      </c>
      <c r="W863" s="3" t="str">
        <f t="shared" si="13"/>
        <v>40 tahun</v>
      </c>
      <c r="X863" s="1" t="s">
        <v>121</v>
      </c>
      <c r="Y863" s="1" t="s">
        <v>56</v>
      </c>
      <c r="Z863" s="2">
        <v>41275</v>
      </c>
      <c r="AA863" s="2">
        <v>41395</v>
      </c>
      <c r="AB863" s="2" t="e">
        <v>#N/A</v>
      </c>
    </row>
    <row r="864" spans="1:28" x14ac:dyDescent="0.35">
      <c r="A864" s="12">
        <v>6276</v>
      </c>
      <c r="B864" s="12">
        <v>9312445</v>
      </c>
      <c r="C864" s="12" t="s">
        <v>103</v>
      </c>
      <c r="D864" s="12">
        <v>50066383</v>
      </c>
      <c r="E864" s="1" t="s">
        <v>4543</v>
      </c>
      <c r="F864" s="1" t="str">
        <f>VLOOKUP(A864,[1]Sheet1!$A$2:$E$1141,5,0)</f>
        <v>Field Supporting Jr Officer</v>
      </c>
      <c r="G864" s="17" t="str">
        <f>VLOOKUP(A864,[1]Sheet1!$A$2:$F$1141,6,0)</f>
        <v>Supervisor</v>
      </c>
      <c r="H864" s="1" t="s">
        <v>4272</v>
      </c>
      <c r="I864" s="1" t="s">
        <v>1117</v>
      </c>
      <c r="J864" s="1" t="str">
        <f>VLOOKUP(A864,[1]Sheet1!$A$2:$H$1141,8,0)</f>
        <v>Dep. of Project Mngmnt &amp; Maint. Support</v>
      </c>
      <c r="K864" s="1" t="str">
        <f>VLOOKUP(A864,[1]Sheet1!$A$2:$I$1141,9,0)</f>
        <v>Unit of Workshop</v>
      </c>
      <c r="L864" s="1" t="str">
        <f>VLOOKUP(A864,[1]Sheet1!$A$2:$J$1141,10,0)</f>
        <v>Staff of Field Supporting</v>
      </c>
      <c r="M864" s="2">
        <v>33971</v>
      </c>
      <c r="N864" s="1" t="s">
        <v>29</v>
      </c>
      <c r="O864" s="1" t="s">
        <v>30</v>
      </c>
      <c r="P864" s="1" t="s">
        <v>4544</v>
      </c>
      <c r="Q864" s="1" t="s">
        <v>4545</v>
      </c>
      <c r="R864" s="1" t="s">
        <v>4546</v>
      </c>
      <c r="S864" s="1" t="s">
        <v>4276</v>
      </c>
      <c r="T864" s="14">
        <v>54455</v>
      </c>
      <c r="U864" s="1" t="s">
        <v>4547</v>
      </c>
      <c r="V864" s="1" t="s">
        <v>36</v>
      </c>
      <c r="W864" s="3" t="str">
        <f t="shared" si="13"/>
        <v>33 tahun</v>
      </c>
      <c r="X864" s="1" t="s">
        <v>667</v>
      </c>
      <c r="Y864" s="1" t="s">
        <v>56</v>
      </c>
      <c r="Z864" s="2">
        <v>41275</v>
      </c>
      <c r="AA864" s="2">
        <v>41395</v>
      </c>
      <c r="AB864" s="2" t="s">
        <v>4548</v>
      </c>
    </row>
    <row r="865" spans="1:28" x14ac:dyDescent="0.35">
      <c r="A865" s="12">
        <v>4847</v>
      </c>
      <c r="B865" s="12">
        <v>7306393</v>
      </c>
      <c r="C865" s="12" t="s">
        <v>219</v>
      </c>
      <c r="D865" s="12">
        <v>50066382</v>
      </c>
      <c r="E865" s="1" t="s">
        <v>4549</v>
      </c>
      <c r="F865" s="1" t="str">
        <f>VLOOKUP(A865,[1]Sheet1!$A$2:$E$1141,5,0)</f>
        <v>Field Supporting Jr Officer</v>
      </c>
      <c r="G865" s="17" t="str">
        <f>VLOOKUP(A865,[1]Sheet1!$A$2:$F$1141,6,0)</f>
        <v>Supervisor</v>
      </c>
      <c r="H865" s="1" t="s">
        <v>4272</v>
      </c>
      <c r="I865" s="1" t="s">
        <v>1117</v>
      </c>
      <c r="J865" s="1" t="str">
        <f>VLOOKUP(A865,[1]Sheet1!$A$2:$H$1141,8,0)</f>
        <v>Dep. of Project Mngmnt &amp; Maint. Support</v>
      </c>
      <c r="K865" s="1" t="str">
        <f>VLOOKUP(A865,[1]Sheet1!$A$2:$I$1141,9,0)</f>
        <v>Unit of Workshop</v>
      </c>
      <c r="L865" s="1" t="str">
        <f>VLOOKUP(A865,[1]Sheet1!$A$2:$J$1141,10,0)</f>
        <v>Staff of Field Supporting</v>
      </c>
      <c r="M865" s="2">
        <v>26820</v>
      </c>
      <c r="N865" s="1" t="s">
        <v>29</v>
      </c>
      <c r="O865" s="1" t="s">
        <v>30</v>
      </c>
      <c r="P865" s="1" t="s">
        <v>4550</v>
      </c>
      <c r="Q865" s="1" t="s">
        <v>4545</v>
      </c>
      <c r="R865" s="1" t="s">
        <v>4546</v>
      </c>
      <c r="S865" s="1" t="s">
        <v>4276</v>
      </c>
      <c r="T865" s="14">
        <v>47300</v>
      </c>
      <c r="U865" s="1" t="s">
        <v>4551</v>
      </c>
      <c r="V865" s="1" t="s">
        <v>36</v>
      </c>
      <c r="W865" s="3" t="str">
        <f t="shared" si="13"/>
        <v>53 tahun</v>
      </c>
      <c r="X865" s="1" t="s">
        <v>96</v>
      </c>
      <c r="Y865" s="1" t="s">
        <v>56</v>
      </c>
      <c r="Z865" s="2">
        <v>38718</v>
      </c>
      <c r="AA865" s="2">
        <v>41030</v>
      </c>
      <c r="AB865" s="2" t="s">
        <v>84</v>
      </c>
    </row>
    <row r="866" spans="1:28" x14ac:dyDescent="0.35">
      <c r="A866" s="12">
        <v>4438</v>
      </c>
      <c r="B866" s="12">
        <v>7106315</v>
      </c>
      <c r="C866" s="12" t="s">
        <v>219</v>
      </c>
      <c r="D866" s="12">
        <v>50066476</v>
      </c>
      <c r="E866" s="1" t="s">
        <v>4552</v>
      </c>
      <c r="F866" s="1" t="str">
        <f>VLOOKUP(A866,[1]Sheet1!$A$2:$E$1141,5,0)</f>
        <v>Field Supporting Jr Officer</v>
      </c>
      <c r="G866" s="17" t="str">
        <f>VLOOKUP(A866,[1]Sheet1!$A$2:$F$1141,6,0)</f>
        <v>Supervisor</v>
      </c>
      <c r="H866" s="1" t="s">
        <v>4272</v>
      </c>
      <c r="I866" s="1" t="s">
        <v>1117</v>
      </c>
      <c r="J866" s="1" t="str">
        <f>VLOOKUP(A866,[1]Sheet1!$A$2:$H$1141,8,0)</f>
        <v>Dep. of Project Mngmnt &amp; Maint. Support</v>
      </c>
      <c r="K866" s="1" t="str">
        <f>VLOOKUP(A866,[1]Sheet1!$A$2:$I$1141,9,0)</f>
        <v>Unit of Workshop</v>
      </c>
      <c r="L866" s="1" t="str">
        <f>VLOOKUP(A866,[1]Sheet1!$A$2:$J$1141,10,0)</f>
        <v>Staff of Field Supporting</v>
      </c>
      <c r="M866" s="2">
        <v>26110</v>
      </c>
      <c r="N866" s="1" t="s">
        <v>29</v>
      </c>
      <c r="O866" s="1" t="s">
        <v>30</v>
      </c>
      <c r="P866" s="1" t="s">
        <v>4553</v>
      </c>
      <c r="Q866" s="1" t="s">
        <v>4545</v>
      </c>
      <c r="R866" s="1" t="s">
        <v>4546</v>
      </c>
      <c r="S866" s="1" t="s">
        <v>4276</v>
      </c>
      <c r="T866" s="14">
        <v>46569</v>
      </c>
      <c r="U866" s="1" t="s">
        <v>4554</v>
      </c>
      <c r="V866" s="1" t="s">
        <v>36</v>
      </c>
      <c r="W866" s="3" t="str">
        <f t="shared" si="13"/>
        <v>55 tahun</v>
      </c>
      <c r="X866" s="1" t="s">
        <v>121</v>
      </c>
      <c r="Y866" s="1" t="s">
        <v>56</v>
      </c>
      <c r="Z866" s="2">
        <v>38718</v>
      </c>
      <c r="AA866" s="2">
        <v>41030</v>
      </c>
      <c r="AB866" s="2" t="s">
        <v>4555</v>
      </c>
    </row>
    <row r="867" spans="1:28" x14ac:dyDescent="0.35">
      <c r="A867" s="12">
        <v>5939</v>
      </c>
      <c r="B867" s="12">
        <v>8712105</v>
      </c>
      <c r="C867" s="12" t="s">
        <v>103</v>
      </c>
      <c r="D867" s="12">
        <v>50066381</v>
      </c>
      <c r="E867" s="1" t="s">
        <v>4556</v>
      </c>
      <c r="F867" s="1" t="str">
        <f>VLOOKUP(A867,[1]Sheet1!$A$2:$E$1141,5,0)</f>
        <v>Field Supporting Jr Officer</v>
      </c>
      <c r="G867" s="17" t="str">
        <f>VLOOKUP(A867,[1]Sheet1!$A$2:$F$1141,6,0)</f>
        <v>Supervisor</v>
      </c>
      <c r="H867" s="1" t="s">
        <v>4272</v>
      </c>
      <c r="I867" s="1" t="s">
        <v>1117</v>
      </c>
      <c r="J867" s="1" t="str">
        <f>VLOOKUP(A867,[1]Sheet1!$A$2:$H$1141,8,0)</f>
        <v>Dep. of Project Mngmnt &amp; Maint. Support</v>
      </c>
      <c r="K867" s="1" t="str">
        <f>VLOOKUP(A867,[1]Sheet1!$A$2:$I$1141,9,0)</f>
        <v>Unit of Workshop</v>
      </c>
      <c r="L867" s="1" t="str">
        <f>VLOOKUP(A867,[1]Sheet1!$A$2:$J$1141,10,0)</f>
        <v>Staff of Field Supporting</v>
      </c>
      <c r="M867" s="2">
        <v>32065</v>
      </c>
      <c r="N867" s="1" t="s">
        <v>29</v>
      </c>
      <c r="O867" s="1" t="s">
        <v>30</v>
      </c>
      <c r="P867" s="1" t="s">
        <v>4557</v>
      </c>
      <c r="Q867" s="1" t="s">
        <v>4545</v>
      </c>
      <c r="R867" s="1" t="s">
        <v>4546</v>
      </c>
      <c r="S867" s="1" t="s">
        <v>4276</v>
      </c>
      <c r="T867" s="14">
        <v>52536</v>
      </c>
      <c r="U867" s="1" t="s">
        <v>4558</v>
      </c>
      <c r="V867" s="1" t="s">
        <v>36</v>
      </c>
      <c r="W867" s="3" t="str">
        <f t="shared" si="13"/>
        <v>38 tahun</v>
      </c>
      <c r="X867" s="1" t="s">
        <v>37</v>
      </c>
      <c r="Y867" s="1" t="s">
        <v>56</v>
      </c>
      <c r="Z867" s="2">
        <v>41275</v>
      </c>
      <c r="AA867" s="2">
        <v>41456</v>
      </c>
      <c r="AB867" s="2" t="s">
        <v>4559</v>
      </c>
    </row>
    <row r="868" spans="1:28" x14ac:dyDescent="0.35">
      <c r="A868" s="12">
        <v>5288</v>
      </c>
      <c r="B868" s="12">
        <v>8310016</v>
      </c>
      <c r="C868" s="12" t="s">
        <v>139</v>
      </c>
      <c r="D868" s="12">
        <v>50066240</v>
      </c>
      <c r="E868" s="15" t="s">
        <v>4560</v>
      </c>
      <c r="F868" s="1" t="str">
        <f>VLOOKUP(A868,[1]Sheet1!$A$2:$E$1141,5,0)</f>
        <v>SM of Maintenance Planning &amp; Eval.</v>
      </c>
      <c r="G868" s="15" t="str">
        <f>VLOOKUP(A868,[1]Sheet1!$A$2:$F$1141,6,0)</f>
        <v>Senior Manager</v>
      </c>
      <c r="H868" s="1" t="s">
        <v>4561</v>
      </c>
      <c r="I868" s="1" t="s">
        <v>1117</v>
      </c>
      <c r="J868" s="1" t="str">
        <f>VLOOKUP(A868,[1]Sheet1!$A$2:$H$1141,8,0)</f>
        <v>Dep. of Project Mngmnt &amp; Maint. Support</v>
      </c>
      <c r="K868" s="1" t="str">
        <f>VLOOKUP(A868,[1]Sheet1!$A$2:$I$1141,9,0)</f>
        <v>Unit of Maintenance Planning &amp; Eval.</v>
      </c>
      <c r="L868" s="1" t="e">
        <f>VLOOKUP(A868,[1]Sheet1!$A$2:$J$1141,10,0)</f>
        <v>#REF!</v>
      </c>
      <c r="M868" s="2">
        <v>30523</v>
      </c>
      <c r="N868" s="1" t="s">
        <v>29</v>
      </c>
      <c r="O868" s="1" t="s">
        <v>30</v>
      </c>
      <c r="P868" s="1" t="s">
        <v>4562</v>
      </c>
      <c r="Q868" s="1" t="s">
        <v>4563</v>
      </c>
      <c r="R868" s="1" t="s">
        <v>4564</v>
      </c>
      <c r="S868" s="1" t="s">
        <v>4565</v>
      </c>
      <c r="T868" s="14">
        <v>50983</v>
      </c>
      <c r="U868" s="1" t="s">
        <v>4566</v>
      </c>
      <c r="V868" s="1" t="s">
        <v>36</v>
      </c>
      <c r="W868" s="3" t="str">
        <f t="shared" si="13"/>
        <v>43 tahun</v>
      </c>
      <c r="X868" s="1" t="s">
        <v>994</v>
      </c>
      <c r="Y868" s="1" t="s">
        <v>38</v>
      </c>
      <c r="Z868" s="2">
        <v>40544</v>
      </c>
      <c r="AA868" s="2">
        <v>40664</v>
      </c>
      <c r="AB868" s="2" t="s">
        <v>4567</v>
      </c>
    </row>
    <row r="869" spans="1:28" x14ac:dyDescent="0.35">
      <c r="A869" s="12">
        <v>4750</v>
      </c>
      <c r="B869" s="12">
        <v>7195140</v>
      </c>
      <c r="C869" s="12" t="s">
        <v>50</v>
      </c>
      <c r="D869" s="12">
        <v>50066274</v>
      </c>
      <c r="E869" s="1" t="s">
        <v>2247</v>
      </c>
      <c r="F869" s="1" t="str">
        <f>VLOOKUP(A869,[1]Sheet1!$A$2:$E$1141,5,0)</f>
        <v>Maintenance Control &amp; Eval. Jr Officer</v>
      </c>
      <c r="G869" s="17" t="str">
        <f>VLOOKUP(A869,[1]Sheet1!$A$2:$F$1141,6,0)</f>
        <v>Supervisor</v>
      </c>
      <c r="H869" s="1" t="s">
        <v>4561</v>
      </c>
      <c r="I869" s="1" t="s">
        <v>1117</v>
      </c>
      <c r="J869" s="1" t="str">
        <f>VLOOKUP(A869,[1]Sheet1!$A$2:$H$1141,8,0)</f>
        <v>Dep. of Project Mngmnt &amp; Maint. Support</v>
      </c>
      <c r="K869" s="1" t="str">
        <f>VLOOKUP(A869,[1]Sheet1!$A$2:$I$1141,9,0)</f>
        <v>Unit of Maintenance Planning &amp; Eval.</v>
      </c>
      <c r="L869" s="1" t="str">
        <f>VLOOKUP(A869,[1]Sheet1!$A$2:$J$1141,10,0)</f>
        <v>Staff of Maintenance Control &amp; Eval.</v>
      </c>
      <c r="M869" s="2">
        <v>25938</v>
      </c>
      <c r="N869" s="1" t="s">
        <v>29</v>
      </c>
      <c r="O869" s="1" t="s">
        <v>30</v>
      </c>
      <c r="P869" s="1" t="s">
        <v>4568</v>
      </c>
      <c r="Q869" s="1" t="s">
        <v>4569</v>
      </c>
      <c r="R869" s="1" t="s">
        <v>4570</v>
      </c>
      <c r="S869" s="1" t="s">
        <v>4565</v>
      </c>
      <c r="T869" s="14">
        <v>46419</v>
      </c>
      <c r="U869" s="1" t="s">
        <v>4571</v>
      </c>
      <c r="V869" s="1" t="s">
        <v>36</v>
      </c>
      <c r="W869" s="3" t="str">
        <f t="shared" si="13"/>
        <v>55 tahun</v>
      </c>
      <c r="X869" s="1" t="s">
        <v>55</v>
      </c>
      <c r="Y869" s="1" t="s">
        <v>56</v>
      </c>
      <c r="Z869" s="2">
        <v>34943</v>
      </c>
      <c r="AA869" s="2">
        <v>35309</v>
      </c>
      <c r="AB869" s="2" t="s">
        <v>4572</v>
      </c>
    </row>
    <row r="870" spans="1:28" x14ac:dyDescent="0.35">
      <c r="A870" s="12">
        <v>5138</v>
      </c>
      <c r="B870" s="12">
        <v>7595239</v>
      </c>
      <c r="C870" s="12" t="s">
        <v>50</v>
      </c>
      <c r="D870" s="12">
        <v>50066263</v>
      </c>
      <c r="E870" s="1" t="s">
        <v>4573</v>
      </c>
      <c r="F870" s="1" t="str">
        <f>VLOOKUP(A870,[1]Sheet1!$A$2:$E$1141,5,0)</f>
        <v>Maintenance Control &amp; Eval. Jr Officer</v>
      </c>
      <c r="G870" s="17" t="str">
        <f>VLOOKUP(A870,[1]Sheet1!$A$2:$F$1141,6,0)</f>
        <v>Supervisor</v>
      </c>
      <c r="H870" s="1" t="s">
        <v>4561</v>
      </c>
      <c r="I870" s="1" t="s">
        <v>1117</v>
      </c>
      <c r="J870" s="1" t="str">
        <f>VLOOKUP(A870,[1]Sheet1!$A$2:$H$1141,8,0)</f>
        <v>Dep. of Project Mngmnt &amp; Maint. Support</v>
      </c>
      <c r="K870" s="1" t="str">
        <f>VLOOKUP(A870,[1]Sheet1!$A$2:$I$1141,9,0)</f>
        <v>Unit of Maintenance Planning &amp; Eval.</v>
      </c>
      <c r="L870" s="1" t="str">
        <f>VLOOKUP(A870,[1]Sheet1!$A$2:$J$1141,10,0)</f>
        <v>Staff of Maintenance Control &amp; Eval.</v>
      </c>
      <c r="M870" s="2">
        <v>27531</v>
      </c>
      <c r="N870" s="1" t="s">
        <v>29</v>
      </c>
      <c r="O870" s="1" t="s">
        <v>30</v>
      </c>
      <c r="P870" s="1" t="s">
        <v>4574</v>
      </c>
      <c r="Q870" s="1" t="s">
        <v>4569</v>
      </c>
      <c r="R870" s="1" t="s">
        <v>4570</v>
      </c>
      <c r="S870" s="1" t="s">
        <v>4565</v>
      </c>
      <c r="T870" s="14">
        <v>48000</v>
      </c>
      <c r="U870" s="1" t="s">
        <v>4575</v>
      </c>
      <c r="V870" s="1" t="s">
        <v>36</v>
      </c>
      <c r="W870" s="3" t="str">
        <f t="shared" si="13"/>
        <v>51 tahun</v>
      </c>
      <c r="X870" s="1" t="s">
        <v>4576</v>
      </c>
      <c r="Y870" s="1" t="s">
        <v>48</v>
      </c>
      <c r="Z870" s="2">
        <v>35002</v>
      </c>
      <c r="AA870" s="2">
        <v>35370</v>
      </c>
      <c r="AB870" s="2" t="s">
        <v>4577</v>
      </c>
    </row>
    <row r="871" spans="1:28" x14ac:dyDescent="0.35">
      <c r="A871" s="12">
        <v>5376</v>
      </c>
      <c r="B871" s="12">
        <v>8610072</v>
      </c>
      <c r="C871" s="12" t="s">
        <v>139</v>
      </c>
      <c r="D871" s="12">
        <v>50066479</v>
      </c>
      <c r="E871" s="1" t="s">
        <v>4578</v>
      </c>
      <c r="F871" s="1" t="str">
        <f>VLOOKUP(A871,[1]Sheet1!$A$2:$E$1141,5,0)</f>
        <v>Maintenance Control &amp; Eval. Jr Officer</v>
      </c>
      <c r="G871" s="17" t="str">
        <f>VLOOKUP(A871,[1]Sheet1!$A$2:$F$1141,6,0)</f>
        <v>Supervisor</v>
      </c>
      <c r="H871" s="1" t="s">
        <v>4561</v>
      </c>
      <c r="I871" s="1" t="s">
        <v>1117</v>
      </c>
      <c r="J871" s="1" t="str">
        <f>VLOOKUP(A871,[1]Sheet1!$A$2:$H$1141,8,0)</f>
        <v>Dep. of Project Mngmnt &amp; Maint. Support</v>
      </c>
      <c r="K871" s="1" t="str">
        <f>VLOOKUP(A871,[1]Sheet1!$A$2:$I$1141,9,0)</f>
        <v>Unit of Maintenance Planning &amp; Eval.</v>
      </c>
      <c r="L871" s="1" t="str">
        <f>VLOOKUP(A871,[1]Sheet1!$A$2:$J$1141,10,0)</f>
        <v>Staff of Maintenance Control &amp; Eval.</v>
      </c>
      <c r="M871" s="2">
        <v>31655</v>
      </c>
      <c r="N871" s="1" t="s">
        <v>29</v>
      </c>
      <c r="O871" s="1" t="s">
        <v>30</v>
      </c>
      <c r="P871" s="1" t="s">
        <v>4579</v>
      </c>
      <c r="Q871" s="1" t="s">
        <v>4569</v>
      </c>
      <c r="R871" s="1" t="s">
        <v>4570</v>
      </c>
      <c r="S871" s="1" t="s">
        <v>4565</v>
      </c>
      <c r="T871" s="14">
        <v>52110</v>
      </c>
      <c r="U871" s="1" t="s">
        <v>4580</v>
      </c>
      <c r="V871" s="1" t="s">
        <v>36</v>
      </c>
      <c r="W871" s="3" t="str">
        <f t="shared" si="13"/>
        <v>40 tahun</v>
      </c>
      <c r="X871" s="1" t="s">
        <v>4581</v>
      </c>
      <c r="Y871" s="1" t="s">
        <v>68</v>
      </c>
      <c r="Z871" s="2">
        <v>40544</v>
      </c>
      <c r="AA871" s="2">
        <v>40756</v>
      </c>
      <c r="AB871" s="2" t="s">
        <v>4582</v>
      </c>
    </row>
    <row r="872" spans="1:28" x14ac:dyDescent="0.35">
      <c r="A872" s="12">
        <v>5413</v>
      </c>
      <c r="B872" s="12">
        <v>8810090</v>
      </c>
      <c r="C872" s="12" t="s">
        <v>139</v>
      </c>
      <c r="D872" s="12">
        <v>50066245</v>
      </c>
      <c r="E872" s="16" t="s">
        <v>4583</v>
      </c>
      <c r="F872" s="1" t="str">
        <f>VLOOKUP(A872,[1]Sheet1!$A$2:$E$1141,5,0)</f>
        <v>Spare Part Planning Officer</v>
      </c>
      <c r="G872" s="16" t="str">
        <f>VLOOKUP(A872,[1]Sheet1!$A$2:$F$1141,6,0)</f>
        <v>Manager</v>
      </c>
      <c r="H872" s="1" t="s">
        <v>4561</v>
      </c>
      <c r="I872" s="1" t="s">
        <v>1117</v>
      </c>
      <c r="J872" s="1" t="str">
        <f>VLOOKUP(A872,[1]Sheet1!$A$2:$H$1141,8,0)</f>
        <v>Dep. of Project Mngmnt &amp; Maint. Support</v>
      </c>
      <c r="K872" s="1" t="str">
        <f>VLOOKUP(A872,[1]Sheet1!$A$2:$I$1141,9,0)</f>
        <v>Unit of Maintenance Planning &amp; Eval.</v>
      </c>
      <c r="L872" s="1" t="str">
        <f>VLOOKUP(A872,[1]Sheet1!$A$2:$J$1141,10,0)</f>
        <v>Staff of Spare Part Planning</v>
      </c>
      <c r="M872" s="2">
        <v>32256</v>
      </c>
      <c r="N872" s="1" t="s">
        <v>29</v>
      </c>
      <c r="O872" s="1" t="s">
        <v>30</v>
      </c>
      <c r="P872" s="1" t="s">
        <v>4584</v>
      </c>
      <c r="Q872" s="1" t="s">
        <v>4585</v>
      </c>
      <c r="R872" s="1" t="s">
        <v>4586</v>
      </c>
      <c r="S872" s="1" t="s">
        <v>4565</v>
      </c>
      <c r="T872" s="14">
        <v>52718</v>
      </c>
      <c r="U872" s="1" t="s">
        <v>4587</v>
      </c>
      <c r="V872" s="1" t="s">
        <v>36</v>
      </c>
      <c r="W872" s="3" t="str">
        <f t="shared" si="13"/>
        <v>38 tahun</v>
      </c>
      <c r="X872" s="1" t="s">
        <v>486</v>
      </c>
      <c r="Y872" s="1" t="s">
        <v>48</v>
      </c>
      <c r="Z872" s="2">
        <v>40544</v>
      </c>
      <c r="AA872" s="2">
        <v>40664</v>
      </c>
      <c r="AB872" s="2" t="s">
        <v>4588</v>
      </c>
    </row>
    <row r="873" spans="1:28" x14ac:dyDescent="0.35">
      <c r="A873" s="12">
        <v>5366</v>
      </c>
      <c r="B873" s="12">
        <v>8610042</v>
      </c>
      <c r="C873" s="12" t="s">
        <v>139</v>
      </c>
      <c r="D873" s="12">
        <v>50066376</v>
      </c>
      <c r="E873" s="1" t="s">
        <v>4589</v>
      </c>
      <c r="F873" s="1" t="str">
        <f>VLOOKUP(A873,[1]Sheet1!$A$2:$E$1141,5,0)</f>
        <v>Spare Part Planning Jr Officer</v>
      </c>
      <c r="G873" s="17" t="str">
        <f>VLOOKUP(A873,[1]Sheet1!$A$2:$F$1141,6,0)</f>
        <v>Supervisor</v>
      </c>
      <c r="H873" s="1" t="s">
        <v>4561</v>
      </c>
      <c r="I873" s="1" t="s">
        <v>1117</v>
      </c>
      <c r="J873" s="1" t="str">
        <f>VLOOKUP(A873,[1]Sheet1!$A$2:$H$1141,8,0)</f>
        <v>Dep. of Project Mngmnt &amp; Maint. Support</v>
      </c>
      <c r="K873" s="1" t="str">
        <f>VLOOKUP(A873,[1]Sheet1!$A$2:$I$1141,9,0)</f>
        <v>Unit of Maintenance Planning &amp; Eval.</v>
      </c>
      <c r="L873" s="1" t="str">
        <f>VLOOKUP(A873,[1]Sheet1!$A$2:$J$1141,10,0)</f>
        <v>Staff of Spare Part Planning</v>
      </c>
      <c r="M873" s="2">
        <v>31508</v>
      </c>
      <c r="N873" s="1" t="s">
        <v>29</v>
      </c>
      <c r="O873" s="1" t="s">
        <v>30</v>
      </c>
      <c r="P873" s="1" t="s">
        <v>4590</v>
      </c>
      <c r="Q873" s="1" t="s">
        <v>4585</v>
      </c>
      <c r="R873" s="1" t="s">
        <v>4586</v>
      </c>
      <c r="S873" s="1" t="s">
        <v>4565</v>
      </c>
      <c r="T873" s="14">
        <v>51987</v>
      </c>
      <c r="U873" s="1" t="s">
        <v>4591</v>
      </c>
      <c r="V873" s="1" t="s">
        <v>36</v>
      </c>
      <c r="W873" s="3" t="str">
        <f t="shared" si="13"/>
        <v>40 tahun</v>
      </c>
      <c r="X873" s="1" t="s">
        <v>4592</v>
      </c>
      <c r="Y873" s="1" t="s">
        <v>68</v>
      </c>
      <c r="Z873" s="2">
        <v>40544</v>
      </c>
      <c r="AA873" s="2">
        <v>40695</v>
      </c>
      <c r="AB873" s="2" t="s">
        <v>4593</v>
      </c>
    </row>
    <row r="874" spans="1:28" x14ac:dyDescent="0.35">
      <c r="A874" s="12">
        <v>6228</v>
      </c>
      <c r="B874" s="12">
        <v>9212394</v>
      </c>
      <c r="C874" s="12" t="s">
        <v>103</v>
      </c>
      <c r="D874" s="12">
        <v>50066377</v>
      </c>
      <c r="E874" s="1" t="s">
        <v>4594</v>
      </c>
      <c r="F874" s="1" t="str">
        <f>VLOOKUP(A874,[1]Sheet1!$A$2:$E$1141,5,0)</f>
        <v>Spare Part Planning Jr Officer</v>
      </c>
      <c r="G874" s="17" t="str">
        <f>VLOOKUP(A874,[1]Sheet1!$A$2:$F$1141,6,0)</f>
        <v>Supervisor</v>
      </c>
      <c r="H874" s="1" t="s">
        <v>4561</v>
      </c>
      <c r="I874" s="1" t="s">
        <v>1117</v>
      </c>
      <c r="J874" s="1" t="str">
        <f>VLOOKUP(A874,[1]Sheet1!$A$2:$H$1141,8,0)</f>
        <v>Dep. of Project Mngmnt &amp; Maint. Support</v>
      </c>
      <c r="K874" s="1" t="str">
        <f>VLOOKUP(A874,[1]Sheet1!$A$2:$I$1141,9,0)</f>
        <v>Unit of Maintenance Planning &amp; Eval.</v>
      </c>
      <c r="L874" s="1" t="str">
        <f>VLOOKUP(A874,[1]Sheet1!$A$2:$J$1141,10,0)</f>
        <v>Staff of Spare Part Planning</v>
      </c>
      <c r="M874" s="2">
        <v>33606</v>
      </c>
      <c r="N874" s="1" t="s">
        <v>29</v>
      </c>
      <c r="O874" s="1" t="s">
        <v>30</v>
      </c>
      <c r="P874" s="1" t="s">
        <v>4595</v>
      </c>
      <c r="Q874" s="1" t="s">
        <v>4585</v>
      </c>
      <c r="R874" s="1" t="s">
        <v>4586</v>
      </c>
      <c r="S874" s="1" t="s">
        <v>4565</v>
      </c>
      <c r="T874" s="14">
        <v>54089</v>
      </c>
      <c r="U874" s="1" t="s">
        <v>4596</v>
      </c>
      <c r="V874" s="1" t="s">
        <v>36</v>
      </c>
      <c r="W874" s="3" t="str">
        <f t="shared" si="13"/>
        <v>34 tahun</v>
      </c>
      <c r="X874" s="1" t="s">
        <v>807</v>
      </c>
      <c r="Y874" s="1" t="s">
        <v>56</v>
      </c>
      <c r="Z874" s="2">
        <v>41275</v>
      </c>
      <c r="AA874" s="2">
        <v>41395</v>
      </c>
      <c r="AB874" s="2" t="s">
        <v>4597</v>
      </c>
    </row>
    <row r="875" spans="1:28" x14ac:dyDescent="0.35">
      <c r="A875" s="12">
        <v>5968</v>
      </c>
      <c r="B875" s="12">
        <v>8812136</v>
      </c>
      <c r="C875" s="12" t="s">
        <v>103</v>
      </c>
      <c r="D875" s="12">
        <v>50066378</v>
      </c>
      <c r="E875" s="1" t="s">
        <v>4598</v>
      </c>
      <c r="F875" s="1" t="str">
        <f>VLOOKUP(A875,[1]Sheet1!$A$2:$E$1141,5,0)</f>
        <v>Spare Part Planning Jr Officer</v>
      </c>
      <c r="G875" s="17" t="str">
        <f>VLOOKUP(A875,[1]Sheet1!$A$2:$F$1141,6,0)</f>
        <v>Supervisor</v>
      </c>
      <c r="H875" s="1" t="s">
        <v>4561</v>
      </c>
      <c r="I875" s="1" t="s">
        <v>1117</v>
      </c>
      <c r="J875" s="1" t="str">
        <f>VLOOKUP(A875,[1]Sheet1!$A$2:$H$1141,8,0)</f>
        <v>Dep. of Project Mngmnt &amp; Maint. Support</v>
      </c>
      <c r="K875" s="1" t="str">
        <f>VLOOKUP(A875,[1]Sheet1!$A$2:$I$1141,9,0)</f>
        <v>Unit of Maintenance Planning &amp; Eval.</v>
      </c>
      <c r="L875" s="1" t="str">
        <f>VLOOKUP(A875,[1]Sheet1!$A$2:$J$1141,10,0)</f>
        <v>Staff of Spare Part Planning</v>
      </c>
      <c r="M875" s="2">
        <v>32357</v>
      </c>
      <c r="N875" s="1" t="s">
        <v>29</v>
      </c>
      <c r="O875" s="1" t="s">
        <v>30</v>
      </c>
      <c r="P875" s="1" t="s">
        <v>4599</v>
      </c>
      <c r="Q875" s="1" t="s">
        <v>4585</v>
      </c>
      <c r="R875" s="1" t="s">
        <v>4586</v>
      </c>
      <c r="S875" s="1" t="s">
        <v>4565</v>
      </c>
      <c r="T875" s="14">
        <v>52841</v>
      </c>
      <c r="U875" s="1" t="s">
        <v>4600</v>
      </c>
      <c r="V875" s="1" t="s">
        <v>36</v>
      </c>
      <c r="W875" s="3" t="str">
        <f t="shared" si="13"/>
        <v>38 tahun</v>
      </c>
      <c r="X875" s="1" t="s">
        <v>121</v>
      </c>
      <c r="Y875" s="1" t="s">
        <v>48</v>
      </c>
      <c r="Z875" s="2">
        <v>41275</v>
      </c>
      <c r="AA875" s="2">
        <v>41456</v>
      </c>
      <c r="AB875" s="2" t="s">
        <v>4601</v>
      </c>
    </row>
    <row r="876" spans="1:28" x14ac:dyDescent="0.35">
      <c r="A876" s="12">
        <v>5913</v>
      </c>
      <c r="B876" s="12">
        <v>8712080</v>
      </c>
      <c r="C876" s="12" t="s">
        <v>103</v>
      </c>
      <c r="D876" s="12">
        <v>50066379</v>
      </c>
      <c r="E876" s="1" t="s">
        <v>4602</v>
      </c>
      <c r="F876" s="1" t="str">
        <f>VLOOKUP(A876,[1]Sheet1!$A$2:$E$1141,5,0)</f>
        <v>Spare Part Planning Jr Officer</v>
      </c>
      <c r="G876" s="17" t="str">
        <f>VLOOKUP(A876,[1]Sheet1!$A$2:$F$1141,6,0)</f>
        <v>Supervisor</v>
      </c>
      <c r="H876" s="1" t="s">
        <v>4561</v>
      </c>
      <c r="I876" s="1" t="s">
        <v>1117</v>
      </c>
      <c r="J876" s="1" t="str">
        <f>VLOOKUP(A876,[1]Sheet1!$A$2:$H$1141,8,0)</f>
        <v>Dep. of Project Mngmnt &amp; Maint. Support</v>
      </c>
      <c r="K876" s="1" t="str">
        <f>VLOOKUP(A876,[1]Sheet1!$A$2:$I$1141,9,0)</f>
        <v>Unit of Maintenance Planning &amp; Eval.</v>
      </c>
      <c r="L876" s="1" t="str">
        <f>VLOOKUP(A876,[1]Sheet1!$A$2:$J$1141,10,0)</f>
        <v>Staff of Spare Part Planning</v>
      </c>
      <c r="M876" s="2">
        <v>31896</v>
      </c>
      <c r="N876" s="1" t="s">
        <v>29</v>
      </c>
      <c r="O876" s="1" t="s">
        <v>30</v>
      </c>
      <c r="P876" s="1" t="s">
        <v>4603</v>
      </c>
      <c r="Q876" s="1" t="s">
        <v>4585</v>
      </c>
      <c r="R876" s="1" t="s">
        <v>4586</v>
      </c>
      <c r="S876" s="1" t="s">
        <v>4565</v>
      </c>
      <c r="T876" s="14">
        <v>52352</v>
      </c>
      <c r="U876" s="1" t="s">
        <v>4604</v>
      </c>
      <c r="V876" s="1" t="s">
        <v>36</v>
      </c>
      <c r="W876" s="3" t="str">
        <f t="shared" si="13"/>
        <v>39 tahun</v>
      </c>
      <c r="X876" s="1" t="s">
        <v>551</v>
      </c>
      <c r="Y876" s="1" t="s">
        <v>56</v>
      </c>
      <c r="Z876" s="2">
        <v>41275</v>
      </c>
      <c r="AA876" s="2">
        <v>41426</v>
      </c>
      <c r="AB876" s="2" t="s">
        <v>4605</v>
      </c>
    </row>
    <row r="877" spans="1:28" x14ac:dyDescent="0.35">
      <c r="A877" s="12">
        <v>5316</v>
      </c>
      <c r="B877" s="12">
        <v>8410024</v>
      </c>
      <c r="C877" s="12" t="s">
        <v>139</v>
      </c>
      <c r="D877" s="12">
        <v>50066270</v>
      </c>
      <c r="E877" s="1" t="s">
        <v>4606</v>
      </c>
      <c r="F877" s="1" t="str">
        <f>VLOOKUP(A877,[1]Sheet1!$A$2:$E$1141,5,0)</f>
        <v>Spare Part Planning Jr Officer</v>
      </c>
      <c r="G877" s="17" t="str">
        <f>VLOOKUP(A877,[1]Sheet1!$A$2:$F$1141,6,0)</f>
        <v>Supervisor</v>
      </c>
      <c r="H877" s="1" t="s">
        <v>4561</v>
      </c>
      <c r="I877" s="1" t="s">
        <v>1117</v>
      </c>
      <c r="J877" s="1" t="str">
        <f>VLOOKUP(A877,[1]Sheet1!$A$2:$H$1141,8,0)</f>
        <v>Dep. of Project Mngmnt &amp; Maint. Support</v>
      </c>
      <c r="K877" s="1" t="str">
        <f>VLOOKUP(A877,[1]Sheet1!$A$2:$I$1141,9,0)</f>
        <v>Unit of Maintenance Planning &amp; Eval.</v>
      </c>
      <c r="L877" s="1" t="str">
        <f>VLOOKUP(A877,[1]Sheet1!$A$2:$J$1141,10,0)</f>
        <v>Staff of Spare Part Planning</v>
      </c>
      <c r="M877" s="2">
        <v>30889</v>
      </c>
      <c r="N877" s="1" t="s">
        <v>29</v>
      </c>
      <c r="O877" s="1" t="s">
        <v>30</v>
      </c>
      <c r="P877" s="1" t="s">
        <v>4607</v>
      </c>
      <c r="Q877" s="1" t="s">
        <v>4585</v>
      </c>
      <c r="R877" s="1" t="s">
        <v>4586</v>
      </c>
      <c r="S877" s="1" t="s">
        <v>4565</v>
      </c>
      <c r="T877" s="14">
        <v>51349</v>
      </c>
      <c r="U877" s="1" t="s">
        <v>4608</v>
      </c>
      <c r="V877" s="1" t="s">
        <v>36</v>
      </c>
      <c r="W877" s="3" t="str">
        <f t="shared" si="13"/>
        <v>42 tahun</v>
      </c>
      <c r="X877" s="1" t="s">
        <v>157</v>
      </c>
      <c r="Y877" s="1" t="s">
        <v>48</v>
      </c>
      <c r="Z877" s="2">
        <v>40544</v>
      </c>
      <c r="AA877" s="2">
        <v>40664</v>
      </c>
      <c r="AB877" s="2" t="s">
        <v>4609</v>
      </c>
    </row>
    <row r="878" spans="1:28" x14ac:dyDescent="0.35">
      <c r="A878" s="12">
        <v>5891</v>
      </c>
      <c r="B878" s="12">
        <v>8612058</v>
      </c>
      <c r="C878" s="12" t="s">
        <v>103</v>
      </c>
      <c r="D878" s="12">
        <v>50066610</v>
      </c>
      <c r="E878" s="1" t="s">
        <v>4610</v>
      </c>
      <c r="F878" s="1" t="str">
        <f>VLOOKUP(A878,[1]Sheet1!$A$2:$E$1141,5,0)</f>
        <v>Spare Part Planning Jr Officer</v>
      </c>
      <c r="G878" s="17" t="str">
        <f>VLOOKUP(A878,[1]Sheet1!$A$2:$F$1141,6,0)</f>
        <v>Supervisor</v>
      </c>
      <c r="H878" s="1" t="s">
        <v>4561</v>
      </c>
      <c r="I878" s="1" t="s">
        <v>1117</v>
      </c>
      <c r="J878" s="1" t="str">
        <f>VLOOKUP(A878,[1]Sheet1!$A$2:$H$1141,8,0)</f>
        <v>Dep. of Project Mngmnt &amp; Maint. Support</v>
      </c>
      <c r="K878" s="1" t="str">
        <f>VLOOKUP(A878,[1]Sheet1!$A$2:$I$1141,9,0)</f>
        <v>Unit of Maintenance Planning &amp; Eval.</v>
      </c>
      <c r="L878" s="1" t="str">
        <f>VLOOKUP(A878,[1]Sheet1!$A$2:$J$1141,10,0)</f>
        <v>Staff of Spare Part Planning</v>
      </c>
      <c r="M878" s="2">
        <v>31700</v>
      </c>
      <c r="N878" s="1" t="s">
        <v>29</v>
      </c>
      <c r="O878" s="1" t="s">
        <v>30</v>
      </c>
      <c r="P878" s="1" t="s">
        <v>4611</v>
      </c>
      <c r="Q878" s="1" t="s">
        <v>4585</v>
      </c>
      <c r="R878" s="1" t="s">
        <v>4586</v>
      </c>
      <c r="S878" s="1" t="s">
        <v>4565</v>
      </c>
      <c r="T878" s="14">
        <v>52171</v>
      </c>
      <c r="U878" s="1" t="s">
        <v>4612</v>
      </c>
      <c r="V878" s="1" t="s">
        <v>36</v>
      </c>
      <c r="W878" s="3" t="str">
        <f t="shared" si="13"/>
        <v>39 tahun</v>
      </c>
      <c r="X878" s="1" t="s">
        <v>121</v>
      </c>
      <c r="Y878" s="1" t="s">
        <v>56</v>
      </c>
      <c r="Z878" s="2">
        <v>41275</v>
      </c>
      <c r="AA878" s="2">
        <v>41395</v>
      </c>
      <c r="AB878" s="2" t="s">
        <v>1993</v>
      </c>
    </row>
    <row r="879" spans="1:28" x14ac:dyDescent="0.35">
      <c r="A879" s="12">
        <v>5358</v>
      </c>
      <c r="B879" s="12">
        <v>8510035</v>
      </c>
      <c r="C879" s="12" t="s">
        <v>139</v>
      </c>
      <c r="D879" s="12">
        <v>50069449</v>
      </c>
      <c r="E879" s="16" t="s">
        <v>4613</v>
      </c>
      <c r="F879" s="1" t="str">
        <f>VLOOKUP(A879,[1]Sheet1!$A$2:$E$1141,5,0)</f>
        <v>Service Planning Officer</v>
      </c>
      <c r="G879" s="16" t="str">
        <f>VLOOKUP(A879,[1]Sheet1!$A$2:$F$1141,6,0)</f>
        <v>Manager</v>
      </c>
      <c r="H879" s="1" t="s">
        <v>4561</v>
      </c>
      <c r="I879" s="1" t="s">
        <v>1117</v>
      </c>
      <c r="J879" s="1" t="str">
        <f>VLOOKUP(A879,[1]Sheet1!$A$2:$H$1141,8,0)</f>
        <v>Dep. of Project Mngmnt &amp; Maint. Support</v>
      </c>
      <c r="K879" s="1" t="str">
        <f>VLOOKUP(A879,[1]Sheet1!$A$2:$I$1141,9,0)</f>
        <v>Unit of Maintenance Planning &amp; Eval.</v>
      </c>
      <c r="L879" s="1" t="str">
        <f>VLOOKUP(A879,[1]Sheet1!$A$2:$J$1141,10,0)</f>
        <v>Staff of Service Planning</v>
      </c>
      <c r="M879" s="2">
        <v>31329</v>
      </c>
      <c r="N879" s="1" t="s">
        <v>29</v>
      </c>
      <c r="O879" s="1" t="s">
        <v>30</v>
      </c>
      <c r="P879" s="1" t="s">
        <v>4614</v>
      </c>
      <c r="Q879" s="1" t="s">
        <v>4615</v>
      </c>
      <c r="R879" s="1" t="s">
        <v>4616</v>
      </c>
      <c r="S879" s="1" t="s">
        <v>4565</v>
      </c>
      <c r="T879" s="14">
        <v>51806</v>
      </c>
      <c r="U879" s="1" t="s">
        <v>4617</v>
      </c>
      <c r="V879" s="1" t="s">
        <v>36</v>
      </c>
      <c r="W879" s="3" t="str">
        <f t="shared" si="13"/>
        <v>40 tahun</v>
      </c>
      <c r="X879" s="1" t="s">
        <v>4618</v>
      </c>
      <c r="Y879" s="1" t="s">
        <v>68</v>
      </c>
      <c r="Z879" s="2">
        <v>40544</v>
      </c>
      <c r="AA879" s="2">
        <v>40695</v>
      </c>
      <c r="AB879" s="2" t="s">
        <v>4619</v>
      </c>
    </row>
    <row r="880" spans="1:28" x14ac:dyDescent="0.35">
      <c r="A880" s="12">
        <v>5080</v>
      </c>
      <c r="B880" s="12">
        <v>7495287</v>
      </c>
      <c r="C880" s="12" t="s">
        <v>50</v>
      </c>
      <c r="D880" s="12">
        <v>50069450</v>
      </c>
      <c r="E880" s="1" t="s">
        <v>4620</v>
      </c>
      <c r="F880" s="1" t="str">
        <f>VLOOKUP(A880,[1]Sheet1!$A$2:$E$1141,5,0)</f>
        <v>Service Planning Jr Officer</v>
      </c>
      <c r="G880" s="17" t="str">
        <f>VLOOKUP(A880,[1]Sheet1!$A$2:$F$1141,6,0)</f>
        <v>Supervisor</v>
      </c>
      <c r="H880" s="1" t="s">
        <v>4561</v>
      </c>
      <c r="I880" s="1" t="s">
        <v>1117</v>
      </c>
      <c r="J880" s="1" t="str">
        <f>VLOOKUP(A880,[1]Sheet1!$A$2:$H$1141,8,0)</f>
        <v>Dep. of Project Mngmnt &amp; Maint. Support</v>
      </c>
      <c r="K880" s="1" t="str">
        <f>VLOOKUP(A880,[1]Sheet1!$A$2:$I$1141,9,0)</f>
        <v>Unit of Maintenance Planning &amp; Eval.</v>
      </c>
      <c r="L880" s="1" t="str">
        <f>VLOOKUP(A880,[1]Sheet1!$A$2:$J$1141,10,0)</f>
        <v>Staff of Service Planning</v>
      </c>
      <c r="M880" s="2">
        <v>27289</v>
      </c>
      <c r="N880" s="1" t="s">
        <v>59</v>
      </c>
      <c r="O880" s="1" t="s">
        <v>30</v>
      </c>
      <c r="P880" s="1" t="s">
        <v>4621</v>
      </c>
      <c r="Q880" s="1" t="s">
        <v>4615</v>
      </c>
      <c r="R880" s="1" t="s">
        <v>4616</v>
      </c>
      <c r="S880" s="1" t="s">
        <v>4565</v>
      </c>
      <c r="T880" s="14">
        <v>47757</v>
      </c>
      <c r="U880" s="1" t="s">
        <v>4622</v>
      </c>
      <c r="V880" s="1" t="s">
        <v>36</v>
      </c>
      <c r="W880" s="3" t="str">
        <f t="shared" si="13"/>
        <v>51 tahun</v>
      </c>
      <c r="X880" s="1" t="s">
        <v>248</v>
      </c>
      <c r="Y880" s="1" t="s">
        <v>56</v>
      </c>
      <c r="Z880" s="2">
        <v>35034</v>
      </c>
      <c r="AA880" s="2">
        <v>35400</v>
      </c>
      <c r="AB880" s="2" t="s">
        <v>4623</v>
      </c>
    </row>
    <row r="881" spans="1:28" x14ac:dyDescent="0.35">
      <c r="A881" s="12">
        <v>5909</v>
      </c>
      <c r="B881" s="12">
        <v>8712076</v>
      </c>
      <c r="C881" s="12" t="s">
        <v>103</v>
      </c>
      <c r="D881" s="12">
        <v>50069451</v>
      </c>
      <c r="E881" s="1" t="s">
        <v>4624</v>
      </c>
      <c r="F881" s="1" t="str">
        <f>VLOOKUP(A881,[1]Sheet1!$A$2:$E$1141,5,0)</f>
        <v>Service Planning Jr Officer</v>
      </c>
      <c r="G881" s="17" t="str">
        <f>VLOOKUP(A881,[1]Sheet1!$A$2:$F$1141,6,0)</f>
        <v>Supervisor</v>
      </c>
      <c r="H881" s="1" t="s">
        <v>4561</v>
      </c>
      <c r="I881" s="1" t="s">
        <v>1117</v>
      </c>
      <c r="J881" s="1" t="str">
        <f>VLOOKUP(A881,[1]Sheet1!$A$2:$H$1141,8,0)</f>
        <v>Dep. of Project Mngmnt &amp; Maint. Support</v>
      </c>
      <c r="K881" s="1" t="str">
        <f>VLOOKUP(A881,[1]Sheet1!$A$2:$I$1141,9,0)</f>
        <v>Unit of Maintenance Planning &amp; Eval.</v>
      </c>
      <c r="L881" s="1" t="str">
        <f>VLOOKUP(A881,[1]Sheet1!$A$2:$J$1141,10,0)</f>
        <v>Staff of Service Planning</v>
      </c>
      <c r="M881" s="2">
        <v>31860</v>
      </c>
      <c r="N881" s="1" t="s">
        <v>59</v>
      </c>
      <c r="O881" s="1" t="s">
        <v>30</v>
      </c>
      <c r="P881" s="1" t="s">
        <v>4625</v>
      </c>
      <c r="Q881" s="1" t="s">
        <v>4615</v>
      </c>
      <c r="R881" s="1" t="s">
        <v>4616</v>
      </c>
      <c r="S881" s="1" t="s">
        <v>4565</v>
      </c>
      <c r="T881" s="14">
        <v>52322</v>
      </c>
      <c r="U881" s="1" t="s">
        <v>4626</v>
      </c>
      <c r="V881" s="1" t="s">
        <v>36</v>
      </c>
      <c r="W881" s="3" t="str">
        <f t="shared" si="13"/>
        <v>39 tahun</v>
      </c>
      <c r="X881" s="1" t="s">
        <v>356</v>
      </c>
      <c r="Y881" s="1" t="s">
        <v>48</v>
      </c>
      <c r="Z881" s="2">
        <v>41275</v>
      </c>
      <c r="AA881" s="2">
        <v>41426</v>
      </c>
      <c r="AB881" s="2" t="s">
        <v>4627</v>
      </c>
    </row>
    <row r="882" spans="1:28" x14ac:dyDescent="0.35">
      <c r="A882" s="12">
        <v>5989</v>
      </c>
      <c r="B882" s="12">
        <v>8812156</v>
      </c>
      <c r="C882" s="12" t="s">
        <v>103</v>
      </c>
      <c r="D882" s="12">
        <v>50069452</v>
      </c>
      <c r="E882" s="1" t="s">
        <v>4628</v>
      </c>
      <c r="F882" s="1" t="str">
        <f>VLOOKUP(A882,[1]Sheet1!$A$2:$E$1141,5,0)</f>
        <v>Service Planning Jr Officer</v>
      </c>
      <c r="G882" s="17" t="str">
        <f>VLOOKUP(A882,[1]Sheet1!$A$2:$F$1141,6,0)</f>
        <v>Supervisor</v>
      </c>
      <c r="H882" s="1" t="s">
        <v>4561</v>
      </c>
      <c r="I882" s="1" t="s">
        <v>1117</v>
      </c>
      <c r="J882" s="1" t="str">
        <f>VLOOKUP(A882,[1]Sheet1!$A$2:$H$1141,8,0)</f>
        <v>Dep. of Project Mngmnt &amp; Maint. Support</v>
      </c>
      <c r="K882" s="1" t="str">
        <f>VLOOKUP(A882,[1]Sheet1!$A$2:$I$1141,9,0)</f>
        <v>Unit of Maintenance Planning &amp; Eval.</v>
      </c>
      <c r="L882" s="1" t="str">
        <f>VLOOKUP(A882,[1]Sheet1!$A$2:$J$1141,10,0)</f>
        <v>Staff of Service Planning</v>
      </c>
      <c r="M882" s="2">
        <v>32471</v>
      </c>
      <c r="N882" s="1" t="s">
        <v>29</v>
      </c>
      <c r="O882" s="1" t="s">
        <v>30</v>
      </c>
      <c r="P882" s="1" t="s">
        <v>4629</v>
      </c>
      <c r="Q882" s="1" t="s">
        <v>4615</v>
      </c>
      <c r="R882" s="1" t="s">
        <v>4616</v>
      </c>
      <c r="S882" s="1" t="s">
        <v>4565</v>
      </c>
      <c r="T882" s="14">
        <v>52932</v>
      </c>
      <c r="U882" s="1" t="s">
        <v>4630</v>
      </c>
      <c r="V882" s="1" t="s">
        <v>36</v>
      </c>
      <c r="W882" s="3" t="str">
        <f t="shared" si="13"/>
        <v>37 tahun</v>
      </c>
      <c r="X882" s="1" t="s">
        <v>55</v>
      </c>
      <c r="Y882" s="1" t="s">
        <v>68</v>
      </c>
      <c r="Z882" s="2">
        <v>41275</v>
      </c>
      <c r="AA882" s="2">
        <v>41456</v>
      </c>
      <c r="AB882" s="2" t="s">
        <v>4631</v>
      </c>
    </row>
    <row r="883" spans="1:28" x14ac:dyDescent="0.35">
      <c r="A883" s="12">
        <v>5266</v>
      </c>
      <c r="B883" s="12">
        <v>8110010</v>
      </c>
      <c r="C883" s="12" t="s">
        <v>139</v>
      </c>
      <c r="D883" s="12">
        <v>50068745</v>
      </c>
      <c r="E883" s="13" t="s">
        <v>4632</v>
      </c>
      <c r="F883" s="1" t="str">
        <f>VLOOKUP(A883,[1]Sheet1!$A$2:$E$1141,5,0)</f>
        <v>GM of Infrastructure</v>
      </c>
      <c r="G883" s="13" t="str">
        <f>VLOOKUP(A883,[1]Sheet1!$A$2:$F$1141,6,0)</f>
        <v>General Manager</v>
      </c>
      <c r="H883" s="1" t="s">
        <v>4633</v>
      </c>
      <c r="I883" s="1" t="s">
        <v>1117</v>
      </c>
      <c r="J883" s="1" t="str">
        <f>VLOOKUP(A883,[1]Sheet1!$A$2:$H$1141,8,0)</f>
        <v>Dept. of Infrastructure</v>
      </c>
      <c r="K883" s="1" t="e">
        <f>VLOOKUP(A883,[1]Sheet1!$A$2:$I$1141,9,0)</f>
        <v>#REF!</v>
      </c>
      <c r="L883" s="1" t="e">
        <f>VLOOKUP(A883,[1]Sheet1!$A$2:$J$1141,10,0)</f>
        <v>#REF!</v>
      </c>
      <c r="M883" s="2">
        <v>29931</v>
      </c>
      <c r="N883" s="1" t="s">
        <v>29</v>
      </c>
      <c r="O883" s="1" t="s">
        <v>30</v>
      </c>
      <c r="P883" s="1" t="s">
        <v>4634</v>
      </c>
      <c r="Q883" s="1" t="s">
        <v>4635</v>
      </c>
      <c r="R883" s="1" t="s">
        <v>4636</v>
      </c>
      <c r="S883" s="1" t="s">
        <v>4637</v>
      </c>
      <c r="T883" s="14">
        <v>50406</v>
      </c>
      <c r="U883" s="1" t="s">
        <v>4638</v>
      </c>
      <c r="V883" s="1" t="s">
        <v>36</v>
      </c>
      <c r="W883" s="3" t="str">
        <f t="shared" si="13"/>
        <v>44 tahun</v>
      </c>
      <c r="X883" s="1" t="s">
        <v>37</v>
      </c>
      <c r="Y883" s="1" t="s">
        <v>38</v>
      </c>
      <c r="Z883" s="2">
        <v>40544</v>
      </c>
      <c r="AA883" s="2">
        <v>40664</v>
      </c>
      <c r="AB883" s="2" t="s">
        <v>4639</v>
      </c>
    </row>
    <row r="884" spans="1:28" x14ac:dyDescent="0.35">
      <c r="A884" s="12">
        <v>5118</v>
      </c>
      <c r="B884" s="12">
        <v>7595053</v>
      </c>
      <c r="C884" s="12" t="s">
        <v>50</v>
      </c>
      <c r="D884" s="12">
        <v>50069021</v>
      </c>
      <c r="E884" s="15" t="s">
        <v>4640</v>
      </c>
      <c r="F884" s="1" t="str">
        <f>VLOOKUP(A884,[1]Sheet1!$A$2:$E$1141,5,0)</f>
        <v>SM of Packing Plant 1</v>
      </c>
      <c r="G884" s="15" t="str">
        <f>VLOOKUP(A884,[1]Sheet1!$A$2:$F$1141,6,0)</f>
        <v>Senior Manager</v>
      </c>
      <c r="H884" s="1" t="s">
        <v>4641</v>
      </c>
      <c r="I884" s="1" t="s">
        <v>1117</v>
      </c>
      <c r="J884" s="1" t="str">
        <f>VLOOKUP(A884,[1]Sheet1!$A$2:$H$1141,8,0)</f>
        <v>Dept. of Infrastructure</v>
      </c>
      <c r="K884" s="1" t="str">
        <f>VLOOKUP(A884,[1]Sheet1!$A$2:$I$1141,9,0)</f>
        <v>Unit of Packing Plant 1</v>
      </c>
      <c r="L884" s="1" t="e">
        <f>VLOOKUP(A884,[1]Sheet1!$A$2:$J$1141,10,0)</f>
        <v>#REF!</v>
      </c>
      <c r="M884" s="2">
        <v>27472</v>
      </c>
      <c r="N884" s="1" t="s">
        <v>29</v>
      </c>
      <c r="O884" s="1" t="s">
        <v>30</v>
      </c>
      <c r="P884" s="1" t="s">
        <v>4642</v>
      </c>
      <c r="Q884" s="1" t="s">
        <v>4643</v>
      </c>
      <c r="R884" s="1" t="s">
        <v>4644</v>
      </c>
      <c r="S884" s="1" t="s">
        <v>4645</v>
      </c>
      <c r="T884" s="14">
        <v>47939</v>
      </c>
      <c r="U884" s="1" t="s">
        <v>4646</v>
      </c>
      <c r="V884" s="1" t="s">
        <v>186</v>
      </c>
      <c r="W884" s="3" t="str">
        <f t="shared" si="13"/>
        <v>51 tahun</v>
      </c>
      <c r="X884" s="1" t="s">
        <v>55</v>
      </c>
      <c r="Y884" s="1" t="s">
        <v>48</v>
      </c>
      <c r="Z884" s="2">
        <v>34897</v>
      </c>
      <c r="AA884" s="2">
        <v>35278</v>
      </c>
      <c r="AB884" s="2" t="s">
        <v>4647</v>
      </c>
    </row>
    <row r="885" spans="1:28" x14ac:dyDescent="0.35">
      <c r="A885" s="12">
        <v>5056</v>
      </c>
      <c r="B885" s="12">
        <v>7495035</v>
      </c>
      <c r="C885" s="12" t="s">
        <v>50</v>
      </c>
      <c r="D885" s="12">
        <v>50069019</v>
      </c>
      <c r="E885" s="16" t="s">
        <v>4648</v>
      </c>
      <c r="F885" s="1" t="str">
        <f>VLOOKUP(A885,[1]Sheet1!$A$2:$E$1141,5,0)</f>
        <v>Mgr of Makassar Packing Plant</v>
      </c>
      <c r="G885" s="16" t="str">
        <f>VLOOKUP(A885,[1]Sheet1!$A$2:$F$1141,6,0)</f>
        <v>Manager</v>
      </c>
      <c r="H885" s="1" t="s">
        <v>4649</v>
      </c>
      <c r="I885" s="1" t="s">
        <v>1117</v>
      </c>
      <c r="J885" s="1" t="str">
        <f>VLOOKUP(A885,[1]Sheet1!$A$2:$H$1141,8,0)</f>
        <v>Dept. of Infrastructure</v>
      </c>
      <c r="K885" s="1" t="str">
        <f>VLOOKUP(A885,[1]Sheet1!$A$2:$I$1141,9,0)</f>
        <v>Unit of Packing Plant 1</v>
      </c>
      <c r="L885" s="1" t="str">
        <f>VLOOKUP(A885,[1]Sheet1!$A$2:$J$1141,10,0)</f>
        <v>Section of Makassar Packing Plant</v>
      </c>
      <c r="M885" s="2">
        <v>27237</v>
      </c>
      <c r="N885" s="1" t="s">
        <v>29</v>
      </c>
      <c r="O885" s="1" t="s">
        <v>30</v>
      </c>
      <c r="P885" s="1" t="s">
        <v>4650</v>
      </c>
      <c r="Q885" s="1" t="s">
        <v>4651</v>
      </c>
      <c r="R885" s="1" t="s">
        <v>4652</v>
      </c>
      <c r="S885" s="1" t="s">
        <v>4653</v>
      </c>
      <c r="T885" s="14">
        <v>47696</v>
      </c>
      <c r="U885" s="1" t="s">
        <v>4654</v>
      </c>
      <c r="V885" s="1" t="s">
        <v>186</v>
      </c>
      <c r="W885" s="3" t="str">
        <f t="shared" si="13"/>
        <v>52 tahun</v>
      </c>
      <c r="X885" s="1" t="s">
        <v>2506</v>
      </c>
      <c r="Y885" s="1" t="s">
        <v>48</v>
      </c>
      <c r="Z885" s="2">
        <v>34897</v>
      </c>
      <c r="AA885" s="2">
        <v>35278</v>
      </c>
      <c r="AB885" s="2" t="s">
        <v>4655</v>
      </c>
    </row>
    <row r="886" spans="1:28" x14ac:dyDescent="0.35">
      <c r="A886" s="12">
        <v>4912</v>
      </c>
      <c r="B886" s="12">
        <v>7395012</v>
      </c>
      <c r="C886" s="12" t="s">
        <v>50</v>
      </c>
      <c r="D886" s="12">
        <v>50069022</v>
      </c>
      <c r="E886" s="1" t="s">
        <v>4656</v>
      </c>
      <c r="F886" s="1" t="str">
        <f>VLOOKUP(A886,[1]Sheet1!$A$2:$E$1141,5,0)</f>
        <v>Spv of Makassar PP Operation</v>
      </c>
      <c r="G886" s="17" t="str">
        <f>VLOOKUP(A886,[1]Sheet1!$A$2:$F$1141,6,0)</f>
        <v>Supervisor</v>
      </c>
      <c r="H886" s="1" t="s">
        <v>4649</v>
      </c>
      <c r="I886" s="1" t="s">
        <v>1117</v>
      </c>
      <c r="J886" s="1" t="str">
        <f>VLOOKUP(A886,[1]Sheet1!$A$2:$H$1141,8,0)</f>
        <v>Dept. of Infrastructure</v>
      </c>
      <c r="K886" s="1" t="str">
        <f>VLOOKUP(A886,[1]Sheet1!$A$2:$I$1141,9,0)</f>
        <v>Unit of Packing Plant 1</v>
      </c>
      <c r="L886" s="1" t="str">
        <f>VLOOKUP(A886,[1]Sheet1!$A$2:$J$1141,10,0)</f>
        <v>Section of Makassar Packing Plant</v>
      </c>
      <c r="M886" s="2">
        <v>26731</v>
      </c>
      <c r="N886" s="1" t="s">
        <v>29</v>
      </c>
      <c r="O886" s="1" t="s">
        <v>30</v>
      </c>
      <c r="P886" s="1" t="s">
        <v>4657</v>
      </c>
      <c r="Q886" s="1" t="s">
        <v>4658</v>
      </c>
      <c r="R886" s="1" t="s">
        <v>4659</v>
      </c>
      <c r="S886" s="1" t="s">
        <v>4653</v>
      </c>
      <c r="T886" s="14">
        <v>47209</v>
      </c>
      <c r="U886" s="1" t="s">
        <v>4660</v>
      </c>
      <c r="V886" s="1" t="s">
        <v>36</v>
      </c>
      <c r="W886" s="3" t="str">
        <f t="shared" si="13"/>
        <v>53 tahun</v>
      </c>
      <c r="X886" s="1" t="s">
        <v>3126</v>
      </c>
      <c r="Y886" s="1" t="s">
        <v>56</v>
      </c>
      <c r="Z886" s="2">
        <v>34897</v>
      </c>
      <c r="AA886" s="2">
        <v>35278</v>
      </c>
      <c r="AB886" s="2" t="s">
        <v>84</v>
      </c>
    </row>
    <row r="887" spans="1:28" x14ac:dyDescent="0.35">
      <c r="A887" s="12">
        <v>5114</v>
      </c>
      <c r="B887" s="12">
        <v>7595121</v>
      </c>
      <c r="C887" s="12" t="s">
        <v>50</v>
      </c>
      <c r="D887" s="12">
        <v>50069755</v>
      </c>
      <c r="E887" s="1" t="s">
        <v>4661</v>
      </c>
      <c r="F887" s="1" t="str">
        <f>VLOOKUP(A887,[1]Sheet1!$A$2:$E$1141,5,0)</f>
        <v>Spv of Makassar PP Operation</v>
      </c>
      <c r="G887" s="17" t="str">
        <f>VLOOKUP(A887,[1]Sheet1!$A$2:$F$1141,6,0)</f>
        <v>Supervisor</v>
      </c>
      <c r="H887" s="1" t="s">
        <v>4649</v>
      </c>
      <c r="I887" s="1" t="s">
        <v>1117</v>
      </c>
      <c r="J887" s="1" t="str">
        <f>VLOOKUP(A887,[1]Sheet1!$A$2:$H$1141,8,0)</f>
        <v>Dept. of Infrastructure</v>
      </c>
      <c r="K887" s="1" t="str">
        <f>VLOOKUP(A887,[1]Sheet1!$A$2:$I$1141,9,0)</f>
        <v>Unit of Packing Plant 1</v>
      </c>
      <c r="L887" s="1" t="str">
        <f>VLOOKUP(A887,[1]Sheet1!$A$2:$J$1141,10,0)</f>
        <v>Section of Makassar Packing Plant</v>
      </c>
      <c r="M887" s="2">
        <v>27446</v>
      </c>
      <c r="N887" s="1" t="s">
        <v>29</v>
      </c>
      <c r="O887" s="1" t="s">
        <v>30</v>
      </c>
      <c r="P887" s="1" t="s">
        <v>4662</v>
      </c>
      <c r="Q887" s="1" t="s">
        <v>4658</v>
      </c>
      <c r="R887" s="1" t="s">
        <v>4659</v>
      </c>
      <c r="S887" s="1" t="s">
        <v>4653</v>
      </c>
      <c r="T887" s="14">
        <v>47908</v>
      </c>
      <c r="U887" s="1" t="s">
        <v>4663</v>
      </c>
      <c r="V887" s="1" t="s">
        <v>36</v>
      </c>
      <c r="W887" s="3" t="str">
        <f t="shared" si="13"/>
        <v>51 tahun</v>
      </c>
      <c r="X887" s="1" t="s">
        <v>55</v>
      </c>
      <c r="Y887" s="1" t="s">
        <v>56</v>
      </c>
      <c r="Z887" s="2">
        <v>34932</v>
      </c>
      <c r="AA887" s="2">
        <v>35309</v>
      </c>
      <c r="AB887" s="2" t="s">
        <v>4664</v>
      </c>
    </row>
    <row r="888" spans="1:28" x14ac:dyDescent="0.35">
      <c r="A888" s="12">
        <v>6145</v>
      </c>
      <c r="B888" s="12">
        <v>9012312</v>
      </c>
      <c r="C888" s="12" t="s">
        <v>103</v>
      </c>
      <c r="D888" s="12">
        <v>50069756</v>
      </c>
      <c r="E888" s="1" t="s">
        <v>4665</v>
      </c>
      <c r="F888" s="1" t="str">
        <f>VLOOKUP(A888,[1]Sheet1!$A$2:$E$1141,5,0)</f>
        <v>Spv of Makassar PP Operation</v>
      </c>
      <c r="G888" s="17" t="str">
        <f>VLOOKUP(A888,[1]Sheet1!$A$2:$F$1141,6,0)</f>
        <v>Supervisor</v>
      </c>
      <c r="H888" s="1" t="s">
        <v>4649</v>
      </c>
      <c r="I888" s="1" t="s">
        <v>1117</v>
      </c>
      <c r="J888" s="1" t="str">
        <f>VLOOKUP(A888,[1]Sheet1!$A$2:$H$1141,8,0)</f>
        <v>Dept. of Infrastructure</v>
      </c>
      <c r="K888" s="1" t="str">
        <f>VLOOKUP(A888,[1]Sheet1!$A$2:$I$1141,9,0)</f>
        <v>Unit of Packing Plant 1</v>
      </c>
      <c r="L888" s="1" t="str">
        <f>VLOOKUP(A888,[1]Sheet1!$A$2:$J$1141,10,0)</f>
        <v>Section of Makassar Packing Plant</v>
      </c>
      <c r="M888" s="2">
        <v>33225</v>
      </c>
      <c r="N888" s="1" t="s">
        <v>29</v>
      </c>
      <c r="O888" s="1" t="s">
        <v>30</v>
      </c>
      <c r="P888" s="1" t="s">
        <v>4666</v>
      </c>
      <c r="Q888" s="1" t="s">
        <v>4658</v>
      </c>
      <c r="R888" s="1" t="s">
        <v>4659</v>
      </c>
      <c r="S888" s="1" t="s">
        <v>4653</v>
      </c>
      <c r="T888" s="14">
        <v>53693</v>
      </c>
      <c r="U888" s="1" t="s">
        <v>4667</v>
      </c>
      <c r="V888" s="1" t="s">
        <v>36</v>
      </c>
      <c r="W888" s="3" t="str">
        <f t="shared" si="13"/>
        <v>35 tahun</v>
      </c>
      <c r="X888" s="1" t="s">
        <v>55</v>
      </c>
      <c r="Y888" s="1" t="s">
        <v>56</v>
      </c>
      <c r="Z888" s="2">
        <v>41275</v>
      </c>
      <c r="AA888" s="2">
        <v>41426</v>
      </c>
      <c r="AB888" s="2" t="s">
        <v>4668</v>
      </c>
    </row>
    <row r="889" spans="1:28" x14ac:dyDescent="0.35">
      <c r="A889" s="12">
        <v>5070</v>
      </c>
      <c r="B889" s="12">
        <v>7495226</v>
      </c>
      <c r="C889" s="12" t="s">
        <v>50</v>
      </c>
      <c r="D889" s="12">
        <v>50069024</v>
      </c>
      <c r="E889" s="16" t="s">
        <v>4669</v>
      </c>
      <c r="F889" s="1" t="str">
        <f>VLOOKUP(A889,[1]Sheet1!$A$2:$E$1141,5,0)</f>
        <v>Mgr of Samarinda Packing Plant</v>
      </c>
      <c r="G889" s="16" t="str">
        <f>VLOOKUP(A889,[1]Sheet1!$A$2:$F$1141,6,0)</f>
        <v>Manager</v>
      </c>
      <c r="H889" s="1" t="s">
        <v>4670</v>
      </c>
      <c r="I889" s="1" t="s">
        <v>1117</v>
      </c>
      <c r="J889" s="1" t="str">
        <f>VLOOKUP(A889,[1]Sheet1!$A$2:$H$1141,8,0)</f>
        <v>Dept. of Infrastructure</v>
      </c>
      <c r="K889" s="1" t="str">
        <f>VLOOKUP(A889,[1]Sheet1!$A$2:$I$1141,9,0)</f>
        <v>Unit of Packing Plant 1</v>
      </c>
      <c r="L889" s="1" t="str">
        <f>VLOOKUP(A889,[1]Sheet1!$A$2:$J$1141,10,0)</f>
        <v>Section of Samarinda Packing Plant</v>
      </c>
      <c r="M889" s="2">
        <v>27248</v>
      </c>
      <c r="N889" s="1" t="s">
        <v>29</v>
      </c>
      <c r="O889" s="1" t="s">
        <v>30</v>
      </c>
      <c r="P889" s="1" t="s">
        <v>4671</v>
      </c>
      <c r="Q889" s="1" t="s">
        <v>4672</v>
      </c>
      <c r="R889" s="1" t="s">
        <v>4673</v>
      </c>
      <c r="S889" s="1" t="s">
        <v>4674</v>
      </c>
      <c r="T889" s="14">
        <v>47727</v>
      </c>
      <c r="U889" s="1" t="s">
        <v>4675</v>
      </c>
      <c r="V889" s="1" t="s">
        <v>186</v>
      </c>
      <c r="W889" s="3" t="str">
        <f t="shared" si="13"/>
        <v>52 tahun</v>
      </c>
      <c r="X889" s="1" t="s">
        <v>55</v>
      </c>
      <c r="Y889" s="1" t="s">
        <v>48</v>
      </c>
      <c r="Z889" s="2">
        <v>35002</v>
      </c>
      <c r="AA889" s="2">
        <v>35370</v>
      </c>
      <c r="AB889" s="2" t="s">
        <v>4676</v>
      </c>
    </row>
    <row r="890" spans="1:28" x14ac:dyDescent="0.35">
      <c r="A890" s="12">
        <v>4898</v>
      </c>
      <c r="B890" s="12">
        <v>7395194</v>
      </c>
      <c r="C890" s="12" t="s">
        <v>50</v>
      </c>
      <c r="D890" s="12">
        <v>50069026</v>
      </c>
      <c r="E890" s="1" t="s">
        <v>4677</v>
      </c>
      <c r="F890" s="1" t="str">
        <f>VLOOKUP(A890,[1]Sheet1!$A$2:$E$1141,5,0)</f>
        <v>Spv of Samarinda PP Operation</v>
      </c>
      <c r="G890" s="17" t="str">
        <f>VLOOKUP(A890,[1]Sheet1!$A$2:$F$1141,6,0)</f>
        <v>Supervisor</v>
      </c>
      <c r="H890" s="1" t="s">
        <v>4670</v>
      </c>
      <c r="I890" s="1" t="s">
        <v>1117</v>
      </c>
      <c r="J890" s="1" t="str">
        <f>VLOOKUP(A890,[1]Sheet1!$A$2:$H$1141,8,0)</f>
        <v>Dept. of Infrastructure</v>
      </c>
      <c r="K890" s="1" t="str">
        <f>VLOOKUP(A890,[1]Sheet1!$A$2:$I$1141,9,0)</f>
        <v>Unit of Packing Plant 1</v>
      </c>
      <c r="L890" s="1" t="str">
        <f>VLOOKUP(A890,[1]Sheet1!$A$2:$J$1141,10,0)</f>
        <v>Section of Samarinda Packing Plant</v>
      </c>
      <c r="M890" s="2">
        <v>26809</v>
      </c>
      <c r="N890" s="1" t="s">
        <v>29</v>
      </c>
      <c r="O890" s="1" t="s">
        <v>30</v>
      </c>
      <c r="P890" s="1" t="s">
        <v>4678</v>
      </c>
      <c r="Q890" s="1" t="s">
        <v>4679</v>
      </c>
      <c r="R890" s="1" t="s">
        <v>4680</v>
      </c>
      <c r="S890" s="1" t="s">
        <v>4674</v>
      </c>
      <c r="T890" s="14">
        <v>47270</v>
      </c>
      <c r="U890" s="1" t="s">
        <v>4681</v>
      </c>
      <c r="V890" s="1" t="s">
        <v>36</v>
      </c>
      <c r="W890" s="3" t="str">
        <f t="shared" si="13"/>
        <v>53 tahun</v>
      </c>
      <c r="X890" s="1" t="s">
        <v>204</v>
      </c>
      <c r="Y890" s="1" t="s">
        <v>56</v>
      </c>
      <c r="Z890" s="2">
        <v>35002</v>
      </c>
      <c r="AA890" s="2">
        <v>35370</v>
      </c>
      <c r="AB890" s="2" t="s">
        <v>4682</v>
      </c>
    </row>
    <row r="891" spans="1:28" x14ac:dyDescent="0.35">
      <c r="A891" s="12">
        <v>5220</v>
      </c>
      <c r="B891" s="12">
        <v>7602284</v>
      </c>
      <c r="C891" s="12" t="s">
        <v>164</v>
      </c>
      <c r="D891" s="12">
        <v>50069028</v>
      </c>
      <c r="E891" s="16" t="s">
        <v>4683</v>
      </c>
      <c r="F891" s="1" t="str">
        <f>VLOOKUP(A891,[1]Sheet1!$A$2:$E$1141,5,0)</f>
        <v>Mgr of Balikpapan Packing Plant</v>
      </c>
      <c r="G891" s="16" t="str">
        <f>VLOOKUP(A891,[1]Sheet1!$A$2:$F$1141,6,0)</f>
        <v>Manager</v>
      </c>
      <c r="H891" s="1" t="s">
        <v>4684</v>
      </c>
      <c r="I891" s="1" t="s">
        <v>1117</v>
      </c>
      <c r="J891" s="1" t="str">
        <f>VLOOKUP(A891,[1]Sheet1!$A$2:$H$1141,8,0)</f>
        <v>Dept. of Infrastructure</v>
      </c>
      <c r="K891" s="1" t="str">
        <f>VLOOKUP(A891,[1]Sheet1!$A$2:$I$1141,9,0)</f>
        <v>Unit of Packing Plant 1</v>
      </c>
      <c r="L891" s="1" t="str">
        <f>VLOOKUP(A891,[1]Sheet1!$A$2:$J$1141,10,0)</f>
        <v>Section of Balikpapan Packing Plant</v>
      </c>
      <c r="M891" s="2">
        <v>28125</v>
      </c>
      <c r="N891" s="1" t="s">
        <v>29</v>
      </c>
      <c r="O891" s="1" t="s">
        <v>30</v>
      </c>
      <c r="P891" s="1" t="s">
        <v>4685</v>
      </c>
      <c r="Q891" s="1" t="s">
        <v>4686</v>
      </c>
      <c r="R891" s="1" t="s">
        <v>4687</v>
      </c>
      <c r="S891" s="1" t="s">
        <v>4688</v>
      </c>
      <c r="T891" s="14">
        <v>48580</v>
      </c>
      <c r="U891" s="1" t="s">
        <v>4689</v>
      </c>
      <c r="V891" s="1" t="s">
        <v>36</v>
      </c>
      <c r="W891" s="3" t="str">
        <f t="shared" si="13"/>
        <v>49 tahun</v>
      </c>
      <c r="X891" s="1" t="s">
        <v>1314</v>
      </c>
      <c r="Y891" s="1" t="s">
        <v>56</v>
      </c>
      <c r="Z891" s="2">
        <v>37469</v>
      </c>
      <c r="AA891" s="2">
        <v>38718</v>
      </c>
      <c r="AB891" s="2" t="s">
        <v>4690</v>
      </c>
    </row>
    <row r="892" spans="1:28" x14ac:dyDescent="0.35">
      <c r="A892" s="12">
        <v>6182</v>
      </c>
      <c r="B892" s="12">
        <v>9112349</v>
      </c>
      <c r="C892" s="12" t="s">
        <v>103</v>
      </c>
      <c r="D892" s="12">
        <v>50069031</v>
      </c>
      <c r="E892" s="1" t="s">
        <v>4691</v>
      </c>
      <c r="F892" s="1" t="str">
        <f>VLOOKUP(A892,[1]Sheet1!$A$2:$E$1141,5,0)</f>
        <v>Spv of Balikpapan PP Maintenance</v>
      </c>
      <c r="G892" s="17" t="str">
        <f>VLOOKUP(A892,[1]Sheet1!$A$2:$F$1141,6,0)</f>
        <v>Supervisor</v>
      </c>
      <c r="H892" s="1" t="s">
        <v>4684</v>
      </c>
      <c r="I892" s="1" t="s">
        <v>1117</v>
      </c>
      <c r="J892" s="1" t="str">
        <f>VLOOKUP(A892,[1]Sheet1!$A$2:$H$1141,8,0)</f>
        <v>Dept. of Infrastructure</v>
      </c>
      <c r="K892" s="1" t="str">
        <f>VLOOKUP(A892,[1]Sheet1!$A$2:$I$1141,9,0)</f>
        <v>Unit of Packing Plant 1</v>
      </c>
      <c r="L892" s="1" t="str">
        <f>VLOOKUP(A892,[1]Sheet1!$A$2:$J$1141,10,0)</f>
        <v>Section of Balikpapan Packing Plant</v>
      </c>
      <c r="M892" s="2">
        <v>33392</v>
      </c>
      <c r="N892" s="1" t="s">
        <v>29</v>
      </c>
      <c r="O892" s="1" t="s">
        <v>30</v>
      </c>
      <c r="P892" s="1" t="s">
        <v>4692</v>
      </c>
      <c r="Q892" s="1" t="s">
        <v>4693</v>
      </c>
      <c r="R892" s="1" t="s">
        <v>4694</v>
      </c>
      <c r="S892" s="1" t="s">
        <v>4688</v>
      </c>
      <c r="T892" s="14">
        <v>53874</v>
      </c>
      <c r="U892" s="1" t="s">
        <v>4695</v>
      </c>
      <c r="V892" s="1" t="s">
        <v>36</v>
      </c>
      <c r="W892" s="3" t="str">
        <f t="shared" si="13"/>
        <v>35 tahun</v>
      </c>
      <c r="X892" s="1" t="s">
        <v>101</v>
      </c>
      <c r="Y892" s="1" t="s">
        <v>48</v>
      </c>
      <c r="Z892" s="2">
        <v>41275</v>
      </c>
      <c r="AA892" s="2">
        <v>41456</v>
      </c>
      <c r="AB892" s="2" t="s">
        <v>4696</v>
      </c>
    </row>
    <row r="893" spans="1:28" x14ac:dyDescent="0.35">
      <c r="A893" s="12">
        <v>4874</v>
      </c>
      <c r="B893" s="12">
        <v>7295187</v>
      </c>
      <c r="C893" s="12" t="s">
        <v>50</v>
      </c>
      <c r="D893" s="12">
        <v>50069030</v>
      </c>
      <c r="E893" s="1" t="s">
        <v>4697</v>
      </c>
      <c r="F893" s="1" t="str">
        <f>VLOOKUP(A893,[1]Sheet1!$A$2:$E$1141,5,0)</f>
        <v>Spv of Balikpapan PP Operation</v>
      </c>
      <c r="G893" s="17" t="str">
        <f>VLOOKUP(A893,[1]Sheet1!$A$2:$F$1141,6,0)</f>
        <v>Supervisor</v>
      </c>
      <c r="H893" s="1" t="s">
        <v>3691</v>
      </c>
      <c r="I893" s="1" t="s">
        <v>1117</v>
      </c>
      <c r="J893" s="1" t="str">
        <f>VLOOKUP(A893,[1]Sheet1!$A$2:$H$1141,8,0)</f>
        <v>Dept. of Infrastructure</v>
      </c>
      <c r="K893" s="1" t="str">
        <f>VLOOKUP(A893,[1]Sheet1!$A$2:$I$1141,9,0)</f>
        <v>Unit of Packing Plant 1</v>
      </c>
      <c r="L893" s="1" t="str">
        <f>VLOOKUP(A893,[1]Sheet1!$A$2:$J$1141,10,0)</f>
        <v>Section of Balikpapan Packing Plant</v>
      </c>
      <c r="M893" s="2">
        <v>26563</v>
      </c>
      <c r="N893" s="1" t="s">
        <v>29</v>
      </c>
      <c r="O893" s="1" t="s">
        <v>30</v>
      </c>
      <c r="P893" s="1" t="s">
        <v>4698</v>
      </c>
      <c r="Q893" s="1" t="s">
        <v>4699</v>
      </c>
      <c r="R893" s="1" t="s">
        <v>4700</v>
      </c>
      <c r="S893" s="1" t="s">
        <v>3695</v>
      </c>
      <c r="T893" s="14">
        <v>47027</v>
      </c>
      <c r="U893" s="1" t="s">
        <v>4701</v>
      </c>
      <c r="V893" s="1" t="s">
        <v>186</v>
      </c>
      <c r="W893" s="3" t="str">
        <f t="shared" si="13"/>
        <v>53 tahun</v>
      </c>
      <c r="X893" s="1" t="s">
        <v>55</v>
      </c>
      <c r="Y893" s="1" t="s">
        <v>48</v>
      </c>
      <c r="Z893" s="2">
        <v>35002</v>
      </c>
      <c r="AA893" s="2">
        <v>35370</v>
      </c>
      <c r="AB893" s="2" t="s">
        <v>4702</v>
      </c>
    </row>
    <row r="894" spans="1:28" x14ac:dyDescent="0.35">
      <c r="A894" s="12">
        <v>6008</v>
      </c>
      <c r="B894" s="12">
        <v>8912175</v>
      </c>
      <c r="C894" s="12" t="s">
        <v>103</v>
      </c>
      <c r="D894" s="12">
        <v>50069034</v>
      </c>
      <c r="E894" s="1" t="s">
        <v>4703</v>
      </c>
      <c r="F894" s="1" t="str">
        <f>VLOOKUP(A894,[1]Sheet1!$A$2:$E$1141,5,0)</f>
        <v>Spv of Banjarmasin PP Operation</v>
      </c>
      <c r="G894" s="17" t="str">
        <f>VLOOKUP(A894,[1]Sheet1!$A$2:$F$1141,6,0)</f>
        <v>Supervisor</v>
      </c>
      <c r="H894" s="1" t="s">
        <v>4704</v>
      </c>
      <c r="I894" s="1" t="s">
        <v>1117</v>
      </c>
      <c r="J894" s="1" t="str">
        <f>VLOOKUP(A894,[1]Sheet1!$A$2:$H$1141,8,0)</f>
        <v>Dept. of Infrastructure</v>
      </c>
      <c r="K894" s="1" t="str">
        <f>VLOOKUP(A894,[1]Sheet1!$A$2:$I$1141,9,0)</f>
        <v>Unit of Packing Plant 1</v>
      </c>
      <c r="L894" s="1" t="str">
        <f>VLOOKUP(A894,[1]Sheet1!$A$2:$J$1141,10,0)</f>
        <v>Section of Banjarmasin Packing Plant</v>
      </c>
      <c r="M894" s="2">
        <v>32571</v>
      </c>
      <c r="N894" s="1" t="s">
        <v>29</v>
      </c>
      <c r="O894" s="1" t="s">
        <v>30</v>
      </c>
      <c r="P894" s="1" t="s">
        <v>4705</v>
      </c>
      <c r="Q894" s="1" t="s">
        <v>4706</v>
      </c>
      <c r="R894" s="1" t="s">
        <v>4707</v>
      </c>
      <c r="S894" s="1" t="s">
        <v>4708</v>
      </c>
      <c r="T894" s="14">
        <v>53053</v>
      </c>
      <c r="U894" s="1" t="s">
        <v>4709</v>
      </c>
      <c r="V894" s="1" t="s">
        <v>36</v>
      </c>
      <c r="W894" s="3" t="str">
        <f t="shared" si="13"/>
        <v>37 tahun</v>
      </c>
      <c r="X894" s="1" t="s">
        <v>243</v>
      </c>
      <c r="Y894" s="1" t="s">
        <v>56</v>
      </c>
      <c r="Z894" s="2">
        <v>41275</v>
      </c>
      <c r="AA894" s="2">
        <v>41456</v>
      </c>
      <c r="AB894" s="2" t="s">
        <v>4710</v>
      </c>
    </row>
    <row r="895" spans="1:28" x14ac:dyDescent="0.35">
      <c r="A895" s="12">
        <v>6087</v>
      </c>
      <c r="B895" s="12">
        <v>9012255</v>
      </c>
      <c r="C895" s="12" t="s">
        <v>103</v>
      </c>
      <c r="D895" s="12">
        <v>50069035</v>
      </c>
      <c r="E895" s="1" t="s">
        <v>4711</v>
      </c>
      <c r="F895" s="1" t="str">
        <f>VLOOKUP(A895,[1]Sheet1!$A$2:$E$1141,5,0)</f>
        <v>Spv of Banjarmasin PP Maintenance</v>
      </c>
      <c r="G895" s="17" t="str">
        <f>VLOOKUP(A895,[1]Sheet1!$A$2:$F$1141,6,0)</f>
        <v>Supervisor</v>
      </c>
      <c r="H895" s="1" t="s">
        <v>4704</v>
      </c>
      <c r="I895" s="1" t="s">
        <v>1117</v>
      </c>
      <c r="J895" s="1" t="str">
        <f>VLOOKUP(A895,[1]Sheet1!$A$2:$H$1141,8,0)</f>
        <v>Dept. of Infrastructure</v>
      </c>
      <c r="K895" s="1" t="str">
        <f>VLOOKUP(A895,[1]Sheet1!$A$2:$I$1141,9,0)</f>
        <v>Unit of Packing Plant 1</v>
      </c>
      <c r="L895" s="1" t="str">
        <f>VLOOKUP(A895,[1]Sheet1!$A$2:$J$1141,10,0)</f>
        <v>Section of Banjarmasin Packing Plant</v>
      </c>
      <c r="M895" s="2">
        <v>32981</v>
      </c>
      <c r="N895" s="1" t="s">
        <v>29</v>
      </c>
      <c r="O895" s="1" t="s">
        <v>30</v>
      </c>
      <c r="P895" s="1" t="s">
        <v>4712</v>
      </c>
      <c r="Q895" s="1" t="s">
        <v>4706</v>
      </c>
      <c r="R895" s="1" t="s">
        <v>4707</v>
      </c>
      <c r="S895" s="1" t="s">
        <v>4708</v>
      </c>
      <c r="T895" s="14">
        <v>53448</v>
      </c>
      <c r="U895" s="1" t="s">
        <v>4713</v>
      </c>
      <c r="V895" s="1" t="s">
        <v>36</v>
      </c>
      <c r="W895" s="3" t="str">
        <f t="shared" si="13"/>
        <v>36 tahun</v>
      </c>
      <c r="X895" s="1" t="s">
        <v>121</v>
      </c>
      <c r="Y895" s="1" t="s">
        <v>56</v>
      </c>
      <c r="Z895" s="2">
        <v>41275</v>
      </c>
      <c r="AA895" s="2">
        <v>41426</v>
      </c>
      <c r="AB895" s="2" t="s">
        <v>4714</v>
      </c>
    </row>
    <row r="896" spans="1:28" x14ac:dyDescent="0.35">
      <c r="A896" s="12">
        <v>4827</v>
      </c>
      <c r="B896" s="12">
        <v>7295006</v>
      </c>
      <c r="C896" s="12" t="s">
        <v>50</v>
      </c>
      <c r="D896" s="12">
        <v>50069036</v>
      </c>
      <c r="E896" s="15" t="s">
        <v>4715</v>
      </c>
      <c r="F896" s="1" t="str">
        <f>VLOOKUP(A896,[1]Sheet1!$A$2:$E$1141,5,0)</f>
        <v>SM of Packing Plant 2</v>
      </c>
      <c r="G896" s="15" t="str">
        <f>VLOOKUP(A896,[1]Sheet1!$A$2:$F$1141,6,0)</f>
        <v>Senior Manager</v>
      </c>
      <c r="H896" s="1" t="s">
        <v>4716</v>
      </c>
      <c r="I896" s="1" t="s">
        <v>1117</v>
      </c>
      <c r="J896" s="1" t="str">
        <f>VLOOKUP(A896,[1]Sheet1!$A$2:$H$1141,8,0)</f>
        <v>Dept. of Infrastructure</v>
      </c>
      <c r="K896" s="1" t="str">
        <f>VLOOKUP(A896,[1]Sheet1!$A$2:$I$1141,9,0)</f>
        <v>Unit of Packing Plant 2</v>
      </c>
      <c r="L896" s="1" t="e">
        <f>VLOOKUP(A896,[1]Sheet1!$A$2:$J$1141,10,0)</f>
        <v>#REF!</v>
      </c>
      <c r="M896" s="2">
        <v>26446</v>
      </c>
      <c r="N896" s="1" t="s">
        <v>29</v>
      </c>
      <c r="O896" s="1" t="s">
        <v>30</v>
      </c>
      <c r="P896" s="1" t="s">
        <v>4717</v>
      </c>
      <c r="Q896" s="1" t="s">
        <v>4718</v>
      </c>
      <c r="R896" s="1" t="s">
        <v>4719</v>
      </c>
      <c r="S896" s="1" t="s">
        <v>4720</v>
      </c>
      <c r="T896" s="14">
        <v>46905</v>
      </c>
      <c r="U896" s="1" t="s">
        <v>4721</v>
      </c>
      <c r="V896" s="1" t="s">
        <v>36</v>
      </c>
      <c r="W896" s="3" t="str">
        <f t="shared" si="13"/>
        <v>54 tahun</v>
      </c>
      <c r="X896" s="1" t="s">
        <v>846</v>
      </c>
      <c r="Y896" s="1" t="s">
        <v>48</v>
      </c>
      <c r="Z896" s="2">
        <v>34897</v>
      </c>
      <c r="AA896" s="2">
        <v>35278</v>
      </c>
      <c r="AB896" s="2" t="s">
        <v>4722</v>
      </c>
    </row>
    <row r="897" spans="1:28" x14ac:dyDescent="0.35">
      <c r="A897" s="12">
        <v>4866</v>
      </c>
      <c r="B897" s="12">
        <v>7295184</v>
      </c>
      <c r="C897" s="12" t="s">
        <v>50</v>
      </c>
      <c r="D897" s="12">
        <v>50069037</v>
      </c>
      <c r="E897" s="16" t="s">
        <v>4723</v>
      </c>
      <c r="F897" s="1" t="str">
        <f>VLOOKUP(A897,[1]Sheet1!$A$2:$E$1141,5,0)</f>
        <v>Mgr of North Maluku  Packing Plant</v>
      </c>
      <c r="G897" s="16" t="str">
        <f>VLOOKUP(A897,[1]Sheet1!$A$2:$F$1141,6,0)</f>
        <v>Manager</v>
      </c>
      <c r="H897" s="1" t="s">
        <v>4724</v>
      </c>
      <c r="I897" s="1" t="s">
        <v>1117</v>
      </c>
      <c r="J897" s="1" t="str">
        <f>VLOOKUP(A897,[1]Sheet1!$A$2:$H$1141,8,0)</f>
        <v>Dept. of Infrastructure</v>
      </c>
      <c r="K897" s="1" t="str">
        <f>VLOOKUP(A897,[1]Sheet1!$A$2:$I$1141,9,0)</f>
        <v>Unit of Packing Plant 2</v>
      </c>
      <c r="L897" s="1" t="str">
        <f>VLOOKUP(A897,[1]Sheet1!$A$2:$J$1141,10,0)</f>
        <v>Section of North Maluku Packing Plant</v>
      </c>
      <c r="M897" s="2">
        <v>26534</v>
      </c>
      <c r="N897" s="1" t="s">
        <v>29</v>
      </c>
      <c r="O897" s="1" t="s">
        <v>30</v>
      </c>
      <c r="P897" s="1" t="s">
        <v>4725</v>
      </c>
      <c r="Q897" s="1" t="s">
        <v>4726</v>
      </c>
      <c r="R897" s="1" t="s">
        <v>4727</v>
      </c>
      <c r="S897" s="1" t="s">
        <v>4728</v>
      </c>
      <c r="T897" s="14">
        <v>46997</v>
      </c>
      <c r="U897" s="1" t="s">
        <v>4729</v>
      </c>
      <c r="V897" s="1" t="s">
        <v>36</v>
      </c>
      <c r="W897" s="3" t="str">
        <f t="shared" si="13"/>
        <v>54 tahun</v>
      </c>
      <c r="X897" s="1" t="s">
        <v>55</v>
      </c>
      <c r="Y897" s="1" t="s">
        <v>48</v>
      </c>
      <c r="Z897" s="2">
        <v>35002</v>
      </c>
      <c r="AA897" s="2">
        <v>35370</v>
      </c>
      <c r="AB897" s="2" t="s">
        <v>84</v>
      </c>
    </row>
    <row r="898" spans="1:28" x14ac:dyDescent="0.35">
      <c r="A898" s="12">
        <v>6006</v>
      </c>
      <c r="B898" s="12">
        <v>8912172</v>
      </c>
      <c r="C898" s="12" t="s">
        <v>103</v>
      </c>
      <c r="D898" s="12">
        <v>50069039</v>
      </c>
      <c r="E898" s="1" t="s">
        <v>3446</v>
      </c>
      <c r="F898" s="1" t="str">
        <f>VLOOKUP(A898,[1]Sheet1!$A$2:$E$1141,5,0)</f>
        <v>Spv of North Maluku PP Operation</v>
      </c>
      <c r="G898" s="17" t="str">
        <f>VLOOKUP(A898,[1]Sheet1!$A$2:$F$1141,6,0)</f>
        <v>Supervisor</v>
      </c>
      <c r="H898" s="1" t="s">
        <v>4724</v>
      </c>
      <c r="I898" s="1" t="s">
        <v>1117</v>
      </c>
      <c r="J898" s="1" t="str">
        <f>VLOOKUP(A898,[1]Sheet1!$A$2:$H$1141,8,0)</f>
        <v>Dept. of Infrastructure</v>
      </c>
      <c r="K898" s="1" t="str">
        <f>VLOOKUP(A898,[1]Sheet1!$A$2:$I$1141,9,0)</f>
        <v>Unit of Packing Plant 2</v>
      </c>
      <c r="L898" s="1" t="str">
        <f>VLOOKUP(A898,[1]Sheet1!$A$2:$J$1141,10,0)</f>
        <v>Section of North Maluku Packing Plant</v>
      </c>
      <c r="M898" s="2">
        <v>32565</v>
      </c>
      <c r="N898" s="1" t="s">
        <v>29</v>
      </c>
      <c r="O898" s="1" t="s">
        <v>30</v>
      </c>
      <c r="P898" s="1" t="s">
        <v>4730</v>
      </c>
      <c r="Q898" s="1" t="s">
        <v>4731</v>
      </c>
      <c r="R898" s="1" t="s">
        <v>4732</v>
      </c>
      <c r="S898" s="1" t="s">
        <v>4728</v>
      </c>
      <c r="T898" s="14">
        <v>53022</v>
      </c>
      <c r="U898" s="1" t="s">
        <v>4733</v>
      </c>
      <c r="V898" s="1" t="s">
        <v>36</v>
      </c>
      <c r="W898" s="3" t="str">
        <f t="shared" si="13"/>
        <v>37 tahun</v>
      </c>
      <c r="X898" s="1" t="s">
        <v>595</v>
      </c>
      <c r="Y898" s="1" t="s">
        <v>56</v>
      </c>
      <c r="Z898" s="2">
        <v>41275</v>
      </c>
      <c r="AA898" s="2">
        <v>41395</v>
      </c>
      <c r="AB898" s="2" t="s">
        <v>4734</v>
      </c>
    </row>
    <row r="899" spans="1:28" x14ac:dyDescent="0.35">
      <c r="A899" s="12">
        <v>5093</v>
      </c>
      <c r="B899" s="12">
        <v>7402260</v>
      </c>
      <c r="C899" s="12" t="s">
        <v>164</v>
      </c>
      <c r="D899" s="12">
        <v>50069040</v>
      </c>
      <c r="E899" s="1" t="s">
        <v>4735</v>
      </c>
      <c r="F899" s="1" t="str">
        <f>VLOOKUP(A899,[1]Sheet1!$A$2:$E$1141,5,0)</f>
        <v>Spv of North Maluku PP Maintenance</v>
      </c>
      <c r="G899" s="17" t="str">
        <f>VLOOKUP(A899,[1]Sheet1!$A$2:$F$1141,6,0)</f>
        <v>Supervisor</v>
      </c>
      <c r="H899" s="1" t="s">
        <v>4724</v>
      </c>
      <c r="I899" s="1" t="s">
        <v>1117</v>
      </c>
      <c r="J899" s="1" t="str">
        <f>VLOOKUP(A899,[1]Sheet1!$A$2:$H$1141,8,0)</f>
        <v>Dept. of Infrastructure</v>
      </c>
      <c r="K899" s="1" t="str">
        <f>VLOOKUP(A899,[1]Sheet1!$A$2:$I$1141,9,0)</f>
        <v>Unit of Packing Plant 2</v>
      </c>
      <c r="L899" s="1" t="str">
        <f>VLOOKUP(A899,[1]Sheet1!$A$2:$J$1141,10,0)</f>
        <v>Section of North Maluku Packing Plant</v>
      </c>
      <c r="M899" s="2">
        <v>27388</v>
      </c>
      <c r="N899" s="1" t="s">
        <v>29</v>
      </c>
      <c r="O899" s="1" t="s">
        <v>30</v>
      </c>
      <c r="P899" s="1" t="s">
        <v>4736</v>
      </c>
      <c r="Q899" s="1" t="s">
        <v>4731</v>
      </c>
      <c r="R899" s="1" t="s">
        <v>4732</v>
      </c>
      <c r="S899" s="1" t="s">
        <v>4728</v>
      </c>
      <c r="T899" s="14">
        <v>47849</v>
      </c>
      <c r="U899" s="1" t="s">
        <v>4737</v>
      </c>
      <c r="V899" s="1" t="s">
        <v>36</v>
      </c>
      <c r="W899" s="3" t="str">
        <f t="shared" ref="W899:W962" si="14">DATEDIF(M899,$W$1,"Y")&amp;" "&amp;"tahun"</f>
        <v>51 tahun</v>
      </c>
      <c r="X899" s="1" t="s">
        <v>67</v>
      </c>
      <c r="Y899" s="1" t="s">
        <v>56</v>
      </c>
      <c r="Z899" s="2">
        <v>37469</v>
      </c>
      <c r="AA899" s="2">
        <v>38718</v>
      </c>
      <c r="AB899" s="2" t="s">
        <v>4738</v>
      </c>
    </row>
    <row r="900" spans="1:28" x14ac:dyDescent="0.35">
      <c r="A900" s="12">
        <v>5207</v>
      </c>
      <c r="B900" s="12">
        <v>7695075</v>
      </c>
      <c r="C900" s="12" t="s">
        <v>50</v>
      </c>
      <c r="D900" s="12">
        <v>50069041</v>
      </c>
      <c r="E900" s="16" t="s">
        <v>4739</v>
      </c>
      <c r="F900" s="1" t="str">
        <f>VLOOKUP(A900,[1]Sheet1!$A$2:$E$1141,5,0)</f>
        <v>Mgr of Ambon Packing Plant</v>
      </c>
      <c r="G900" s="16" t="str">
        <f>VLOOKUP(A900,[1]Sheet1!$A$2:$F$1141,6,0)</f>
        <v>Manager</v>
      </c>
      <c r="H900" s="1" t="s">
        <v>4740</v>
      </c>
      <c r="I900" s="1" t="s">
        <v>1117</v>
      </c>
      <c r="J900" s="1" t="str">
        <f>VLOOKUP(A900,[1]Sheet1!$A$2:$H$1141,8,0)</f>
        <v>Dept. of Infrastructure</v>
      </c>
      <c r="K900" s="1" t="str">
        <f>VLOOKUP(A900,[1]Sheet1!$A$2:$I$1141,9,0)</f>
        <v>Unit of Packing Plant 2</v>
      </c>
      <c r="L900" s="1" t="str">
        <f>VLOOKUP(A900,[1]Sheet1!$A$2:$J$1141,10,0)</f>
        <v>Section of Ambon Packing Plant</v>
      </c>
      <c r="M900" s="2">
        <v>27952</v>
      </c>
      <c r="N900" s="1" t="s">
        <v>29</v>
      </c>
      <c r="O900" s="1" t="s">
        <v>30</v>
      </c>
      <c r="P900" s="1" t="s">
        <v>4741</v>
      </c>
      <c r="Q900" s="1" t="s">
        <v>4742</v>
      </c>
      <c r="R900" s="1" t="s">
        <v>4743</v>
      </c>
      <c r="S900" s="1" t="s">
        <v>4744</v>
      </c>
      <c r="T900" s="14">
        <v>48427</v>
      </c>
      <c r="U900" s="1" t="s">
        <v>4745</v>
      </c>
      <c r="V900" s="1" t="s">
        <v>186</v>
      </c>
      <c r="W900" s="3" t="str">
        <f t="shared" si="14"/>
        <v>50 tahun</v>
      </c>
      <c r="X900" s="1" t="s">
        <v>486</v>
      </c>
      <c r="Y900" s="1" t="s">
        <v>48</v>
      </c>
      <c r="Z900" s="2">
        <v>34897</v>
      </c>
      <c r="AA900" s="2">
        <v>35278</v>
      </c>
      <c r="AB900" s="2" t="s">
        <v>4746</v>
      </c>
    </row>
    <row r="901" spans="1:28" x14ac:dyDescent="0.35">
      <c r="A901" s="12">
        <v>6130</v>
      </c>
      <c r="B901" s="12">
        <v>9012299</v>
      </c>
      <c r="C901" s="12" t="s">
        <v>103</v>
      </c>
      <c r="D901" s="12">
        <v>50069044</v>
      </c>
      <c r="E901" s="1" t="s">
        <v>3936</v>
      </c>
      <c r="F901" s="1" t="str">
        <f>VLOOKUP(A901,[1]Sheet1!$A$2:$E$1141,5,0)</f>
        <v>Spv of Ambon PP Operation</v>
      </c>
      <c r="G901" s="17" t="str">
        <f>VLOOKUP(A901,[1]Sheet1!$A$2:$F$1141,6,0)</f>
        <v>Supervisor</v>
      </c>
      <c r="H901" s="1" t="s">
        <v>4740</v>
      </c>
      <c r="I901" s="1" t="s">
        <v>1117</v>
      </c>
      <c r="J901" s="1" t="str">
        <f>VLOOKUP(A901,[1]Sheet1!$A$2:$H$1141,8,0)</f>
        <v>Dept. of Infrastructure</v>
      </c>
      <c r="K901" s="1" t="str">
        <f>VLOOKUP(A901,[1]Sheet1!$A$2:$I$1141,9,0)</f>
        <v>Unit of Packing Plant 2</v>
      </c>
      <c r="L901" s="1" t="str">
        <f>VLOOKUP(A901,[1]Sheet1!$A$2:$J$1141,10,0)</f>
        <v>Section of Ambon Packing Plant</v>
      </c>
      <c r="M901" s="2">
        <v>33157</v>
      </c>
      <c r="N901" s="1" t="s">
        <v>29</v>
      </c>
      <c r="O901" s="1" t="s">
        <v>30</v>
      </c>
      <c r="P901" s="1" t="s">
        <v>4747</v>
      </c>
      <c r="Q901" s="1" t="s">
        <v>4748</v>
      </c>
      <c r="R901" s="1" t="s">
        <v>4749</v>
      </c>
      <c r="S901" s="1" t="s">
        <v>4744</v>
      </c>
      <c r="T901" s="14">
        <v>53632</v>
      </c>
      <c r="U901" s="1" t="s">
        <v>4750</v>
      </c>
      <c r="V901" s="1" t="s">
        <v>36</v>
      </c>
      <c r="W901" s="3" t="str">
        <f t="shared" si="14"/>
        <v>35 tahun</v>
      </c>
      <c r="X901" s="1" t="s">
        <v>4751</v>
      </c>
      <c r="Y901" s="1" t="s">
        <v>56</v>
      </c>
      <c r="Z901" s="2">
        <v>41275</v>
      </c>
      <c r="AA901" s="2">
        <v>41487</v>
      </c>
      <c r="AB901" s="2" t="s">
        <v>4752</v>
      </c>
    </row>
    <row r="902" spans="1:28" x14ac:dyDescent="0.35">
      <c r="A902" s="12">
        <v>6066</v>
      </c>
      <c r="B902" s="12">
        <v>9012233</v>
      </c>
      <c r="C902" s="12" t="s">
        <v>103</v>
      </c>
      <c r="D902" s="12">
        <v>50069045</v>
      </c>
      <c r="E902" s="1" t="s">
        <v>4753</v>
      </c>
      <c r="F902" s="1" t="str">
        <f>VLOOKUP(A902,[1]Sheet1!$A$2:$E$1141,5,0)</f>
        <v>Spv of Ambon PP Maintenance</v>
      </c>
      <c r="G902" s="17" t="str">
        <f>VLOOKUP(A902,[1]Sheet1!$A$2:$F$1141,6,0)</f>
        <v>Supervisor</v>
      </c>
      <c r="H902" s="1" t="s">
        <v>4740</v>
      </c>
      <c r="I902" s="1" t="s">
        <v>1117</v>
      </c>
      <c r="J902" s="1" t="str">
        <f>VLOOKUP(A902,[1]Sheet1!$A$2:$H$1141,8,0)</f>
        <v>Dept. of Infrastructure</v>
      </c>
      <c r="K902" s="1" t="str">
        <f>VLOOKUP(A902,[1]Sheet1!$A$2:$I$1141,9,0)</f>
        <v>Unit of Packing Plant 2</v>
      </c>
      <c r="L902" s="1" t="str">
        <f>VLOOKUP(A902,[1]Sheet1!$A$2:$J$1141,10,0)</f>
        <v>Section of Ambon Packing Plant</v>
      </c>
      <c r="M902" s="2">
        <v>32874</v>
      </c>
      <c r="N902" s="1" t="s">
        <v>29</v>
      </c>
      <c r="O902" s="1" t="s">
        <v>30</v>
      </c>
      <c r="P902" s="1" t="s">
        <v>4754</v>
      </c>
      <c r="Q902" s="1" t="s">
        <v>4748</v>
      </c>
      <c r="R902" s="1" t="s">
        <v>4749</v>
      </c>
      <c r="S902" s="1" t="s">
        <v>4744</v>
      </c>
      <c r="T902" s="14">
        <v>53359</v>
      </c>
      <c r="U902" s="1" t="s">
        <v>4755</v>
      </c>
      <c r="V902" s="1" t="s">
        <v>36</v>
      </c>
      <c r="W902" s="3" t="str">
        <f t="shared" si="14"/>
        <v>36 tahun</v>
      </c>
      <c r="X902" s="1" t="s">
        <v>112</v>
      </c>
      <c r="Y902" s="1" t="s">
        <v>56</v>
      </c>
      <c r="Z902" s="2">
        <v>41275</v>
      </c>
      <c r="AA902" s="2">
        <v>41426</v>
      </c>
      <c r="AB902" s="2" t="s">
        <v>4756</v>
      </c>
    </row>
    <row r="903" spans="1:28" x14ac:dyDescent="0.35">
      <c r="A903" s="12">
        <v>4802</v>
      </c>
      <c r="B903" s="12">
        <v>7201001</v>
      </c>
      <c r="C903" s="12" t="s">
        <v>63</v>
      </c>
      <c r="D903" s="12">
        <v>50069046</v>
      </c>
      <c r="E903" s="16" t="s">
        <v>4757</v>
      </c>
      <c r="F903" s="1" t="str">
        <f>VLOOKUP(A903,[1]Sheet1!$A$2:$E$1141,5,0)</f>
        <v>Mgr of Bitung Packing Plant</v>
      </c>
      <c r="G903" s="16" t="str">
        <f>VLOOKUP(A903,[1]Sheet1!$A$2:$F$1141,6,0)</f>
        <v>Manager</v>
      </c>
      <c r="H903" s="1" t="s">
        <v>4758</v>
      </c>
      <c r="I903" s="1" t="s">
        <v>1117</v>
      </c>
      <c r="J903" s="1" t="str">
        <f>VLOOKUP(A903,[1]Sheet1!$A$2:$H$1141,8,0)</f>
        <v>Dept. of Infrastructure</v>
      </c>
      <c r="K903" s="1" t="str">
        <f>VLOOKUP(A903,[1]Sheet1!$A$2:$I$1141,9,0)</f>
        <v>Unit of Packing Plant 2</v>
      </c>
      <c r="L903" s="1" t="str">
        <f>VLOOKUP(A903,[1]Sheet1!$A$2:$J$1141,10,0)</f>
        <v>Section of Bitung Packing Plant</v>
      </c>
      <c r="M903" s="2">
        <v>26355</v>
      </c>
      <c r="N903" s="1" t="s">
        <v>29</v>
      </c>
      <c r="O903" s="1" t="s">
        <v>30</v>
      </c>
      <c r="P903" s="1" t="s">
        <v>4759</v>
      </c>
      <c r="Q903" s="1" t="s">
        <v>4760</v>
      </c>
      <c r="R903" s="1" t="s">
        <v>4761</v>
      </c>
      <c r="S903" s="1" t="s">
        <v>4762</v>
      </c>
      <c r="T903" s="14">
        <v>46813</v>
      </c>
      <c r="U903" s="1" t="s">
        <v>4763</v>
      </c>
      <c r="V903" s="1" t="s">
        <v>36</v>
      </c>
      <c r="W903" s="3" t="str">
        <f t="shared" si="14"/>
        <v>54 tahun</v>
      </c>
      <c r="X903" s="1" t="s">
        <v>37</v>
      </c>
      <c r="Y903" s="1" t="s">
        <v>68</v>
      </c>
      <c r="Z903" s="2">
        <v>36571</v>
      </c>
      <c r="AA903" s="2">
        <v>36951</v>
      </c>
      <c r="AB903" s="2" t="s">
        <v>4764</v>
      </c>
    </row>
    <row r="904" spans="1:28" x14ac:dyDescent="0.35">
      <c r="A904" s="12">
        <v>5139</v>
      </c>
      <c r="B904" s="12">
        <v>7595240</v>
      </c>
      <c r="C904" s="12" t="s">
        <v>50</v>
      </c>
      <c r="D904" s="12">
        <v>50069049</v>
      </c>
      <c r="E904" s="1" t="s">
        <v>4765</v>
      </c>
      <c r="F904" s="1" t="str">
        <f>VLOOKUP(A904,[1]Sheet1!$A$2:$E$1141,5,0)</f>
        <v>Spv of Bitung PP Operation</v>
      </c>
      <c r="G904" s="17" t="str">
        <f>VLOOKUP(A904,[1]Sheet1!$A$2:$F$1141,6,0)</f>
        <v>Supervisor</v>
      </c>
      <c r="H904" s="1" t="s">
        <v>4758</v>
      </c>
      <c r="I904" s="1" t="s">
        <v>1117</v>
      </c>
      <c r="J904" s="1" t="str">
        <f>VLOOKUP(A904,[1]Sheet1!$A$2:$H$1141,8,0)</f>
        <v>Dept. of Infrastructure</v>
      </c>
      <c r="K904" s="1" t="str">
        <f>VLOOKUP(A904,[1]Sheet1!$A$2:$I$1141,9,0)</f>
        <v>Unit of Packing Plant 2</v>
      </c>
      <c r="L904" s="1" t="str">
        <f>VLOOKUP(A904,[1]Sheet1!$A$2:$J$1141,10,0)</f>
        <v>Section of Bitung Packing Plant</v>
      </c>
      <c r="M904" s="2">
        <v>27545</v>
      </c>
      <c r="N904" s="1" t="s">
        <v>29</v>
      </c>
      <c r="O904" s="1" t="s">
        <v>30</v>
      </c>
      <c r="P904" s="1" t="s">
        <v>4766</v>
      </c>
      <c r="Q904" s="1" t="s">
        <v>4767</v>
      </c>
      <c r="R904" s="1" t="s">
        <v>4768</v>
      </c>
      <c r="S904" s="1" t="s">
        <v>4762</v>
      </c>
      <c r="T904" s="14">
        <v>48000</v>
      </c>
      <c r="U904" s="1" t="s">
        <v>4769</v>
      </c>
      <c r="V904" s="1" t="s">
        <v>36</v>
      </c>
      <c r="W904" s="3" t="str">
        <f t="shared" si="14"/>
        <v>51 tahun</v>
      </c>
      <c r="X904" s="1" t="s">
        <v>121</v>
      </c>
      <c r="Y904" s="1" t="s">
        <v>56</v>
      </c>
      <c r="Z904" s="2">
        <v>35002</v>
      </c>
      <c r="AA904" s="2">
        <v>35370</v>
      </c>
      <c r="AB904" s="2" t="s">
        <v>1993</v>
      </c>
    </row>
    <row r="905" spans="1:28" x14ac:dyDescent="0.35">
      <c r="A905" s="12">
        <v>5112</v>
      </c>
      <c r="B905" s="12">
        <v>7595051</v>
      </c>
      <c r="C905" s="12" t="s">
        <v>50</v>
      </c>
      <c r="D905" s="12">
        <v>50069051</v>
      </c>
      <c r="E905" s="16" t="s">
        <v>4770</v>
      </c>
      <c r="F905" s="1" t="str">
        <f>VLOOKUP(A905,[1]Sheet1!$A$2:$E$1141,5,0)</f>
        <v>Mgr of Kendari Packing Plant</v>
      </c>
      <c r="G905" s="16" t="str">
        <f>VLOOKUP(A905,[1]Sheet1!$A$2:$F$1141,6,0)</f>
        <v>Manager</v>
      </c>
      <c r="H905" s="1" t="s">
        <v>4771</v>
      </c>
      <c r="I905" s="1" t="s">
        <v>1117</v>
      </c>
      <c r="J905" s="1" t="str">
        <f>VLOOKUP(A905,[1]Sheet1!$A$2:$H$1141,8,0)</f>
        <v>Dept. of Infrastructure</v>
      </c>
      <c r="K905" s="1" t="str">
        <f>VLOOKUP(A905,[1]Sheet1!$A$2:$I$1141,9,0)</f>
        <v>Unit of Packing Plant 2</v>
      </c>
      <c r="L905" s="1" t="str">
        <f>VLOOKUP(A905,[1]Sheet1!$A$2:$J$1141,10,0)</f>
        <v>Section of Kendari Packing Plant</v>
      </c>
      <c r="M905" s="2">
        <v>27452</v>
      </c>
      <c r="N905" s="1" t="s">
        <v>29</v>
      </c>
      <c r="O905" s="1" t="s">
        <v>30</v>
      </c>
      <c r="P905" s="1" t="s">
        <v>4772</v>
      </c>
      <c r="Q905" s="1" t="s">
        <v>4773</v>
      </c>
      <c r="R905" s="1" t="s">
        <v>4774</v>
      </c>
      <c r="S905" s="1" t="s">
        <v>4775</v>
      </c>
      <c r="T905" s="14">
        <v>47908</v>
      </c>
      <c r="U905" s="1" t="s">
        <v>4776</v>
      </c>
      <c r="V905" s="1" t="s">
        <v>36</v>
      </c>
      <c r="W905" s="3" t="str">
        <f t="shared" si="14"/>
        <v>51 tahun</v>
      </c>
      <c r="X905" s="1" t="s">
        <v>3991</v>
      </c>
      <c r="Y905" s="1" t="s">
        <v>48</v>
      </c>
      <c r="Z905" s="2">
        <v>34897</v>
      </c>
      <c r="AA905" s="2">
        <v>35278</v>
      </c>
      <c r="AB905" s="2" t="s">
        <v>84</v>
      </c>
    </row>
    <row r="906" spans="1:28" x14ac:dyDescent="0.35">
      <c r="A906" s="12">
        <v>4849</v>
      </c>
      <c r="B906" s="12">
        <v>7202189</v>
      </c>
      <c r="C906" s="12" t="s">
        <v>164</v>
      </c>
      <c r="D906" s="12">
        <v>50069053</v>
      </c>
      <c r="E906" s="1" t="s">
        <v>4777</v>
      </c>
      <c r="F906" s="1" t="str">
        <f>VLOOKUP(A906,[1]Sheet1!$A$2:$E$1141,5,0)</f>
        <v>Spv of Kendari PP Operation</v>
      </c>
      <c r="G906" s="17" t="str">
        <f>VLOOKUP(A906,[1]Sheet1!$A$2:$F$1141,6,0)</f>
        <v>Supervisor</v>
      </c>
      <c r="H906" s="1" t="s">
        <v>4771</v>
      </c>
      <c r="I906" s="1" t="s">
        <v>1117</v>
      </c>
      <c r="J906" s="1" t="str">
        <f>VLOOKUP(A906,[1]Sheet1!$A$2:$H$1141,8,0)</f>
        <v>Dept. of Infrastructure</v>
      </c>
      <c r="K906" s="1" t="str">
        <f>VLOOKUP(A906,[1]Sheet1!$A$2:$I$1141,9,0)</f>
        <v>Unit of Packing Plant 2</v>
      </c>
      <c r="L906" s="1" t="str">
        <f>VLOOKUP(A906,[1]Sheet1!$A$2:$J$1141,10,0)</f>
        <v>Section of Kendari Packing Plant</v>
      </c>
      <c r="M906" s="2">
        <v>26487</v>
      </c>
      <c r="N906" s="1" t="s">
        <v>29</v>
      </c>
      <c r="O906" s="1" t="s">
        <v>30</v>
      </c>
      <c r="P906" s="1" t="s">
        <v>4778</v>
      </c>
      <c r="Q906" s="1" t="s">
        <v>4779</v>
      </c>
      <c r="R906" s="1" t="s">
        <v>4780</v>
      </c>
      <c r="S906" s="1" t="s">
        <v>4775</v>
      </c>
      <c r="T906" s="14">
        <v>46966</v>
      </c>
      <c r="U906" s="1" t="s">
        <v>4781</v>
      </c>
      <c r="V906" s="1" t="s">
        <v>36</v>
      </c>
      <c r="W906" s="3" t="str">
        <f t="shared" si="14"/>
        <v>54 tahun</v>
      </c>
      <c r="X906" s="1" t="s">
        <v>37</v>
      </c>
      <c r="Y906" s="1" t="s">
        <v>48</v>
      </c>
      <c r="Z906" s="2">
        <v>37469</v>
      </c>
      <c r="AA906" s="2">
        <v>38718</v>
      </c>
      <c r="AB906" s="2" t="s">
        <v>4782</v>
      </c>
    </row>
    <row r="907" spans="1:28" x14ac:dyDescent="0.35">
      <c r="A907" s="12">
        <v>5356</v>
      </c>
      <c r="B907" s="12">
        <v>8508086</v>
      </c>
      <c r="C907" s="12" t="s">
        <v>25</v>
      </c>
      <c r="D907" s="12">
        <v>50069055</v>
      </c>
      <c r="E907" s="16" t="s">
        <v>4783</v>
      </c>
      <c r="F907" s="1" t="str">
        <f>VLOOKUP(A907,[1]Sheet1!$A$2:$E$1141,5,0)</f>
        <v>Mgr of Sorong Packing Plant</v>
      </c>
      <c r="G907" s="16" t="str">
        <f>VLOOKUP(A907,[1]Sheet1!$A$2:$F$1141,6,0)</f>
        <v>Manager</v>
      </c>
      <c r="H907" s="1" t="s">
        <v>4784</v>
      </c>
      <c r="I907" s="1" t="s">
        <v>1117</v>
      </c>
      <c r="J907" s="1" t="str">
        <f>VLOOKUP(A907,[1]Sheet1!$A$2:$H$1141,8,0)</f>
        <v>Dept. of Infrastructure</v>
      </c>
      <c r="K907" s="1" t="str">
        <f>VLOOKUP(A907,[1]Sheet1!$A$2:$I$1141,9,0)</f>
        <v>Unit of Packing Plant 2</v>
      </c>
      <c r="L907" s="1" t="str">
        <f>VLOOKUP(A907,[1]Sheet1!$A$2:$J$1141,10,0)</f>
        <v>Section of Sorong Packing Plant</v>
      </c>
      <c r="M907" s="2">
        <v>31336</v>
      </c>
      <c r="N907" s="1" t="s">
        <v>29</v>
      </c>
      <c r="O907" s="1" t="s">
        <v>30</v>
      </c>
      <c r="P907" s="1" t="s">
        <v>4785</v>
      </c>
      <c r="Q907" s="1" t="s">
        <v>4786</v>
      </c>
      <c r="R907" s="1" t="s">
        <v>4787</v>
      </c>
      <c r="S907" s="1" t="s">
        <v>4788</v>
      </c>
      <c r="T907" s="14">
        <v>51806</v>
      </c>
      <c r="U907" s="1" t="s">
        <v>4789</v>
      </c>
      <c r="V907" s="1" t="s">
        <v>186</v>
      </c>
      <c r="W907" s="3" t="str">
        <f t="shared" si="14"/>
        <v>40 tahun</v>
      </c>
      <c r="X907" s="1" t="s">
        <v>4790</v>
      </c>
      <c r="Y907" s="1" t="s">
        <v>68</v>
      </c>
      <c r="Z907" s="2">
        <v>39814</v>
      </c>
      <c r="AA907" s="2">
        <v>39934</v>
      </c>
      <c r="AB907" s="2" t="s">
        <v>84</v>
      </c>
    </row>
    <row r="908" spans="1:28" x14ac:dyDescent="0.35">
      <c r="A908" s="12">
        <v>6262</v>
      </c>
      <c r="B908" s="12">
        <v>9212431</v>
      </c>
      <c r="C908" s="12" t="s">
        <v>103</v>
      </c>
      <c r="D908" s="12">
        <v>50069057</v>
      </c>
      <c r="E908" s="1" t="s">
        <v>2006</v>
      </c>
      <c r="F908" s="1" t="str">
        <f>VLOOKUP(A908,[1]Sheet1!$A$2:$E$1141,5,0)</f>
        <v>Spv of Sorong PP Operation</v>
      </c>
      <c r="G908" s="17" t="str">
        <f>VLOOKUP(A908,[1]Sheet1!$A$2:$F$1141,6,0)</f>
        <v>Supervisor</v>
      </c>
      <c r="H908" s="1" t="s">
        <v>4784</v>
      </c>
      <c r="I908" s="1" t="s">
        <v>1117</v>
      </c>
      <c r="J908" s="1" t="str">
        <f>VLOOKUP(A908,[1]Sheet1!$A$2:$H$1141,8,0)</f>
        <v>Dept. of Infrastructure</v>
      </c>
      <c r="K908" s="1" t="str">
        <f>VLOOKUP(A908,[1]Sheet1!$A$2:$I$1141,9,0)</f>
        <v>Unit of Packing Plant 2</v>
      </c>
      <c r="L908" s="1" t="str">
        <f>VLOOKUP(A908,[1]Sheet1!$A$2:$J$1141,10,0)</f>
        <v>Section of Sorong Packing Plant</v>
      </c>
      <c r="M908" s="2">
        <v>33793</v>
      </c>
      <c r="N908" s="1" t="s">
        <v>29</v>
      </c>
      <c r="O908" s="1" t="s">
        <v>30</v>
      </c>
      <c r="P908" s="1" t="s">
        <v>4791</v>
      </c>
      <c r="Q908" s="1" t="s">
        <v>4792</v>
      </c>
      <c r="R908" s="1" t="s">
        <v>4793</v>
      </c>
      <c r="S908" s="1" t="s">
        <v>4788</v>
      </c>
      <c r="T908" s="14">
        <v>54271</v>
      </c>
      <c r="U908" s="18" t="s">
        <v>4794</v>
      </c>
      <c r="V908" s="1" t="s">
        <v>36</v>
      </c>
      <c r="W908" s="3" t="str">
        <f t="shared" si="14"/>
        <v>34 tahun</v>
      </c>
      <c r="X908" s="1" t="s">
        <v>667</v>
      </c>
      <c r="Y908" s="1" t="s">
        <v>56</v>
      </c>
      <c r="Z908" s="2">
        <v>41275</v>
      </c>
      <c r="AA908" s="2">
        <v>41395</v>
      </c>
      <c r="AB908" s="2" t="s">
        <v>4795</v>
      </c>
    </row>
    <row r="909" spans="1:28" x14ac:dyDescent="0.35">
      <c r="A909" s="12">
        <v>5094</v>
      </c>
      <c r="B909" s="12">
        <v>7495046</v>
      </c>
      <c r="C909" s="12" t="s">
        <v>50</v>
      </c>
      <c r="D909" s="12">
        <v>50069059</v>
      </c>
      <c r="E909" s="16" t="s">
        <v>4796</v>
      </c>
      <c r="F909" s="1" t="str">
        <f>VLOOKUP(A909,[1]Sheet1!$A$2:$E$1141,5,0)</f>
        <v>Mgr of Mamuju Packing Plant</v>
      </c>
      <c r="G909" s="16" t="str">
        <f>VLOOKUP(A909,[1]Sheet1!$A$2:$F$1141,6,0)</f>
        <v>Manager</v>
      </c>
      <c r="H909" s="1" t="s">
        <v>4797</v>
      </c>
      <c r="I909" s="1" t="s">
        <v>1117</v>
      </c>
      <c r="J909" s="1" t="str">
        <f>VLOOKUP(A909,[1]Sheet1!$A$2:$H$1141,8,0)</f>
        <v>Dept. of Infrastructure</v>
      </c>
      <c r="K909" s="1" t="str">
        <f>VLOOKUP(A909,[1]Sheet1!$A$2:$I$1141,9,0)</f>
        <v>Unit of Packing Plant 2</v>
      </c>
      <c r="L909" s="1" t="str">
        <f>VLOOKUP(A909,[1]Sheet1!$A$2:$J$1141,10,0)</f>
        <v>Section of Mamuju Packing Plant</v>
      </c>
      <c r="M909" s="2">
        <v>27379</v>
      </c>
      <c r="N909" s="1" t="s">
        <v>29</v>
      </c>
      <c r="O909" s="1" t="s">
        <v>30</v>
      </c>
      <c r="P909" s="1" t="s">
        <v>4798</v>
      </c>
      <c r="Q909" s="1" t="s">
        <v>4799</v>
      </c>
      <c r="R909" s="1" t="s">
        <v>4800</v>
      </c>
      <c r="S909" s="1" t="s">
        <v>4801</v>
      </c>
      <c r="T909" s="14">
        <v>47849</v>
      </c>
      <c r="U909" s="1" t="s">
        <v>4802</v>
      </c>
      <c r="V909" s="1" t="s">
        <v>36</v>
      </c>
      <c r="W909" s="3" t="str">
        <f t="shared" si="14"/>
        <v>51 tahun</v>
      </c>
      <c r="X909" s="1" t="s">
        <v>107</v>
      </c>
      <c r="Y909" s="1" t="s">
        <v>48</v>
      </c>
      <c r="Z909" s="2">
        <v>34897</v>
      </c>
      <c r="AA909" s="2">
        <v>35278</v>
      </c>
      <c r="AB909" s="2" t="s">
        <v>84</v>
      </c>
    </row>
    <row r="910" spans="1:28" x14ac:dyDescent="0.35">
      <c r="A910" s="12">
        <v>5966</v>
      </c>
      <c r="B910" s="12">
        <v>8812134</v>
      </c>
      <c r="C910" s="12" t="s">
        <v>103</v>
      </c>
      <c r="D910" s="12">
        <v>50069061</v>
      </c>
      <c r="E910" s="1" t="s">
        <v>4803</v>
      </c>
      <c r="F910" s="1" t="str">
        <f>VLOOKUP(A910,[1]Sheet1!$A$2:$E$1141,5,0)</f>
        <v>Spv of Mamuju PP Operation</v>
      </c>
      <c r="G910" s="17" t="str">
        <f>VLOOKUP(A910,[1]Sheet1!$A$2:$F$1141,6,0)</f>
        <v>Supervisor</v>
      </c>
      <c r="H910" s="1" t="s">
        <v>4797</v>
      </c>
      <c r="I910" s="1" t="s">
        <v>1117</v>
      </c>
      <c r="J910" s="1" t="str">
        <f>VLOOKUP(A910,[1]Sheet1!$A$2:$H$1141,8,0)</f>
        <v>Dept. of Infrastructure</v>
      </c>
      <c r="K910" s="1" t="str">
        <f>VLOOKUP(A910,[1]Sheet1!$A$2:$I$1141,9,0)</f>
        <v>Unit of Packing Plant 2</v>
      </c>
      <c r="L910" s="1" t="str">
        <f>VLOOKUP(A910,[1]Sheet1!$A$2:$J$1141,10,0)</f>
        <v>Section of Mamuju Packing Plant</v>
      </c>
      <c r="M910" s="2">
        <v>32339</v>
      </c>
      <c r="N910" s="1" t="s">
        <v>29</v>
      </c>
      <c r="O910" s="1" t="s">
        <v>30</v>
      </c>
      <c r="P910" s="1" t="s">
        <v>4804</v>
      </c>
      <c r="Q910" s="1" t="s">
        <v>4805</v>
      </c>
      <c r="R910" s="1" t="s">
        <v>4806</v>
      </c>
      <c r="S910" s="1" t="s">
        <v>4801</v>
      </c>
      <c r="T910" s="14">
        <v>52810</v>
      </c>
      <c r="U910" s="1" t="s">
        <v>4807</v>
      </c>
      <c r="V910" s="1" t="s">
        <v>36</v>
      </c>
      <c r="W910" s="3" t="str">
        <f t="shared" si="14"/>
        <v>38 tahun</v>
      </c>
      <c r="X910" s="1" t="s">
        <v>112</v>
      </c>
      <c r="Y910" s="1" t="s">
        <v>56</v>
      </c>
      <c r="Z910" s="2">
        <v>41275</v>
      </c>
      <c r="AA910" s="2">
        <v>41395</v>
      </c>
      <c r="AB910" s="2" t="s">
        <v>4808</v>
      </c>
    </row>
    <row r="911" spans="1:28" x14ac:dyDescent="0.35">
      <c r="A911" s="12">
        <v>8558</v>
      </c>
      <c r="B911" s="12">
        <v>9926002</v>
      </c>
      <c r="C911" s="12" t="s">
        <v>921</v>
      </c>
      <c r="D911" s="12">
        <v>50069063</v>
      </c>
      <c r="E911" s="15" t="s">
        <v>4809</v>
      </c>
      <c r="F911" s="1" t="str">
        <f>VLOOKUP(A911,[1]Sheet1!$A$2:$E$1141,5,0)</f>
        <v>SM of SCM Infra Port Managemnet</v>
      </c>
      <c r="G911" s="15" t="str">
        <f>VLOOKUP(A911,[1]Sheet1!$A$2:$F$1141,6,0)</f>
        <v>Non-Eselon</v>
      </c>
      <c r="H911" s="1" t="s">
        <v>4810</v>
      </c>
      <c r="I911" s="1" t="s">
        <v>1117</v>
      </c>
      <c r="J911" s="1" t="str">
        <f>VLOOKUP(A911,[1]Sheet1!$A$2:$H$1141,8,0)</f>
        <v>Dept. of Infrastructure</v>
      </c>
      <c r="K911" s="1" t="str">
        <f>VLOOKUP(A911,[1]Sheet1!$A$2:$I$1141,9,0)</f>
        <v>Unit of SCM Infra Port Management</v>
      </c>
      <c r="L911" s="1" t="e">
        <f>VLOOKUP(A911,[1]Sheet1!$A$2:$J$1141,10,0)</f>
        <v>#REF!</v>
      </c>
      <c r="M911" s="2">
        <v>29533</v>
      </c>
      <c r="N911" s="1" t="s">
        <v>29</v>
      </c>
      <c r="O911" s="1" t="s">
        <v>30</v>
      </c>
      <c r="P911" s="1" t="s">
        <v>4811</v>
      </c>
      <c r="Q911" s="1" t="s">
        <v>4812</v>
      </c>
      <c r="R911" s="1" t="s">
        <v>4813</v>
      </c>
      <c r="S911" s="1" t="s">
        <v>4814</v>
      </c>
      <c r="T911" s="14">
        <v>46388</v>
      </c>
      <c r="U911" s="1" t="s">
        <v>4815</v>
      </c>
      <c r="V911" s="1" t="s">
        <v>36</v>
      </c>
      <c r="W911" s="3" t="str">
        <f t="shared" si="14"/>
        <v>45 tahun</v>
      </c>
      <c r="X911" s="1" t="s">
        <v>4816</v>
      </c>
      <c r="Y911" s="1" t="s">
        <v>48</v>
      </c>
      <c r="Z911" s="2">
        <v>46023</v>
      </c>
      <c r="AA911" s="2">
        <v>46023</v>
      </c>
      <c r="AB911" s="2" t="s">
        <v>4817</v>
      </c>
    </row>
    <row r="912" spans="1:28" x14ac:dyDescent="0.35">
      <c r="A912" s="12">
        <v>5212</v>
      </c>
      <c r="B912" s="12">
        <v>7601005</v>
      </c>
      <c r="C912" s="12" t="s">
        <v>63</v>
      </c>
      <c r="D912" s="12">
        <v>50069064</v>
      </c>
      <c r="E912" s="16" t="s">
        <v>4818</v>
      </c>
      <c r="F912" s="1" t="str">
        <f>VLOOKUP(A912,[1]Sheet1!$A$2:$E$1141,5,0)</f>
        <v>SCM Infra Port Management Officer</v>
      </c>
      <c r="G912" s="16" t="str">
        <f>VLOOKUP(A912,[1]Sheet1!$A$2:$F$1141,6,0)</f>
        <v>Manager</v>
      </c>
      <c r="H912" s="1" t="s">
        <v>4810</v>
      </c>
      <c r="I912" s="1" t="s">
        <v>1117</v>
      </c>
      <c r="J912" s="1" t="str">
        <f>VLOOKUP(A912,[1]Sheet1!$A$2:$H$1141,8,0)</f>
        <v>Dept. of Infrastructure</v>
      </c>
      <c r="K912" s="1" t="str">
        <f>VLOOKUP(A912,[1]Sheet1!$A$2:$I$1141,9,0)</f>
        <v>Unit of SCM Infra Port Management</v>
      </c>
      <c r="L912" s="1" t="str">
        <f>VLOOKUP(A912,[1]Sheet1!$A$2:$J$1141,10,0)</f>
        <v>Staff of SCM Infra Port Management</v>
      </c>
      <c r="M912" s="2">
        <v>27976</v>
      </c>
      <c r="N912" s="1" t="s">
        <v>29</v>
      </c>
      <c r="O912" s="1" t="s">
        <v>30</v>
      </c>
      <c r="P912" s="1" t="s">
        <v>4819</v>
      </c>
      <c r="Q912" s="1" t="s">
        <v>4820</v>
      </c>
      <c r="R912" s="1" t="s">
        <v>4821</v>
      </c>
      <c r="S912" s="1" t="s">
        <v>4814</v>
      </c>
      <c r="T912" s="14">
        <v>48458</v>
      </c>
      <c r="U912" s="1" t="s">
        <v>4822</v>
      </c>
      <c r="V912" s="1" t="s">
        <v>36</v>
      </c>
      <c r="W912" s="3" t="str">
        <f t="shared" si="14"/>
        <v>50 tahun</v>
      </c>
      <c r="X912" s="1" t="s">
        <v>37</v>
      </c>
      <c r="Y912" s="1" t="s">
        <v>48</v>
      </c>
      <c r="Z912" s="2">
        <v>36631</v>
      </c>
      <c r="AA912" s="2">
        <v>37012</v>
      </c>
      <c r="AB912" s="2" t="s">
        <v>4823</v>
      </c>
    </row>
    <row r="913" spans="1:28" x14ac:dyDescent="0.35">
      <c r="A913" s="12">
        <v>5074</v>
      </c>
      <c r="B913" s="12">
        <v>7401003</v>
      </c>
      <c r="C913" s="12" t="s">
        <v>63</v>
      </c>
      <c r="D913" s="12">
        <v>50069065</v>
      </c>
      <c r="E913" s="15" t="s">
        <v>4824</v>
      </c>
      <c r="F913" s="1" t="str">
        <f>VLOOKUP(A913,[1]Sheet1!$A$2:$E$1141,5,0)</f>
        <v>SM of Plant &amp; Port Product Discharge Opr</v>
      </c>
      <c r="G913" s="15" t="str">
        <f>VLOOKUP(A913,[1]Sheet1!$A$2:$F$1141,6,0)</f>
        <v>Senior Manager</v>
      </c>
      <c r="H913" s="1" t="s">
        <v>4810</v>
      </c>
      <c r="I913" s="1" t="s">
        <v>1117</v>
      </c>
      <c r="J913" s="1" t="str">
        <f>VLOOKUP(A913,[1]Sheet1!$A$2:$H$1141,8,0)</f>
        <v>Dept. of Infrastructure</v>
      </c>
      <c r="K913" s="1" t="str">
        <f>VLOOKUP(A913,[1]Sheet1!$A$2:$I$1141,9,0)</f>
        <v>Unit of Plant &amp; Port Prod Discharge Opr</v>
      </c>
      <c r="L913" s="1" t="e">
        <f>VLOOKUP(A913,[1]Sheet1!$A$2:$J$1141,10,0)</f>
        <v>#REF!</v>
      </c>
      <c r="M913" s="2">
        <v>27297</v>
      </c>
      <c r="N913" s="1" t="s">
        <v>29</v>
      </c>
      <c r="O913" s="1" t="s">
        <v>30</v>
      </c>
      <c r="P913" s="1" t="s">
        <v>4825</v>
      </c>
      <c r="Q913" s="1" t="s">
        <v>4826</v>
      </c>
      <c r="R913" s="1" t="s">
        <v>4827</v>
      </c>
      <c r="S913" s="1" t="s">
        <v>4814</v>
      </c>
      <c r="T913" s="14">
        <v>47757</v>
      </c>
      <c r="U913" s="1" t="s">
        <v>4828</v>
      </c>
      <c r="V913" s="1" t="s">
        <v>410</v>
      </c>
      <c r="W913" s="3" t="str">
        <f t="shared" si="14"/>
        <v>51 tahun</v>
      </c>
      <c r="X913" s="1" t="s">
        <v>4829</v>
      </c>
      <c r="Y913" s="1" t="s">
        <v>38</v>
      </c>
      <c r="Z913" s="2">
        <v>36571</v>
      </c>
      <c r="AA913" s="2">
        <v>36951</v>
      </c>
      <c r="AB913" s="2" t="s">
        <v>4830</v>
      </c>
    </row>
    <row r="914" spans="1:28" x14ac:dyDescent="0.35">
      <c r="A914" s="12">
        <v>5349</v>
      </c>
      <c r="B914" s="12">
        <v>8510033</v>
      </c>
      <c r="C914" s="12" t="s">
        <v>139</v>
      </c>
      <c r="D914" s="12">
        <v>50069066</v>
      </c>
      <c r="E914" s="16" t="s">
        <v>4831</v>
      </c>
      <c r="F914" s="1" t="str">
        <f>VLOOKUP(A914,[1]Sheet1!$A$2:$E$1141,5,0)</f>
        <v>Mgr of Port Operation (Packer &amp; Curah)</v>
      </c>
      <c r="G914" s="16" t="str">
        <f>VLOOKUP(A914,[1]Sheet1!$A$2:$F$1141,6,0)</f>
        <v>Manager</v>
      </c>
      <c r="H914" s="1" t="s">
        <v>4832</v>
      </c>
      <c r="I914" s="1" t="s">
        <v>1117</v>
      </c>
      <c r="J914" s="1" t="str">
        <f>VLOOKUP(A914,[1]Sheet1!$A$2:$H$1141,8,0)</f>
        <v>Dept. of Infrastructure</v>
      </c>
      <c r="K914" s="1" t="str">
        <f>VLOOKUP(A914,[1]Sheet1!$A$2:$I$1141,9,0)</f>
        <v>Unit of Plant &amp; Port Prod Discharge Opr</v>
      </c>
      <c r="L914" s="1" t="str">
        <f>VLOOKUP(A914,[1]Sheet1!$A$2:$J$1141,10,0)</f>
        <v>Section of Port Opr (Packer &amp; Curah)</v>
      </c>
      <c r="M914" s="2">
        <v>31275</v>
      </c>
      <c r="N914" s="1" t="s">
        <v>29</v>
      </c>
      <c r="O914" s="1" t="s">
        <v>30</v>
      </c>
      <c r="P914" s="1" t="s">
        <v>4833</v>
      </c>
      <c r="Q914" s="1" t="s">
        <v>4834</v>
      </c>
      <c r="R914" s="1" t="s">
        <v>4835</v>
      </c>
      <c r="S914" s="1" t="s">
        <v>4836</v>
      </c>
      <c r="T914" s="14">
        <v>51745</v>
      </c>
      <c r="U914" s="1" t="s">
        <v>4837</v>
      </c>
      <c r="V914" s="1" t="s">
        <v>36</v>
      </c>
      <c r="W914" s="3" t="str">
        <f t="shared" si="14"/>
        <v>41 tahun</v>
      </c>
      <c r="X914" s="1" t="s">
        <v>55</v>
      </c>
      <c r="Y914" s="1" t="s">
        <v>48</v>
      </c>
      <c r="Z914" s="2">
        <v>40544</v>
      </c>
      <c r="AA914" s="2">
        <v>40695</v>
      </c>
      <c r="AB914" s="2" t="s">
        <v>4838</v>
      </c>
    </row>
    <row r="915" spans="1:28" x14ac:dyDescent="0.35">
      <c r="A915" s="12">
        <v>5198</v>
      </c>
      <c r="B915" s="12">
        <v>7706538</v>
      </c>
      <c r="C915" s="12" t="s">
        <v>219</v>
      </c>
      <c r="D915" s="12">
        <v>50069070</v>
      </c>
      <c r="E915" s="1" t="s">
        <v>4839</v>
      </c>
      <c r="F915" s="1" t="str">
        <f>VLOOKUP(A915,[1]Sheet1!$A$2:$E$1141,5,0)</f>
        <v>Spv of Port Management System</v>
      </c>
      <c r="G915" s="17" t="str">
        <f>VLOOKUP(A915,[1]Sheet1!$A$2:$F$1141,6,0)</f>
        <v>Supervisor</v>
      </c>
      <c r="H915" s="1" t="s">
        <v>4832</v>
      </c>
      <c r="I915" s="1" t="s">
        <v>1117</v>
      </c>
      <c r="J915" s="1" t="str">
        <f>VLOOKUP(A915,[1]Sheet1!$A$2:$H$1141,8,0)</f>
        <v>Dept. of Infrastructure</v>
      </c>
      <c r="K915" s="1" t="str">
        <f>VLOOKUP(A915,[1]Sheet1!$A$2:$I$1141,9,0)</f>
        <v>Unit of Plant &amp; Port Prod Discharge Opr</v>
      </c>
      <c r="L915" s="1" t="str">
        <f>VLOOKUP(A915,[1]Sheet1!$A$2:$J$1141,10,0)</f>
        <v>Section of Port Opr (Packer &amp; Curah)</v>
      </c>
      <c r="M915" s="2">
        <v>28231</v>
      </c>
      <c r="N915" s="1" t="s">
        <v>29</v>
      </c>
      <c r="O915" s="1" t="s">
        <v>30</v>
      </c>
      <c r="P915" s="1" t="s">
        <v>4840</v>
      </c>
      <c r="Q915" s="1" t="s">
        <v>4841</v>
      </c>
      <c r="R915" s="1" t="s">
        <v>4842</v>
      </c>
      <c r="S915" s="1" t="s">
        <v>4836</v>
      </c>
      <c r="T915" s="14">
        <v>48700</v>
      </c>
      <c r="U915" s="1" t="s">
        <v>4843</v>
      </c>
      <c r="V915" s="1" t="s">
        <v>36</v>
      </c>
      <c r="W915" s="3" t="str">
        <f t="shared" si="14"/>
        <v>49 tahun</v>
      </c>
      <c r="X915" s="1" t="s">
        <v>121</v>
      </c>
      <c r="Y915" s="1" t="s">
        <v>56</v>
      </c>
      <c r="Z915" s="2">
        <v>38718</v>
      </c>
      <c r="AA915" s="2">
        <v>41030</v>
      </c>
      <c r="AB915" s="2" t="s">
        <v>84</v>
      </c>
    </row>
    <row r="916" spans="1:28" x14ac:dyDescent="0.35">
      <c r="A916" s="12">
        <v>4733</v>
      </c>
      <c r="B916" s="12">
        <v>7106329</v>
      </c>
      <c r="C916" s="12" t="s">
        <v>219</v>
      </c>
      <c r="D916" s="12">
        <v>50069071</v>
      </c>
      <c r="E916" s="1" t="s">
        <v>4844</v>
      </c>
      <c r="F916" s="1" t="str">
        <f>VLOOKUP(A916,[1]Sheet1!$A$2:$E$1141,5,0)</f>
        <v>Spv of Port Operation</v>
      </c>
      <c r="G916" s="17" t="str">
        <f>VLOOKUP(A916,[1]Sheet1!$A$2:$F$1141,6,0)</f>
        <v>Supervisor</v>
      </c>
      <c r="H916" s="1" t="s">
        <v>4832</v>
      </c>
      <c r="I916" s="1" t="s">
        <v>1117</v>
      </c>
      <c r="J916" s="1" t="str">
        <f>VLOOKUP(A916,[1]Sheet1!$A$2:$H$1141,8,0)</f>
        <v>Dept. of Infrastructure</v>
      </c>
      <c r="K916" s="1" t="str">
        <f>VLOOKUP(A916,[1]Sheet1!$A$2:$I$1141,9,0)</f>
        <v>Unit of Plant &amp; Port Prod Discharge Opr</v>
      </c>
      <c r="L916" s="1" t="str">
        <f>VLOOKUP(A916,[1]Sheet1!$A$2:$J$1141,10,0)</f>
        <v>Section of Port Opr (Packer &amp; Curah)</v>
      </c>
      <c r="M916" s="2">
        <v>26186</v>
      </c>
      <c r="N916" s="1" t="s">
        <v>29</v>
      </c>
      <c r="O916" s="1" t="s">
        <v>30</v>
      </c>
      <c r="P916" s="1" t="s">
        <v>4845</v>
      </c>
      <c r="Q916" s="1" t="s">
        <v>4846</v>
      </c>
      <c r="R916" s="1" t="s">
        <v>4847</v>
      </c>
      <c r="S916" s="1" t="s">
        <v>4836</v>
      </c>
      <c r="T916" s="14">
        <v>46661</v>
      </c>
      <c r="U916" s="1" t="s">
        <v>4848</v>
      </c>
      <c r="V916" s="1" t="s">
        <v>36</v>
      </c>
      <c r="W916" s="3" t="str">
        <f t="shared" si="14"/>
        <v>54 tahun</v>
      </c>
      <c r="X916" s="1" t="s">
        <v>1274</v>
      </c>
      <c r="Y916" s="1" t="s">
        <v>56</v>
      </c>
      <c r="Z916" s="2">
        <v>38718</v>
      </c>
      <c r="AA916" s="2">
        <v>41030</v>
      </c>
      <c r="AB916" s="2" t="s">
        <v>4849</v>
      </c>
    </row>
    <row r="917" spans="1:28" x14ac:dyDescent="0.35">
      <c r="A917" s="12">
        <v>4857</v>
      </c>
      <c r="B917" s="12">
        <v>7295089</v>
      </c>
      <c r="C917" s="12" t="s">
        <v>50</v>
      </c>
      <c r="D917" s="12">
        <v>50069072</v>
      </c>
      <c r="E917" s="1" t="s">
        <v>4850</v>
      </c>
      <c r="F917" s="1" t="str">
        <f>VLOOKUP(A917,[1]Sheet1!$A$2:$E$1141,5,0)</f>
        <v>Spv of Port Operation</v>
      </c>
      <c r="G917" s="17" t="str">
        <f>VLOOKUP(A917,[1]Sheet1!$A$2:$F$1141,6,0)</f>
        <v>Supervisor</v>
      </c>
      <c r="H917" s="1" t="s">
        <v>4832</v>
      </c>
      <c r="I917" s="1" t="s">
        <v>1117</v>
      </c>
      <c r="J917" s="1" t="str">
        <f>VLOOKUP(A917,[1]Sheet1!$A$2:$H$1141,8,0)</f>
        <v>Dept. of Infrastructure</v>
      </c>
      <c r="K917" s="1" t="str">
        <f>VLOOKUP(A917,[1]Sheet1!$A$2:$I$1141,9,0)</f>
        <v>Unit of Plant &amp; Port Prod Discharge Opr</v>
      </c>
      <c r="L917" s="1" t="str">
        <f>VLOOKUP(A917,[1]Sheet1!$A$2:$J$1141,10,0)</f>
        <v>Section of Port Opr (Packer &amp; Curah)</v>
      </c>
      <c r="M917" s="2">
        <v>26506</v>
      </c>
      <c r="N917" s="1" t="s">
        <v>29</v>
      </c>
      <c r="O917" s="1" t="s">
        <v>30</v>
      </c>
      <c r="P917" s="1" t="s">
        <v>4851</v>
      </c>
      <c r="Q917" s="1" t="s">
        <v>4846</v>
      </c>
      <c r="R917" s="1" t="s">
        <v>4847</v>
      </c>
      <c r="S917" s="1" t="s">
        <v>4836</v>
      </c>
      <c r="T917" s="14">
        <v>46966</v>
      </c>
      <c r="U917" s="1" t="s">
        <v>4852</v>
      </c>
      <c r="V917" s="1" t="s">
        <v>36</v>
      </c>
      <c r="W917" s="3" t="str">
        <f t="shared" si="14"/>
        <v>54 tahun</v>
      </c>
      <c r="X917" s="1" t="s">
        <v>55</v>
      </c>
      <c r="Y917" s="1" t="s">
        <v>56</v>
      </c>
      <c r="Z917" s="2">
        <v>34932</v>
      </c>
      <c r="AA917" s="2">
        <v>35309</v>
      </c>
      <c r="AB917" s="2" t="s">
        <v>84</v>
      </c>
    </row>
    <row r="918" spans="1:28" x14ac:dyDescent="0.35">
      <c r="A918" s="12">
        <v>5106</v>
      </c>
      <c r="B918" s="12">
        <v>7606514</v>
      </c>
      <c r="C918" s="12" t="s">
        <v>219</v>
      </c>
      <c r="D918" s="12">
        <v>50069073</v>
      </c>
      <c r="E918" s="1" t="s">
        <v>1348</v>
      </c>
      <c r="F918" s="1" t="str">
        <f>VLOOKUP(A918,[1]Sheet1!$A$2:$E$1141,5,0)</f>
        <v>Spv of Port Operation</v>
      </c>
      <c r="G918" s="17" t="str">
        <f>VLOOKUP(A918,[1]Sheet1!$A$2:$F$1141,6,0)</f>
        <v>Supervisor</v>
      </c>
      <c r="H918" s="1" t="s">
        <v>4832</v>
      </c>
      <c r="I918" s="1" t="s">
        <v>1117</v>
      </c>
      <c r="J918" s="1" t="str">
        <f>VLOOKUP(A918,[1]Sheet1!$A$2:$H$1141,8,0)</f>
        <v>Dept. of Infrastructure</v>
      </c>
      <c r="K918" s="1" t="str">
        <f>VLOOKUP(A918,[1]Sheet1!$A$2:$I$1141,9,0)</f>
        <v>Unit of Plant &amp; Port Prod Discharge Opr</v>
      </c>
      <c r="L918" s="1" t="str">
        <f>VLOOKUP(A918,[1]Sheet1!$A$2:$J$1141,10,0)</f>
        <v>Section of Port Opr (Packer &amp; Curah)</v>
      </c>
      <c r="M918" s="2">
        <v>27761</v>
      </c>
      <c r="N918" s="1" t="s">
        <v>29</v>
      </c>
      <c r="O918" s="1" t="s">
        <v>30</v>
      </c>
      <c r="P918" s="1" t="s">
        <v>4853</v>
      </c>
      <c r="Q918" s="1" t="s">
        <v>4846</v>
      </c>
      <c r="R918" s="1" t="s">
        <v>4847</v>
      </c>
      <c r="S918" s="1" t="s">
        <v>4836</v>
      </c>
      <c r="T918" s="14">
        <v>48245</v>
      </c>
      <c r="U918" s="1" t="s">
        <v>4854</v>
      </c>
      <c r="V918" s="1" t="s">
        <v>36</v>
      </c>
      <c r="W918" s="3" t="str">
        <f t="shared" si="14"/>
        <v>50 tahun</v>
      </c>
      <c r="X918" s="1" t="s">
        <v>121</v>
      </c>
      <c r="Y918" s="1" t="s">
        <v>56</v>
      </c>
      <c r="Z918" s="2">
        <v>38718</v>
      </c>
      <c r="AA918" s="2">
        <v>41030</v>
      </c>
      <c r="AB918" s="2" t="s">
        <v>84</v>
      </c>
    </row>
    <row r="919" spans="1:28" x14ac:dyDescent="0.35">
      <c r="A919" s="12">
        <v>5163</v>
      </c>
      <c r="B919" s="12">
        <v>7502274</v>
      </c>
      <c r="C919" s="12" t="s">
        <v>164</v>
      </c>
      <c r="D919" s="12">
        <v>50069074</v>
      </c>
      <c r="E919" s="1" t="s">
        <v>4855</v>
      </c>
      <c r="F919" s="1" t="str">
        <f>VLOOKUP(A919,[1]Sheet1!$A$2:$E$1141,5,0)</f>
        <v>Spv of Port Operation</v>
      </c>
      <c r="G919" s="17" t="str">
        <f>VLOOKUP(A919,[1]Sheet1!$A$2:$F$1141,6,0)</f>
        <v>Supervisor</v>
      </c>
      <c r="H919" s="1" t="s">
        <v>4832</v>
      </c>
      <c r="I919" s="1" t="s">
        <v>1117</v>
      </c>
      <c r="J919" s="1" t="str">
        <f>VLOOKUP(A919,[1]Sheet1!$A$2:$H$1141,8,0)</f>
        <v>Dept. of Infrastructure</v>
      </c>
      <c r="K919" s="1" t="str">
        <f>VLOOKUP(A919,[1]Sheet1!$A$2:$I$1141,9,0)</f>
        <v>Unit of Plant &amp; Port Prod Discharge Opr</v>
      </c>
      <c r="L919" s="1" t="str">
        <f>VLOOKUP(A919,[1]Sheet1!$A$2:$J$1141,10,0)</f>
        <v>Section of Port Opr (Packer &amp; Curah)</v>
      </c>
      <c r="M919" s="2">
        <v>27699</v>
      </c>
      <c r="N919" s="1" t="s">
        <v>29</v>
      </c>
      <c r="O919" s="1" t="s">
        <v>30</v>
      </c>
      <c r="P919" s="1" t="s">
        <v>4856</v>
      </c>
      <c r="Q919" s="1" t="s">
        <v>4846</v>
      </c>
      <c r="R919" s="1" t="s">
        <v>4847</v>
      </c>
      <c r="S919" s="1" t="s">
        <v>4836</v>
      </c>
      <c r="T919" s="14">
        <v>48183</v>
      </c>
      <c r="U919" s="1" t="s">
        <v>4857</v>
      </c>
      <c r="V919" s="1" t="s">
        <v>36</v>
      </c>
      <c r="W919" s="3" t="str">
        <f t="shared" si="14"/>
        <v>50 tahun</v>
      </c>
      <c r="X919" s="1" t="s">
        <v>4858</v>
      </c>
      <c r="Y919" s="1" t="s">
        <v>48</v>
      </c>
      <c r="Z919" s="2">
        <v>37469</v>
      </c>
      <c r="AA919" s="2">
        <v>38718</v>
      </c>
      <c r="AB919" s="2" t="s">
        <v>4859</v>
      </c>
    </row>
    <row r="920" spans="1:28" x14ac:dyDescent="0.35">
      <c r="A920" s="12">
        <v>4837</v>
      </c>
      <c r="B920" s="12">
        <v>7306388</v>
      </c>
      <c r="C920" s="12" t="s">
        <v>219</v>
      </c>
      <c r="D920" s="12">
        <v>50069075</v>
      </c>
      <c r="E920" s="1" t="s">
        <v>4860</v>
      </c>
      <c r="F920" s="1" t="str">
        <f>VLOOKUP(A920,[1]Sheet1!$A$2:$E$1141,5,0)</f>
        <v>Spv of Port Operation</v>
      </c>
      <c r="G920" s="17" t="str">
        <f>VLOOKUP(A920,[1]Sheet1!$A$2:$F$1141,6,0)</f>
        <v>Supervisor</v>
      </c>
      <c r="H920" s="1" t="s">
        <v>4832</v>
      </c>
      <c r="I920" s="1" t="s">
        <v>1117</v>
      </c>
      <c r="J920" s="1" t="str">
        <f>VLOOKUP(A920,[1]Sheet1!$A$2:$H$1141,8,0)</f>
        <v>Dept. of Infrastructure</v>
      </c>
      <c r="K920" s="1" t="str">
        <f>VLOOKUP(A920,[1]Sheet1!$A$2:$I$1141,9,0)</f>
        <v>Unit of Plant &amp; Port Prod Discharge Opr</v>
      </c>
      <c r="L920" s="1" t="str">
        <f>VLOOKUP(A920,[1]Sheet1!$A$2:$J$1141,10,0)</f>
        <v>Section of Port Opr (Packer &amp; Curah)</v>
      </c>
      <c r="M920" s="2">
        <v>26791</v>
      </c>
      <c r="N920" s="1" t="s">
        <v>29</v>
      </c>
      <c r="O920" s="1" t="s">
        <v>30</v>
      </c>
      <c r="P920" s="1" t="s">
        <v>4861</v>
      </c>
      <c r="Q920" s="1" t="s">
        <v>4846</v>
      </c>
      <c r="R920" s="1" t="s">
        <v>4847</v>
      </c>
      <c r="S920" s="1" t="s">
        <v>4836</v>
      </c>
      <c r="T920" s="14">
        <v>47270</v>
      </c>
      <c r="U920" s="1" t="s">
        <v>4862</v>
      </c>
      <c r="V920" s="1" t="s">
        <v>36</v>
      </c>
      <c r="W920" s="3" t="str">
        <f t="shared" si="14"/>
        <v>53 tahun</v>
      </c>
      <c r="X920" s="1" t="s">
        <v>1274</v>
      </c>
      <c r="Y920" s="1" t="s">
        <v>56</v>
      </c>
      <c r="Z920" s="2">
        <v>38718</v>
      </c>
      <c r="AA920" s="2">
        <v>41030</v>
      </c>
      <c r="AB920" s="2" t="s">
        <v>4863</v>
      </c>
    </row>
    <row r="921" spans="1:28" x14ac:dyDescent="0.35">
      <c r="A921" s="12">
        <v>5228</v>
      </c>
      <c r="B921" s="12">
        <v>7806555</v>
      </c>
      <c r="C921" s="12" t="s">
        <v>219</v>
      </c>
      <c r="D921" s="12">
        <v>50069076</v>
      </c>
      <c r="E921" s="1" t="s">
        <v>2247</v>
      </c>
      <c r="F921" s="1" t="str">
        <f>VLOOKUP(A921,[1]Sheet1!$A$2:$E$1141,5,0)</f>
        <v>Spv of Port Operation</v>
      </c>
      <c r="G921" s="17" t="str">
        <f>VLOOKUP(A921,[1]Sheet1!$A$2:$F$1141,6,0)</f>
        <v>Supervisor</v>
      </c>
      <c r="H921" s="1" t="s">
        <v>4832</v>
      </c>
      <c r="I921" s="1" t="s">
        <v>1117</v>
      </c>
      <c r="J921" s="1" t="str">
        <f>VLOOKUP(A921,[1]Sheet1!$A$2:$H$1141,8,0)</f>
        <v>Dept. of Infrastructure</v>
      </c>
      <c r="K921" s="1" t="str">
        <f>VLOOKUP(A921,[1]Sheet1!$A$2:$I$1141,9,0)</f>
        <v>Unit of Plant &amp; Port Prod Discharge Opr</v>
      </c>
      <c r="L921" s="1" t="str">
        <f>VLOOKUP(A921,[1]Sheet1!$A$2:$J$1141,10,0)</f>
        <v>Section of Port Opr (Packer &amp; Curah)</v>
      </c>
      <c r="M921" s="2">
        <v>28629</v>
      </c>
      <c r="N921" s="1" t="s">
        <v>29</v>
      </c>
      <c r="O921" s="1" t="s">
        <v>30</v>
      </c>
      <c r="P921" s="1" t="s">
        <v>4864</v>
      </c>
      <c r="Q921" s="1" t="s">
        <v>4846</v>
      </c>
      <c r="R921" s="1" t="s">
        <v>4847</v>
      </c>
      <c r="S921" s="1" t="s">
        <v>4836</v>
      </c>
      <c r="T921" s="14">
        <v>49096</v>
      </c>
      <c r="U921" s="1" t="s">
        <v>4865</v>
      </c>
      <c r="V921" s="1" t="s">
        <v>36</v>
      </c>
      <c r="W921" s="3" t="str">
        <f t="shared" si="14"/>
        <v>48 tahun</v>
      </c>
      <c r="X921" s="1" t="s">
        <v>121</v>
      </c>
      <c r="Y921" s="1" t="s">
        <v>56</v>
      </c>
      <c r="Z921" s="2">
        <v>38718</v>
      </c>
      <c r="AA921" s="2">
        <v>41030</v>
      </c>
      <c r="AB921" s="2" t="s">
        <v>4866</v>
      </c>
    </row>
    <row r="922" spans="1:28" x14ac:dyDescent="0.35">
      <c r="A922" s="12">
        <v>5154</v>
      </c>
      <c r="B922" s="12">
        <v>7502273</v>
      </c>
      <c r="C922" s="12" t="s">
        <v>164</v>
      </c>
      <c r="D922" s="12">
        <v>50069077</v>
      </c>
      <c r="E922" s="1" t="s">
        <v>4867</v>
      </c>
      <c r="F922" s="1" t="str">
        <f>VLOOKUP(A922,[1]Sheet1!$A$2:$E$1141,5,0)</f>
        <v>Spv of Port Operation</v>
      </c>
      <c r="G922" s="17" t="str">
        <f>VLOOKUP(A922,[1]Sheet1!$A$2:$F$1141,6,0)</f>
        <v>Supervisor</v>
      </c>
      <c r="H922" s="1" t="s">
        <v>4832</v>
      </c>
      <c r="I922" s="1" t="s">
        <v>1117</v>
      </c>
      <c r="J922" s="1" t="str">
        <f>VLOOKUP(A922,[1]Sheet1!$A$2:$H$1141,8,0)</f>
        <v>Dept. of Infrastructure</v>
      </c>
      <c r="K922" s="1" t="str">
        <f>VLOOKUP(A922,[1]Sheet1!$A$2:$I$1141,9,0)</f>
        <v>Unit of Plant &amp; Port Prod Discharge Opr</v>
      </c>
      <c r="L922" s="1" t="str">
        <f>VLOOKUP(A922,[1]Sheet1!$A$2:$J$1141,10,0)</f>
        <v>Section of Port Opr (Packer &amp; Curah)</v>
      </c>
      <c r="M922" s="2">
        <v>27629</v>
      </c>
      <c r="N922" s="1" t="s">
        <v>29</v>
      </c>
      <c r="O922" s="1" t="s">
        <v>30</v>
      </c>
      <c r="P922" s="1" t="s">
        <v>4868</v>
      </c>
      <c r="Q922" s="1" t="s">
        <v>4846</v>
      </c>
      <c r="R922" s="1" t="s">
        <v>4847</v>
      </c>
      <c r="S922" s="1" t="s">
        <v>4836</v>
      </c>
      <c r="T922" s="14">
        <v>48092</v>
      </c>
      <c r="U922" s="1" t="s">
        <v>4869</v>
      </c>
      <c r="V922" s="1" t="s">
        <v>36</v>
      </c>
      <c r="W922" s="3" t="str">
        <f t="shared" si="14"/>
        <v>51 tahun</v>
      </c>
      <c r="X922" s="1" t="s">
        <v>37</v>
      </c>
      <c r="Y922" s="1" t="s">
        <v>56</v>
      </c>
      <c r="Z922" s="2">
        <v>37469</v>
      </c>
      <c r="AA922" s="2">
        <v>38718</v>
      </c>
      <c r="AB922" s="2" t="s">
        <v>4870</v>
      </c>
    </row>
    <row r="923" spans="1:28" x14ac:dyDescent="0.35">
      <c r="A923" s="12">
        <v>4708</v>
      </c>
      <c r="B923" s="12">
        <v>7706543</v>
      </c>
      <c r="C923" s="12" t="s">
        <v>219</v>
      </c>
      <c r="D923" s="12">
        <v>50069078</v>
      </c>
      <c r="E923" s="1" t="s">
        <v>4871</v>
      </c>
      <c r="F923" s="1" t="str">
        <f>VLOOKUP(A923,[1]Sheet1!$A$2:$E$1141,5,0)</f>
        <v>Spv of Port Operation</v>
      </c>
      <c r="G923" s="17" t="str">
        <f>VLOOKUP(A923,[1]Sheet1!$A$2:$F$1141,6,0)</f>
        <v>Supervisor</v>
      </c>
      <c r="H923" s="1" t="s">
        <v>4832</v>
      </c>
      <c r="I923" s="1" t="s">
        <v>1117</v>
      </c>
      <c r="J923" s="1" t="str">
        <f>VLOOKUP(A923,[1]Sheet1!$A$2:$H$1141,8,0)</f>
        <v>Dept. of Infrastructure</v>
      </c>
      <c r="K923" s="1" t="str">
        <f>VLOOKUP(A923,[1]Sheet1!$A$2:$I$1141,9,0)</f>
        <v>Unit of Plant &amp; Port Prod Discharge Opr</v>
      </c>
      <c r="L923" s="1" t="str">
        <f>VLOOKUP(A923,[1]Sheet1!$A$2:$J$1141,10,0)</f>
        <v>Section of Port Opr (Packer &amp; Curah)</v>
      </c>
      <c r="M923" s="2">
        <v>28262</v>
      </c>
      <c r="N923" s="1" t="s">
        <v>29</v>
      </c>
      <c r="O923" s="1" t="s">
        <v>30</v>
      </c>
      <c r="P923" s="1" t="s">
        <v>4872</v>
      </c>
      <c r="Q923" s="1" t="s">
        <v>4846</v>
      </c>
      <c r="R923" s="1" t="s">
        <v>4847</v>
      </c>
      <c r="S923" s="1" t="s">
        <v>4836</v>
      </c>
      <c r="T923" s="14">
        <v>48731</v>
      </c>
      <c r="U923" s="1" t="s">
        <v>4873</v>
      </c>
      <c r="V923" s="1" t="s">
        <v>36</v>
      </c>
      <c r="W923" s="3" t="str">
        <f t="shared" si="14"/>
        <v>49 tahun</v>
      </c>
      <c r="X923" s="1" t="s">
        <v>204</v>
      </c>
      <c r="Y923" s="1" t="s">
        <v>56</v>
      </c>
      <c r="Z923" s="2">
        <v>38718</v>
      </c>
      <c r="AA923" s="2">
        <v>41030</v>
      </c>
      <c r="AB923" s="2" t="s">
        <v>4874</v>
      </c>
    </row>
    <row r="924" spans="1:28" x14ac:dyDescent="0.35">
      <c r="A924" s="12">
        <v>6203</v>
      </c>
      <c r="B924" s="12">
        <v>9112369</v>
      </c>
      <c r="C924" s="12" t="s">
        <v>103</v>
      </c>
      <c r="D924" s="12">
        <v>50069079</v>
      </c>
      <c r="E924" s="1" t="s">
        <v>4875</v>
      </c>
      <c r="F924" s="1" t="str">
        <f>VLOOKUP(A924,[1]Sheet1!$A$2:$E$1141,5,0)</f>
        <v>Spv of Autonomous</v>
      </c>
      <c r="G924" s="17" t="str">
        <f>VLOOKUP(A924,[1]Sheet1!$A$2:$F$1141,6,0)</f>
        <v>Supervisor</v>
      </c>
      <c r="H924" s="1" t="s">
        <v>4832</v>
      </c>
      <c r="I924" s="1" t="s">
        <v>1117</v>
      </c>
      <c r="J924" s="1" t="str">
        <f>VLOOKUP(A924,[1]Sheet1!$A$2:$H$1141,8,0)</f>
        <v>Dept. of Infrastructure</v>
      </c>
      <c r="K924" s="1" t="str">
        <f>VLOOKUP(A924,[1]Sheet1!$A$2:$I$1141,9,0)</f>
        <v>Unit of Plant &amp; Port Prod Discharge Opr</v>
      </c>
      <c r="L924" s="1" t="str">
        <f>VLOOKUP(A924,[1]Sheet1!$A$2:$J$1141,10,0)</f>
        <v>Section of Port Opr (Packer &amp; Curah)</v>
      </c>
      <c r="M924" s="2">
        <v>33465</v>
      </c>
      <c r="N924" s="1" t="s">
        <v>29</v>
      </c>
      <c r="O924" s="1" t="s">
        <v>30</v>
      </c>
      <c r="P924" s="1" t="s">
        <v>4876</v>
      </c>
      <c r="Q924" s="1" t="s">
        <v>4877</v>
      </c>
      <c r="R924" s="1" t="s">
        <v>1879</v>
      </c>
      <c r="S924" s="1" t="s">
        <v>4836</v>
      </c>
      <c r="T924" s="14">
        <v>53936</v>
      </c>
      <c r="U924" s="1" t="s">
        <v>4878</v>
      </c>
      <c r="V924" s="1" t="s">
        <v>36</v>
      </c>
      <c r="W924" s="3" t="str">
        <f t="shared" si="14"/>
        <v>35 tahun</v>
      </c>
      <c r="X924" s="1" t="s">
        <v>486</v>
      </c>
      <c r="Y924" s="1" t="s">
        <v>56</v>
      </c>
      <c r="Z924" s="2">
        <v>41275</v>
      </c>
      <c r="AA924" s="2">
        <v>41426</v>
      </c>
      <c r="AB924" s="2" t="s">
        <v>4879</v>
      </c>
    </row>
    <row r="925" spans="1:28" x14ac:dyDescent="0.35">
      <c r="A925" s="12">
        <v>4437</v>
      </c>
      <c r="B925" s="12">
        <v>7106311</v>
      </c>
      <c r="C925" s="12" t="s">
        <v>219</v>
      </c>
      <c r="D925" s="12">
        <v>50070305</v>
      </c>
      <c r="E925" s="1" t="s">
        <v>938</v>
      </c>
      <c r="F925" s="1" t="str">
        <f>VLOOKUP(A925,[1]Sheet1!$A$2:$E$1141,5,0)</f>
        <v>E Assc of Autonomous</v>
      </c>
      <c r="G925" s="17" t="str">
        <f>VLOOKUP(A925,[1]Sheet1!$A$2:$F$1141,6,0)</f>
        <v>Associate</v>
      </c>
      <c r="H925" s="1" t="s">
        <v>4832</v>
      </c>
      <c r="I925" s="1" t="s">
        <v>1117</v>
      </c>
      <c r="J925" s="1" t="str">
        <f>VLOOKUP(A925,[1]Sheet1!$A$2:$H$1141,8,0)</f>
        <v>Dept. of Infrastructure</v>
      </c>
      <c r="K925" s="1" t="str">
        <f>VLOOKUP(A925,[1]Sheet1!$A$2:$I$1141,9,0)</f>
        <v>Unit of Plant &amp; Port Prod Discharge Opr</v>
      </c>
      <c r="L925" s="1" t="str">
        <f>VLOOKUP(A925,[1]Sheet1!$A$2:$J$1141,10,0)</f>
        <v>Section of Port Opr (Packer &amp; Curah)</v>
      </c>
      <c r="M925" s="2">
        <v>26099</v>
      </c>
      <c r="N925" s="1" t="s">
        <v>29</v>
      </c>
      <c r="O925" s="1" t="s">
        <v>30</v>
      </c>
      <c r="P925" s="1" t="s">
        <v>4880</v>
      </c>
      <c r="Q925" s="1" t="s">
        <v>4877</v>
      </c>
      <c r="R925" s="1" t="s">
        <v>1879</v>
      </c>
      <c r="S925" s="1" t="s">
        <v>4836</v>
      </c>
      <c r="T925" s="14">
        <v>46569</v>
      </c>
      <c r="U925" s="1" t="s">
        <v>4881</v>
      </c>
      <c r="V925" s="1" t="s">
        <v>36</v>
      </c>
      <c r="W925" s="3" t="str">
        <f t="shared" si="14"/>
        <v>55 tahun</v>
      </c>
      <c r="X925" s="1" t="s">
        <v>204</v>
      </c>
      <c r="Y925" s="1" t="s">
        <v>1945</v>
      </c>
      <c r="Z925" s="2">
        <v>38718</v>
      </c>
      <c r="AA925" s="2">
        <v>41030</v>
      </c>
      <c r="AB925" s="2" t="s">
        <v>84</v>
      </c>
    </row>
    <row r="926" spans="1:28" x14ac:dyDescent="0.35">
      <c r="A926" s="12">
        <v>4969</v>
      </c>
      <c r="B926" s="12">
        <v>7406472</v>
      </c>
      <c r="C926" s="12" t="s">
        <v>219</v>
      </c>
      <c r="D926" s="12">
        <v>50070306</v>
      </c>
      <c r="E926" s="1" t="s">
        <v>4882</v>
      </c>
      <c r="F926" s="1" t="str">
        <f>VLOOKUP(A926,[1]Sheet1!$A$2:$E$1141,5,0)</f>
        <v>E Assc of Autonomous</v>
      </c>
      <c r="G926" s="17" t="str">
        <f>VLOOKUP(A926,[1]Sheet1!$A$2:$F$1141,6,0)</f>
        <v>Associate</v>
      </c>
      <c r="H926" s="1" t="s">
        <v>4832</v>
      </c>
      <c r="I926" s="1" t="s">
        <v>1117</v>
      </c>
      <c r="J926" s="1" t="str">
        <f>VLOOKUP(A926,[1]Sheet1!$A$2:$H$1141,8,0)</f>
        <v>Dept. of Infrastructure</v>
      </c>
      <c r="K926" s="1" t="str">
        <f>VLOOKUP(A926,[1]Sheet1!$A$2:$I$1141,9,0)</f>
        <v>Unit of Plant &amp; Port Prod Discharge Opr</v>
      </c>
      <c r="L926" s="1" t="str">
        <f>VLOOKUP(A926,[1]Sheet1!$A$2:$J$1141,10,0)</f>
        <v>Section of Port Opr (Packer &amp; Curah)</v>
      </c>
      <c r="M926" s="2">
        <v>27301</v>
      </c>
      <c r="N926" s="1" t="s">
        <v>29</v>
      </c>
      <c r="O926" s="1" t="s">
        <v>30</v>
      </c>
      <c r="P926" s="1" t="s">
        <v>4883</v>
      </c>
      <c r="Q926" s="1" t="s">
        <v>4877</v>
      </c>
      <c r="R926" s="1" t="s">
        <v>1879</v>
      </c>
      <c r="S926" s="1" t="s">
        <v>4836</v>
      </c>
      <c r="T926" s="14">
        <v>47757</v>
      </c>
      <c r="U926" s="1" t="s">
        <v>4884</v>
      </c>
      <c r="V926" s="1" t="s">
        <v>36</v>
      </c>
      <c r="W926" s="3" t="str">
        <f t="shared" si="14"/>
        <v>51 tahun</v>
      </c>
      <c r="X926" s="1" t="s">
        <v>37</v>
      </c>
      <c r="Y926" s="1" t="s">
        <v>56</v>
      </c>
      <c r="Z926" s="2">
        <v>38718</v>
      </c>
      <c r="AA926" s="2">
        <v>41030</v>
      </c>
      <c r="AB926" s="2" t="s">
        <v>4885</v>
      </c>
    </row>
    <row r="927" spans="1:28" x14ac:dyDescent="0.35">
      <c r="A927" s="12">
        <v>5119</v>
      </c>
      <c r="B927" s="12">
        <v>7595054</v>
      </c>
      <c r="C927" s="12" t="s">
        <v>50</v>
      </c>
      <c r="D927" s="12">
        <v>50069080</v>
      </c>
      <c r="E927" s="16" t="s">
        <v>4886</v>
      </c>
      <c r="F927" s="1" t="str">
        <f>VLOOKUP(A927,[1]Sheet1!$A$2:$E$1141,5,0)</f>
        <v>Mgr of Port Opr (Silo, Aux, T &amp; Silo M)</v>
      </c>
      <c r="G927" s="16" t="str">
        <f>VLOOKUP(A927,[1]Sheet1!$A$2:$F$1141,6,0)</f>
        <v>Manager</v>
      </c>
      <c r="H927" s="1" t="s">
        <v>4887</v>
      </c>
      <c r="I927" s="1" t="s">
        <v>1117</v>
      </c>
      <c r="J927" s="1" t="str">
        <f>VLOOKUP(A927,[1]Sheet1!$A$2:$H$1141,8,0)</f>
        <v>Dept. of Infrastructure</v>
      </c>
      <c r="K927" s="1" t="str">
        <f>VLOOKUP(A927,[1]Sheet1!$A$2:$I$1141,9,0)</f>
        <v>Unit of Plant &amp; Port Prod Discharge Opr</v>
      </c>
      <c r="L927" s="1" t="str">
        <f>VLOOKUP(A927,[1]Sheet1!$A$2:$J$1141,10,0)</f>
        <v>Section of Port Opr (Silo, Aux. T &amp; SM)</v>
      </c>
      <c r="M927" s="2">
        <v>27483</v>
      </c>
      <c r="N927" s="1" t="s">
        <v>29</v>
      </c>
      <c r="O927" s="1" t="s">
        <v>30</v>
      </c>
      <c r="P927" s="1" t="s">
        <v>4888</v>
      </c>
      <c r="Q927" s="1" t="s">
        <v>4889</v>
      </c>
      <c r="R927" s="1" t="s">
        <v>4890</v>
      </c>
      <c r="S927" s="1" t="s">
        <v>4891</v>
      </c>
      <c r="T927" s="14">
        <v>47939</v>
      </c>
      <c r="U927" s="1" t="s">
        <v>4892</v>
      </c>
      <c r="V927" s="1" t="s">
        <v>36</v>
      </c>
      <c r="W927" s="3" t="str">
        <f t="shared" si="14"/>
        <v>51 tahun</v>
      </c>
      <c r="X927" s="1" t="s">
        <v>101</v>
      </c>
      <c r="Y927" s="1" t="s">
        <v>48</v>
      </c>
      <c r="Z927" s="2">
        <v>34897</v>
      </c>
      <c r="AA927" s="2">
        <v>35278</v>
      </c>
      <c r="AB927" s="2" t="s">
        <v>4410</v>
      </c>
    </row>
    <row r="928" spans="1:28" x14ac:dyDescent="0.35">
      <c r="A928" s="12">
        <v>4743</v>
      </c>
      <c r="B928" s="12">
        <v>7002149</v>
      </c>
      <c r="C928" s="12" t="s">
        <v>164</v>
      </c>
      <c r="D928" s="12">
        <v>50069082</v>
      </c>
      <c r="E928" s="1" t="s">
        <v>4893</v>
      </c>
      <c r="F928" s="1" t="str">
        <f>VLOOKUP(A928,[1]Sheet1!$A$2:$E$1141,5,0)</f>
        <v>Spv of Silo &amp; Jetty Operation</v>
      </c>
      <c r="G928" s="17" t="str">
        <f>VLOOKUP(A928,[1]Sheet1!$A$2:$F$1141,6,0)</f>
        <v>Supervisor</v>
      </c>
      <c r="H928" s="1" t="s">
        <v>4887</v>
      </c>
      <c r="I928" s="1" t="s">
        <v>1117</v>
      </c>
      <c r="J928" s="1" t="str">
        <f>VLOOKUP(A928,[1]Sheet1!$A$2:$H$1141,8,0)</f>
        <v>Dept. of Infrastructure</v>
      </c>
      <c r="K928" s="1" t="str">
        <f>VLOOKUP(A928,[1]Sheet1!$A$2:$I$1141,9,0)</f>
        <v>Unit of Plant &amp; Port Prod Discharge Opr</v>
      </c>
      <c r="L928" s="1" t="str">
        <f>VLOOKUP(A928,[1]Sheet1!$A$2:$J$1141,10,0)</f>
        <v>Section of Port Opr (Silo, Aux. T &amp; SM)</v>
      </c>
      <c r="M928" s="2">
        <v>25903</v>
      </c>
      <c r="N928" s="1" t="s">
        <v>29</v>
      </c>
      <c r="O928" s="1" t="s">
        <v>30</v>
      </c>
      <c r="P928" s="1" t="s">
        <v>4894</v>
      </c>
      <c r="Q928" s="1" t="s">
        <v>4895</v>
      </c>
      <c r="R928" s="1" t="s">
        <v>4896</v>
      </c>
      <c r="S928" s="1" t="s">
        <v>4891</v>
      </c>
      <c r="T928" s="14">
        <v>46388</v>
      </c>
      <c r="U928" s="1" t="s">
        <v>4897</v>
      </c>
      <c r="V928" s="1" t="s">
        <v>36</v>
      </c>
      <c r="W928" s="3" t="str">
        <f t="shared" si="14"/>
        <v>55 tahun</v>
      </c>
      <c r="X928" s="1" t="s">
        <v>4514</v>
      </c>
      <c r="Y928" s="1" t="s">
        <v>56</v>
      </c>
      <c r="Z928" s="2">
        <v>37469</v>
      </c>
      <c r="AA928" s="2">
        <v>38718</v>
      </c>
      <c r="AB928" s="2" t="s">
        <v>4898</v>
      </c>
    </row>
    <row r="929" spans="1:28" x14ac:dyDescent="0.35">
      <c r="A929" s="12">
        <v>5116</v>
      </c>
      <c r="B929" s="12">
        <v>7606516</v>
      </c>
      <c r="C929" s="12" t="s">
        <v>219</v>
      </c>
      <c r="D929" s="12">
        <v>50069083</v>
      </c>
      <c r="E929" s="1" t="s">
        <v>4899</v>
      </c>
      <c r="F929" s="1" t="str">
        <f>VLOOKUP(A929,[1]Sheet1!$A$2:$E$1141,5,0)</f>
        <v>Spv of Silo &amp; Jetty Operation</v>
      </c>
      <c r="G929" s="17" t="str">
        <f>VLOOKUP(A929,[1]Sheet1!$A$2:$F$1141,6,0)</f>
        <v>Supervisor</v>
      </c>
      <c r="H929" s="1" t="s">
        <v>4887</v>
      </c>
      <c r="I929" s="1" t="s">
        <v>1117</v>
      </c>
      <c r="J929" s="1" t="str">
        <f>VLOOKUP(A929,[1]Sheet1!$A$2:$H$1141,8,0)</f>
        <v>Dept. of Infrastructure</v>
      </c>
      <c r="K929" s="1" t="str">
        <f>VLOOKUP(A929,[1]Sheet1!$A$2:$I$1141,9,0)</f>
        <v>Unit of Plant &amp; Port Prod Discharge Opr</v>
      </c>
      <c r="L929" s="1" t="str">
        <f>VLOOKUP(A929,[1]Sheet1!$A$2:$J$1141,10,0)</f>
        <v>Section of Port Opr (Silo, Aux. T &amp; SM)</v>
      </c>
      <c r="M929" s="2">
        <v>27800</v>
      </c>
      <c r="N929" s="1" t="s">
        <v>29</v>
      </c>
      <c r="O929" s="1" t="s">
        <v>30</v>
      </c>
      <c r="P929" s="1" t="s">
        <v>4900</v>
      </c>
      <c r="Q929" s="1" t="s">
        <v>4895</v>
      </c>
      <c r="R929" s="1" t="s">
        <v>4896</v>
      </c>
      <c r="S929" s="1" t="s">
        <v>4891</v>
      </c>
      <c r="T929" s="14">
        <v>48274</v>
      </c>
      <c r="U929" s="1" t="s">
        <v>4901</v>
      </c>
      <c r="V929" s="1" t="s">
        <v>36</v>
      </c>
      <c r="W929" s="3" t="str">
        <f t="shared" si="14"/>
        <v>50 tahun</v>
      </c>
      <c r="X929" s="1" t="s">
        <v>1274</v>
      </c>
      <c r="Y929" s="1" t="s">
        <v>56</v>
      </c>
      <c r="Z929" s="2">
        <v>38718</v>
      </c>
      <c r="AA929" s="2">
        <v>41030</v>
      </c>
      <c r="AB929" s="2" t="s">
        <v>4902</v>
      </c>
    </row>
    <row r="930" spans="1:28" x14ac:dyDescent="0.35">
      <c r="A930" s="12">
        <v>5152</v>
      </c>
      <c r="B930" s="12">
        <v>7106546</v>
      </c>
      <c r="C930" s="12" t="s">
        <v>219</v>
      </c>
      <c r="D930" s="12">
        <v>50069084</v>
      </c>
      <c r="E930" s="1" t="s">
        <v>4903</v>
      </c>
      <c r="F930" s="1" t="str">
        <f>VLOOKUP(A930,[1]Sheet1!$A$2:$E$1141,5,0)</f>
        <v>Spv of Silo &amp; Jetty Operation</v>
      </c>
      <c r="G930" s="17" t="str">
        <f>VLOOKUP(A930,[1]Sheet1!$A$2:$F$1141,6,0)</f>
        <v>Supervisor</v>
      </c>
      <c r="H930" s="1" t="s">
        <v>4887</v>
      </c>
      <c r="I930" s="1" t="s">
        <v>1117</v>
      </c>
      <c r="J930" s="1" t="str">
        <f>VLOOKUP(A930,[1]Sheet1!$A$2:$H$1141,8,0)</f>
        <v>Dept. of Infrastructure</v>
      </c>
      <c r="K930" s="1" t="str">
        <f>VLOOKUP(A930,[1]Sheet1!$A$2:$I$1141,9,0)</f>
        <v>Unit of Plant &amp; Port Prod Discharge Opr</v>
      </c>
      <c r="L930" s="1" t="str">
        <f>VLOOKUP(A930,[1]Sheet1!$A$2:$J$1141,10,0)</f>
        <v>Section of Port Opr (Silo, Aux. T &amp; SM)</v>
      </c>
      <c r="M930" s="2">
        <v>26123</v>
      </c>
      <c r="N930" s="1" t="s">
        <v>29</v>
      </c>
      <c r="O930" s="1" t="s">
        <v>30</v>
      </c>
      <c r="P930" s="1" t="s">
        <v>4904</v>
      </c>
      <c r="Q930" s="1" t="s">
        <v>4895</v>
      </c>
      <c r="R930" s="1" t="s">
        <v>4896</v>
      </c>
      <c r="S930" s="1" t="s">
        <v>4891</v>
      </c>
      <c r="T930" s="14">
        <v>46600</v>
      </c>
      <c r="U930" s="1" t="s">
        <v>4905</v>
      </c>
      <c r="V930" s="1" t="s">
        <v>36</v>
      </c>
      <c r="W930" s="3" t="str">
        <f t="shared" si="14"/>
        <v>55 tahun</v>
      </c>
      <c r="X930" s="1" t="s">
        <v>101</v>
      </c>
      <c r="Y930" s="1" t="s">
        <v>56</v>
      </c>
      <c r="Z930" s="2">
        <v>38718</v>
      </c>
      <c r="AA930" s="2">
        <v>41030</v>
      </c>
      <c r="AB930" s="2" t="s">
        <v>84</v>
      </c>
    </row>
    <row r="931" spans="1:28" x14ac:dyDescent="0.35">
      <c r="A931" s="12">
        <v>5072</v>
      </c>
      <c r="B931" s="12">
        <v>7495228</v>
      </c>
      <c r="C931" s="12" t="s">
        <v>50</v>
      </c>
      <c r="D931" s="12">
        <v>50069085</v>
      </c>
      <c r="E931" s="1" t="s">
        <v>4906</v>
      </c>
      <c r="F931" s="1" t="str">
        <f>VLOOKUP(A931,[1]Sheet1!$A$2:$E$1141,5,0)</f>
        <v>Spv of Silo &amp; Jetty Operation</v>
      </c>
      <c r="G931" s="17" t="str">
        <f>VLOOKUP(A931,[1]Sheet1!$A$2:$F$1141,6,0)</f>
        <v>Supervisor</v>
      </c>
      <c r="H931" s="1" t="s">
        <v>4887</v>
      </c>
      <c r="I931" s="1" t="s">
        <v>1117</v>
      </c>
      <c r="J931" s="1" t="str">
        <f>VLOOKUP(A931,[1]Sheet1!$A$2:$H$1141,8,0)</f>
        <v>Dept. of Infrastructure</v>
      </c>
      <c r="K931" s="1" t="str">
        <f>VLOOKUP(A931,[1]Sheet1!$A$2:$I$1141,9,0)</f>
        <v>Unit of Plant &amp; Port Prod Discharge Opr</v>
      </c>
      <c r="L931" s="1" t="str">
        <f>VLOOKUP(A931,[1]Sheet1!$A$2:$J$1141,10,0)</f>
        <v>Section of Port Opr (Silo, Aux. T &amp; SM)</v>
      </c>
      <c r="M931" s="2">
        <v>27269</v>
      </c>
      <c r="N931" s="1" t="s">
        <v>29</v>
      </c>
      <c r="O931" s="1" t="s">
        <v>30</v>
      </c>
      <c r="P931" s="1" t="s">
        <v>4907</v>
      </c>
      <c r="Q931" s="1" t="s">
        <v>4895</v>
      </c>
      <c r="R931" s="1" t="s">
        <v>4896</v>
      </c>
      <c r="S931" s="1" t="s">
        <v>4891</v>
      </c>
      <c r="T931" s="14">
        <v>47727</v>
      </c>
      <c r="U931" s="1" t="s">
        <v>4908</v>
      </c>
      <c r="V931" s="1" t="s">
        <v>36</v>
      </c>
      <c r="W931" s="3" t="str">
        <f t="shared" si="14"/>
        <v>52 tahun</v>
      </c>
      <c r="X931" s="1" t="s">
        <v>107</v>
      </c>
      <c r="Y931" s="1" t="s">
        <v>48</v>
      </c>
      <c r="Z931" s="2">
        <v>35002</v>
      </c>
      <c r="AA931" s="2">
        <v>35370</v>
      </c>
      <c r="AB931" s="2" t="s">
        <v>84</v>
      </c>
    </row>
    <row r="932" spans="1:28" x14ac:dyDescent="0.35">
      <c r="A932" s="12">
        <v>5213</v>
      </c>
      <c r="B932" s="12">
        <v>7695076</v>
      </c>
      <c r="C932" s="12" t="s">
        <v>50</v>
      </c>
      <c r="D932" s="12">
        <v>50069088</v>
      </c>
      <c r="E932" s="1" t="s">
        <v>4909</v>
      </c>
      <c r="F932" s="1" t="str">
        <f>VLOOKUP(A932,[1]Sheet1!$A$2:$E$1141,5,0)</f>
        <v>Spv of Silo Jetty &amp; Tbngan Autonomous</v>
      </c>
      <c r="G932" s="17" t="str">
        <f>VLOOKUP(A932,[1]Sheet1!$A$2:$F$1141,6,0)</f>
        <v>Supervisor</v>
      </c>
      <c r="H932" s="1" t="s">
        <v>4887</v>
      </c>
      <c r="I932" s="1" t="s">
        <v>1117</v>
      </c>
      <c r="J932" s="1" t="str">
        <f>VLOOKUP(A932,[1]Sheet1!$A$2:$H$1141,8,0)</f>
        <v>Dept. of Infrastructure</v>
      </c>
      <c r="K932" s="1" t="str">
        <f>VLOOKUP(A932,[1]Sheet1!$A$2:$I$1141,9,0)</f>
        <v>Unit of Plant &amp; Port Prod Discharge Opr</v>
      </c>
      <c r="L932" s="1" t="str">
        <f>VLOOKUP(A932,[1]Sheet1!$A$2:$J$1141,10,0)</f>
        <v>Section of Port Opr (Silo, Aux. T &amp; SM)</v>
      </c>
      <c r="M932" s="2">
        <v>28005</v>
      </c>
      <c r="N932" s="1" t="s">
        <v>29</v>
      </c>
      <c r="O932" s="1" t="s">
        <v>30</v>
      </c>
      <c r="P932" s="1" t="s">
        <v>4910</v>
      </c>
      <c r="Q932" s="1" t="s">
        <v>4911</v>
      </c>
      <c r="R932" s="1" t="s">
        <v>4912</v>
      </c>
      <c r="S932" s="1" t="s">
        <v>4891</v>
      </c>
      <c r="T932" s="14">
        <v>48488</v>
      </c>
      <c r="U932" s="1" t="s">
        <v>4913</v>
      </c>
      <c r="V932" s="1" t="s">
        <v>36</v>
      </c>
      <c r="W932" s="3" t="str">
        <f t="shared" si="14"/>
        <v>49 tahun</v>
      </c>
      <c r="X932" s="1" t="s">
        <v>96</v>
      </c>
      <c r="Y932" s="1" t="s">
        <v>48</v>
      </c>
      <c r="Z932" s="2">
        <v>34897</v>
      </c>
      <c r="AA932" s="2">
        <v>35278</v>
      </c>
      <c r="AB932" s="2" t="s">
        <v>84</v>
      </c>
    </row>
    <row r="933" spans="1:28" x14ac:dyDescent="0.35">
      <c r="A933" s="12">
        <v>4674</v>
      </c>
      <c r="B933" s="12">
        <v>7506512</v>
      </c>
      <c r="C933" s="12" t="s">
        <v>219</v>
      </c>
      <c r="D933" s="12">
        <v>50069089</v>
      </c>
      <c r="E933" s="1" t="s">
        <v>4914</v>
      </c>
      <c r="F933" s="1" t="str">
        <f>VLOOKUP(A933,[1]Sheet1!$A$2:$E$1141,5,0)</f>
        <v>Spv of Big Bag &amp; Tbngan BKS Operation</v>
      </c>
      <c r="G933" s="17" t="str">
        <f>VLOOKUP(A933,[1]Sheet1!$A$2:$F$1141,6,0)</f>
        <v>Supervisor</v>
      </c>
      <c r="H933" s="1" t="s">
        <v>4887</v>
      </c>
      <c r="I933" s="1" t="s">
        <v>1117</v>
      </c>
      <c r="J933" s="1" t="str">
        <f>VLOOKUP(A933,[1]Sheet1!$A$2:$H$1141,8,0)</f>
        <v>Dept. of Infrastructure</v>
      </c>
      <c r="K933" s="1" t="str">
        <f>VLOOKUP(A933,[1]Sheet1!$A$2:$I$1141,9,0)</f>
        <v>Unit of Plant &amp; Port Prod Discharge Opr</v>
      </c>
      <c r="L933" s="1" t="str">
        <f>VLOOKUP(A933,[1]Sheet1!$A$2:$J$1141,10,0)</f>
        <v>Section of Port Opr (Silo, Aux. T &amp; SM)</v>
      </c>
      <c r="M933" s="2">
        <v>27740</v>
      </c>
      <c r="N933" s="1" t="s">
        <v>29</v>
      </c>
      <c r="O933" s="1" t="s">
        <v>30</v>
      </c>
      <c r="P933" s="1" t="s">
        <v>4915</v>
      </c>
      <c r="Q933" s="1" t="s">
        <v>4916</v>
      </c>
      <c r="R933" s="1" t="s">
        <v>4917</v>
      </c>
      <c r="S933" s="1" t="s">
        <v>4891</v>
      </c>
      <c r="T933" s="14">
        <v>48214</v>
      </c>
      <c r="U933" s="1" t="s">
        <v>4918</v>
      </c>
      <c r="V933" s="1" t="s">
        <v>36</v>
      </c>
      <c r="W933" s="3" t="str">
        <f t="shared" si="14"/>
        <v>50 tahun</v>
      </c>
      <c r="X933" s="1" t="s">
        <v>4919</v>
      </c>
      <c r="Y933" s="1" t="s">
        <v>56</v>
      </c>
      <c r="Z933" s="2">
        <v>38718</v>
      </c>
      <c r="AA933" s="2">
        <v>41030</v>
      </c>
      <c r="AB933" s="2" t="s">
        <v>4920</v>
      </c>
    </row>
    <row r="934" spans="1:28" x14ac:dyDescent="0.35">
      <c r="A934" s="12">
        <v>5977</v>
      </c>
      <c r="B934" s="12">
        <v>8812145</v>
      </c>
      <c r="C934" s="12" t="s">
        <v>103</v>
      </c>
      <c r="D934" s="12">
        <v>50069091</v>
      </c>
      <c r="E934" s="1" t="s">
        <v>4921</v>
      </c>
      <c r="F934" s="1" t="str">
        <f>VLOOKUP(A934,[1]Sheet1!$A$2:$E$1141,5,0)</f>
        <v>Spv of Big Bag &amp; Tbngan BKS Operation</v>
      </c>
      <c r="G934" s="17" t="str">
        <f>VLOOKUP(A934,[1]Sheet1!$A$2:$F$1141,6,0)</f>
        <v>Supervisor</v>
      </c>
      <c r="H934" s="1" t="s">
        <v>4887</v>
      </c>
      <c r="I934" s="1" t="s">
        <v>1117</v>
      </c>
      <c r="J934" s="1" t="str">
        <f>VLOOKUP(A934,[1]Sheet1!$A$2:$H$1141,8,0)</f>
        <v>Dept. of Infrastructure</v>
      </c>
      <c r="K934" s="1" t="str">
        <f>VLOOKUP(A934,[1]Sheet1!$A$2:$I$1141,9,0)</f>
        <v>Unit of Plant &amp; Port Prod Discharge Opr</v>
      </c>
      <c r="L934" s="1" t="str">
        <f>VLOOKUP(A934,[1]Sheet1!$A$2:$J$1141,10,0)</f>
        <v>Section of Port Opr (Silo, Aux. T &amp; SM)</v>
      </c>
      <c r="M934" s="2">
        <v>32393</v>
      </c>
      <c r="N934" s="1" t="s">
        <v>29</v>
      </c>
      <c r="O934" s="1" t="s">
        <v>30</v>
      </c>
      <c r="P934" s="1" t="s">
        <v>4922</v>
      </c>
      <c r="Q934" s="1" t="s">
        <v>4916</v>
      </c>
      <c r="R934" s="1" t="s">
        <v>4917</v>
      </c>
      <c r="S934" s="1" t="s">
        <v>4891</v>
      </c>
      <c r="T934" s="14">
        <v>52871</v>
      </c>
      <c r="U934" s="1" t="s">
        <v>4923</v>
      </c>
      <c r="V934" s="1" t="s">
        <v>36</v>
      </c>
      <c r="W934" s="3" t="str">
        <f t="shared" si="14"/>
        <v>37 tahun</v>
      </c>
      <c r="X934" s="1" t="s">
        <v>600</v>
      </c>
      <c r="Y934" s="1" t="s">
        <v>48</v>
      </c>
      <c r="Z934" s="2">
        <v>41275</v>
      </c>
      <c r="AA934" s="2">
        <v>41426</v>
      </c>
      <c r="AB934" s="2" t="s">
        <v>4924</v>
      </c>
    </row>
    <row r="935" spans="1:28" x14ac:dyDescent="0.35">
      <c r="A935" s="12">
        <v>4655</v>
      </c>
      <c r="B935" s="12">
        <v>7506501</v>
      </c>
      <c r="C935" s="12" t="s">
        <v>219</v>
      </c>
      <c r="D935" s="12">
        <v>50069092</v>
      </c>
      <c r="E935" s="1" t="s">
        <v>4925</v>
      </c>
      <c r="F935" s="1" t="str">
        <f>VLOOKUP(A935,[1]Sheet1!$A$2:$E$1141,5,0)</f>
        <v>Spv of Big Bag &amp; Tbngan BKS Operation</v>
      </c>
      <c r="G935" s="17" t="str">
        <f>VLOOKUP(A935,[1]Sheet1!$A$2:$F$1141,6,0)</f>
        <v>Supervisor</v>
      </c>
      <c r="H935" s="1" t="s">
        <v>4887</v>
      </c>
      <c r="I935" s="1" t="s">
        <v>1117</v>
      </c>
      <c r="J935" s="1" t="str">
        <f>VLOOKUP(A935,[1]Sheet1!$A$2:$H$1141,8,0)</f>
        <v>Dept. of Infrastructure</v>
      </c>
      <c r="K935" s="1" t="str">
        <f>VLOOKUP(A935,[1]Sheet1!$A$2:$I$1141,9,0)</f>
        <v>Unit of Plant &amp; Port Prod Discharge Opr</v>
      </c>
      <c r="L935" s="1" t="str">
        <f>VLOOKUP(A935,[1]Sheet1!$A$2:$J$1141,10,0)</f>
        <v>Section of Port Opr (Silo, Aux. T &amp; SM)</v>
      </c>
      <c r="M935" s="2">
        <v>27580</v>
      </c>
      <c r="N935" s="1" t="s">
        <v>29</v>
      </c>
      <c r="O935" s="1" t="s">
        <v>30</v>
      </c>
      <c r="P935" s="1" t="s">
        <v>4926</v>
      </c>
      <c r="Q935" s="1" t="s">
        <v>4916</v>
      </c>
      <c r="R935" s="1" t="s">
        <v>4917</v>
      </c>
      <c r="S935" s="1" t="s">
        <v>4891</v>
      </c>
      <c r="T935" s="14">
        <v>48061</v>
      </c>
      <c r="U935" s="1" t="s">
        <v>4927</v>
      </c>
      <c r="V935" s="1" t="s">
        <v>186</v>
      </c>
      <c r="W935" s="3" t="str">
        <f t="shared" si="14"/>
        <v>51 tahun</v>
      </c>
      <c r="X935" s="1" t="s">
        <v>1146</v>
      </c>
      <c r="Y935" s="1" t="s">
        <v>56</v>
      </c>
      <c r="Z935" s="2">
        <v>38718</v>
      </c>
      <c r="AA935" s="2">
        <v>41030</v>
      </c>
      <c r="AB935" s="2" t="s">
        <v>4928</v>
      </c>
    </row>
    <row r="936" spans="1:28" x14ac:dyDescent="0.35">
      <c r="A936" s="12">
        <v>4798</v>
      </c>
      <c r="B936" s="12">
        <v>7306137</v>
      </c>
      <c r="C936" s="12" t="s">
        <v>219</v>
      </c>
      <c r="D936" s="12">
        <v>50069093</v>
      </c>
      <c r="E936" s="1" t="s">
        <v>4929</v>
      </c>
      <c r="F936" s="1" t="str">
        <f>VLOOKUP(A936,[1]Sheet1!$A$2:$E$1141,5,0)</f>
        <v>Spv of Big Bag &amp; Tbngan BKS Operation</v>
      </c>
      <c r="G936" s="17" t="str">
        <f>VLOOKUP(A936,[1]Sheet1!$A$2:$F$1141,6,0)</f>
        <v>Supervisor</v>
      </c>
      <c r="H936" s="1" t="s">
        <v>4887</v>
      </c>
      <c r="I936" s="1" t="s">
        <v>1117</v>
      </c>
      <c r="J936" s="1" t="str">
        <f>VLOOKUP(A936,[1]Sheet1!$A$2:$H$1141,8,0)</f>
        <v>Dept. of Infrastructure</v>
      </c>
      <c r="K936" s="1" t="str">
        <f>VLOOKUP(A936,[1]Sheet1!$A$2:$I$1141,9,0)</f>
        <v>Unit of Plant &amp; Port Prod Discharge Opr</v>
      </c>
      <c r="L936" s="1" t="str">
        <f>VLOOKUP(A936,[1]Sheet1!$A$2:$J$1141,10,0)</f>
        <v>Section of Port Opr (Silo, Aux. T &amp; SM)</v>
      </c>
      <c r="M936" s="2">
        <v>26693</v>
      </c>
      <c r="N936" s="1" t="s">
        <v>29</v>
      </c>
      <c r="O936" s="1" t="s">
        <v>30</v>
      </c>
      <c r="P936" s="1" t="s">
        <v>4930</v>
      </c>
      <c r="Q936" s="1" t="s">
        <v>4916</v>
      </c>
      <c r="R936" s="1" t="s">
        <v>4917</v>
      </c>
      <c r="S936" s="1" t="s">
        <v>4891</v>
      </c>
      <c r="T936" s="14">
        <v>47150</v>
      </c>
      <c r="U936" s="1" t="s">
        <v>4931</v>
      </c>
      <c r="V936" s="1" t="s">
        <v>36</v>
      </c>
      <c r="W936" s="3" t="str">
        <f t="shared" si="14"/>
        <v>53 tahun</v>
      </c>
      <c r="X936" s="1" t="s">
        <v>248</v>
      </c>
      <c r="Y936" s="1" t="s">
        <v>56</v>
      </c>
      <c r="Z936" s="2">
        <v>38718</v>
      </c>
      <c r="AA936" s="2">
        <v>41030</v>
      </c>
      <c r="AB936" s="2" t="s">
        <v>4932</v>
      </c>
    </row>
    <row r="937" spans="1:28" x14ac:dyDescent="0.35">
      <c r="A937" s="12">
        <v>5407</v>
      </c>
      <c r="B937" s="12">
        <v>8710084</v>
      </c>
      <c r="C937" s="12" t="s">
        <v>139</v>
      </c>
      <c r="D937" s="12">
        <v>50069094</v>
      </c>
      <c r="E937" s="16" t="s">
        <v>4933</v>
      </c>
      <c r="F937" s="1" t="str">
        <f>VLOOKUP(A937,[1]Sheet1!$A$2:$E$1141,5,0)</f>
        <v>Mgr of Plant Site Packer &amp; Bulk Opr</v>
      </c>
      <c r="G937" s="16" t="str">
        <f>VLOOKUP(A937,[1]Sheet1!$A$2:$F$1141,6,0)</f>
        <v>Manager</v>
      </c>
      <c r="H937" s="1" t="s">
        <v>4934</v>
      </c>
      <c r="I937" s="1" t="s">
        <v>1117</v>
      </c>
      <c r="J937" s="1" t="str">
        <f>VLOOKUP(A937,[1]Sheet1!$A$2:$H$1141,8,0)</f>
        <v>Dept. of Infrastructure</v>
      </c>
      <c r="K937" s="1" t="str">
        <f>VLOOKUP(A937,[1]Sheet1!$A$2:$I$1141,9,0)</f>
        <v>Unit of Plant &amp; Port Prod Discharge Opr</v>
      </c>
      <c r="L937" s="1" t="str">
        <f>VLOOKUP(A937,[1]Sheet1!$A$2:$J$1141,10,0)</f>
        <v>Section of Plant Site Packer &amp; Bulk Opr</v>
      </c>
      <c r="M937" s="2">
        <v>32087</v>
      </c>
      <c r="N937" s="1" t="s">
        <v>29</v>
      </c>
      <c r="O937" s="1" t="s">
        <v>30</v>
      </c>
      <c r="P937" s="1" t="s">
        <v>4935</v>
      </c>
      <c r="Q937" s="1" t="s">
        <v>4936</v>
      </c>
      <c r="R937" s="1" t="s">
        <v>4937</v>
      </c>
      <c r="S937" s="1" t="s">
        <v>4938</v>
      </c>
      <c r="T937" s="14">
        <v>52566</v>
      </c>
      <c r="U937" s="1" t="s">
        <v>4939</v>
      </c>
      <c r="V937" s="1" t="s">
        <v>36</v>
      </c>
      <c r="W937" s="3" t="str">
        <f t="shared" si="14"/>
        <v>38 tahun</v>
      </c>
      <c r="X937" s="1" t="s">
        <v>3220</v>
      </c>
      <c r="Y937" s="1" t="s">
        <v>48</v>
      </c>
      <c r="Z937" s="2">
        <v>40544</v>
      </c>
      <c r="AA937" s="2">
        <v>40695</v>
      </c>
      <c r="AB937" s="2" t="s">
        <v>4940</v>
      </c>
    </row>
    <row r="938" spans="1:28" x14ac:dyDescent="0.35">
      <c r="A938" s="12">
        <v>5007</v>
      </c>
      <c r="B938" s="12">
        <v>7495023</v>
      </c>
      <c r="C938" s="12" t="s">
        <v>50</v>
      </c>
      <c r="D938" s="12">
        <v>50069101</v>
      </c>
      <c r="E938" s="1" t="s">
        <v>4941</v>
      </c>
      <c r="F938" s="1" t="str">
        <f>VLOOKUP(A938,[1]Sheet1!$A$2:$E$1141,5,0)</f>
        <v>Spv of Line 2/3 Packer &amp; Bulk Field</v>
      </c>
      <c r="G938" s="17" t="str">
        <f>VLOOKUP(A938,[1]Sheet1!$A$2:$F$1141,6,0)</f>
        <v>Supervisor</v>
      </c>
      <c r="H938" s="1" t="s">
        <v>4934</v>
      </c>
      <c r="I938" s="1" t="s">
        <v>1117</v>
      </c>
      <c r="J938" s="1" t="str">
        <f>VLOOKUP(A938,[1]Sheet1!$A$2:$H$1141,8,0)</f>
        <v>Dept. of Infrastructure</v>
      </c>
      <c r="K938" s="1" t="str">
        <f>VLOOKUP(A938,[1]Sheet1!$A$2:$I$1141,9,0)</f>
        <v>Unit of Plant &amp; Port Prod Discharge Opr</v>
      </c>
      <c r="L938" s="1" t="str">
        <f>VLOOKUP(A938,[1]Sheet1!$A$2:$J$1141,10,0)</f>
        <v>Section of Plant Site Packer &amp; Bulk Opr</v>
      </c>
      <c r="M938" s="2">
        <v>27079</v>
      </c>
      <c r="N938" s="1" t="s">
        <v>29</v>
      </c>
      <c r="O938" s="1" t="s">
        <v>30</v>
      </c>
      <c r="P938" s="1" t="s">
        <v>4942</v>
      </c>
      <c r="Q938" s="1" t="s">
        <v>4943</v>
      </c>
      <c r="R938" s="1" t="s">
        <v>4944</v>
      </c>
      <c r="S938" s="1" t="s">
        <v>4938</v>
      </c>
      <c r="T938" s="14">
        <v>47543</v>
      </c>
      <c r="U938" s="1" t="s">
        <v>4945</v>
      </c>
      <c r="V938" s="1" t="s">
        <v>186</v>
      </c>
      <c r="W938" s="3" t="str">
        <f t="shared" si="14"/>
        <v>52 tahun</v>
      </c>
      <c r="X938" s="1" t="s">
        <v>55</v>
      </c>
      <c r="Y938" s="1" t="s">
        <v>56</v>
      </c>
      <c r="Z938" s="2">
        <v>34897</v>
      </c>
      <c r="AA938" s="2">
        <v>35278</v>
      </c>
      <c r="AB938" s="2" t="s">
        <v>84</v>
      </c>
    </row>
    <row r="939" spans="1:28" x14ac:dyDescent="0.35">
      <c r="A939" s="12">
        <v>4941</v>
      </c>
      <c r="B939" s="12">
        <v>7302217</v>
      </c>
      <c r="C939" s="12" t="s">
        <v>164</v>
      </c>
      <c r="D939" s="12">
        <v>50069102</v>
      </c>
      <c r="E939" s="1" t="s">
        <v>4946</v>
      </c>
      <c r="F939" s="1" t="str">
        <f>VLOOKUP(A939,[1]Sheet1!$A$2:$E$1141,5,0)</f>
        <v>Spv of Line 2/3 Packer &amp; Bulk Field</v>
      </c>
      <c r="G939" s="17" t="str">
        <f>VLOOKUP(A939,[1]Sheet1!$A$2:$F$1141,6,0)</f>
        <v>Supervisor</v>
      </c>
      <c r="H939" s="1" t="s">
        <v>4934</v>
      </c>
      <c r="I939" s="1" t="s">
        <v>1117</v>
      </c>
      <c r="J939" s="1" t="str">
        <f>VLOOKUP(A939,[1]Sheet1!$A$2:$H$1141,8,0)</f>
        <v>Dept. of Infrastructure</v>
      </c>
      <c r="K939" s="1" t="str">
        <f>VLOOKUP(A939,[1]Sheet1!$A$2:$I$1141,9,0)</f>
        <v>Unit of Plant &amp; Port Prod Discharge Opr</v>
      </c>
      <c r="L939" s="1" t="str">
        <f>VLOOKUP(A939,[1]Sheet1!$A$2:$J$1141,10,0)</f>
        <v>Section of Plant Site Packer &amp; Bulk Opr</v>
      </c>
      <c r="M939" s="2">
        <v>26862</v>
      </c>
      <c r="N939" s="1" t="s">
        <v>29</v>
      </c>
      <c r="O939" s="1" t="s">
        <v>30</v>
      </c>
      <c r="P939" s="1" t="s">
        <v>4947</v>
      </c>
      <c r="Q939" s="1" t="s">
        <v>4943</v>
      </c>
      <c r="R939" s="1" t="s">
        <v>4944</v>
      </c>
      <c r="S939" s="1" t="s">
        <v>4938</v>
      </c>
      <c r="T939" s="14">
        <v>47331</v>
      </c>
      <c r="U939" s="1" t="s">
        <v>4948</v>
      </c>
      <c r="V939" s="1" t="s">
        <v>36</v>
      </c>
      <c r="W939" s="3" t="str">
        <f t="shared" si="14"/>
        <v>53 tahun</v>
      </c>
      <c r="X939" s="1" t="s">
        <v>121</v>
      </c>
      <c r="Y939" s="1" t="s">
        <v>56</v>
      </c>
      <c r="Z939" s="2">
        <v>37469</v>
      </c>
      <c r="AA939" s="2">
        <v>38718</v>
      </c>
      <c r="AB939" s="2" t="s">
        <v>84</v>
      </c>
    </row>
    <row r="940" spans="1:28" x14ac:dyDescent="0.35">
      <c r="A940" s="12">
        <v>6022</v>
      </c>
      <c r="B940" s="12">
        <v>8912189</v>
      </c>
      <c r="C940" s="12" t="s">
        <v>103</v>
      </c>
      <c r="D940" s="12">
        <v>50069103</v>
      </c>
      <c r="E940" s="1" t="s">
        <v>4949</v>
      </c>
      <c r="F940" s="1" t="str">
        <f>VLOOKUP(A940,[1]Sheet1!$A$2:$E$1141,5,0)</f>
        <v>Spv of Line 2/3 Packer &amp; Bulk Field</v>
      </c>
      <c r="G940" s="17" t="str">
        <f>VLOOKUP(A940,[1]Sheet1!$A$2:$F$1141,6,0)</f>
        <v>Supervisor</v>
      </c>
      <c r="H940" s="1" t="s">
        <v>4934</v>
      </c>
      <c r="I940" s="1" t="s">
        <v>1117</v>
      </c>
      <c r="J940" s="1" t="str">
        <f>VLOOKUP(A940,[1]Sheet1!$A$2:$H$1141,8,0)</f>
        <v>Dept. of Infrastructure</v>
      </c>
      <c r="K940" s="1" t="str">
        <f>VLOOKUP(A940,[1]Sheet1!$A$2:$I$1141,9,0)</f>
        <v>Unit of Plant &amp; Port Prod Discharge Opr</v>
      </c>
      <c r="L940" s="1" t="str">
        <f>VLOOKUP(A940,[1]Sheet1!$A$2:$J$1141,10,0)</f>
        <v>Section of Plant Site Packer &amp; Bulk Opr</v>
      </c>
      <c r="M940" s="2">
        <v>32638</v>
      </c>
      <c r="N940" s="1" t="s">
        <v>29</v>
      </c>
      <c r="O940" s="1" t="s">
        <v>30</v>
      </c>
      <c r="P940" s="1" t="s">
        <v>4950</v>
      </c>
      <c r="Q940" s="1" t="s">
        <v>4943</v>
      </c>
      <c r="R940" s="1" t="s">
        <v>4944</v>
      </c>
      <c r="S940" s="1" t="s">
        <v>4938</v>
      </c>
      <c r="T940" s="14">
        <v>53114</v>
      </c>
      <c r="U940" s="1" t="s">
        <v>4951</v>
      </c>
      <c r="V940" s="1" t="s">
        <v>36</v>
      </c>
      <c r="W940" s="3" t="str">
        <f t="shared" si="14"/>
        <v>37 tahun</v>
      </c>
      <c r="X940" s="1" t="s">
        <v>121</v>
      </c>
      <c r="Y940" s="1" t="s">
        <v>48</v>
      </c>
      <c r="Z940" s="2">
        <v>41275</v>
      </c>
      <c r="AA940" s="2">
        <v>41426</v>
      </c>
      <c r="AB940" s="2" t="s">
        <v>4952</v>
      </c>
    </row>
    <row r="941" spans="1:28" x14ac:dyDescent="0.35">
      <c r="A941" s="12">
        <v>5042</v>
      </c>
      <c r="B941" s="12">
        <v>7506495</v>
      </c>
      <c r="C941" s="12" t="s">
        <v>219</v>
      </c>
      <c r="D941" s="12">
        <v>50069104</v>
      </c>
      <c r="E941" s="1" t="s">
        <v>4953</v>
      </c>
      <c r="F941" s="1" t="str">
        <f>VLOOKUP(A941,[1]Sheet1!$A$2:$E$1141,5,0)</f>
        <v>Spv of Line 2/3 Packer &amp; Bulk Field</v>
      </c>
      <c r="G941" s="17" t="str">
        <f>VLOOKUP(A941,[1]Sheet1!$A$2:$F$1141,6,0)</f>
        <v>Supervisor</v>
      </c>
      <c r="H941" s="1" t="s">
        <v>4934</v>
      </c>
      <c r="I941" s="1" t="s">
        <v>1117</v>
      </c>
      <c r="J941" s="1" t="str">
        <f>VLOOKUP(A941,[1]Sheet1!$A$2:$H$1141,8,0)</f>
        <v>Dept. of Infrastructure</v>
      </c>
      <c r="K941" s="1" t="str">
        <f>VLOOKUP(A941,[1]Sheet1!$A$2:$I$1141,9,0)</f>
        <v>Unit of Plant &amp; Port Prod Discharge Opr</v>
      </c>
      <c r="L941" s="1" t="str">
        <f>VLOOKUP(A941,[1]Sheet1!$A$2:$J$1141,10,0)</f>
        <v>Section of Plant Site Packer &amp; Bulk Opr</v>
      </c>
      <c r="M941" s="2">
        <v>27529</v>
      </c>
      <c r="N941" s="1" t="s">
        <v>29</v>
      </c>
      <c r="O941" s="1" t="s">
        <v>30</v>
      </c>
      <c r="P941" s="1" t="s">
        <v>4954</v>
      </c>
      <c r="Q941" s="1" t="s">
        <v>4943</v>
      </c>
      <c r="R941" s="1" t="s">
        <v>4944</v>
      </c>
      <c r="S941" s="1" t="s">
        <v>4938</v>
      </c>
      <c r="T941" s="14">
        <v>48000</v>
      </c>
      <c r="U941" s="1" t="s">
        <v>4955</v>
      </c>
      <c r="V941" s="1" t="s">
        <v>36</v>
      </c>
      <c r="W941" s="3" t="str">
        <f t="shared" si="14"/>
        <v>51 tahun</v>
      </c>
      <c r="X941" s="1" t="s">
        <v>121</v>
      </c>
      <c r="Y941" s="1" t="s">
        <v>56</v>
      </c>
      <c r="Z941" s="2">
        <v>38718</v>
      </c>
      <c r="AA941" s="2">
        <v>41030</v>
      </c>
      <c r="AB941" s="2" t="s">
        <v>4956</v>
      </c>
    </row>
    <row r="942" spans="1:28" x14ac:dyDescent="0.35">
      <c r="A942" s="12">
        <v>4795</v>
      </c>
      <c r="B942" s="12">
        <v>7295173</v>
      </c>
      <c r="C942" s="12" t="s">
        <v>50</v>
      </c>
      <c r="D942" s="12">
        <v>50069105</v>
      </c>
      <c r="E942" s="1" t="s">
        <v>4957</v>
      </c>
      <c r="F942" s="1" t="str">
        <f>VLOOKUP(A942,[1]Sheet1!$A$2:$E$1141,5,0)</f>
        <v>Spv of Line 4 Packer &amp; Bulk Field</v>
      </c>
      <c r="G942" s="17" t="str">
        <f>VLOOKUP(A942,[1]Sheet1!$A$2:$F$1141,6,0)</f>
        <v>Supervisor</v>
      </c>
      <c r="H942" s="1" t="s">
        <v>4934</v>
      </c>
      <c r="I942" s="1" t="s">
        <v>1117</v>
      </c>
      <c r="J942" s="1" t="str">
        <f>VLOOKUP(A942,[1]Sheet1!$A$2:$H$1141,8,0)</f>
        <v>Dept. of Infrastructure</v>
      </c>
      <c r="K942" s="1" t="str">
        <f>VLOOKUP(A942,[1]Sheet1!$A$2:$I$1141,9,0)</f>
        <v>Unit of Plant &amp; Port Prod Discharge Opr</v>
      </c>
      <c r="L942" s="1" t="str">
        <f>VLOOKUP(A942,[1]Sheet1!$A$2:$J$1141,10,0)</f>
        <v>Section of Plant Site Packer &amp; Bulk Opr</v>
      </c>
      <c r="M942" s="2">
        <v>26308</v>
      </c>
      <c r="N942" s="1" t="s">
        <v>29</v>
      </c>
      <c r="O942" s="1" t="s">
        <v>30</v>
      </c>
      <c r="P942" s="1" t="s">
        <v>4958</v>
      </c>
      <c r="Q942" s="1" t="s">
        <v>4959</v>
      </c>
      <c r="R942" s="1" t="s">
        <v>4960</v>
      </c>
      <c r="S942" s="1" t="s">
        <v>4938</v>
      </c>
      <c r="T942" s="14">
        <v>46784</v>
      </c>
      <c r="U942" s="1" t="s">
        <v>4961</v>
      </c>
      <c r="V942" s="1" t="s">
        <v>36</v>
      </c>
      <c r="W942" s="3" t="str">
        <f t="shared" si="14"/>
        <v>54 tahun</v>
      </c>
      <c r="X942" s="1" t="s">
        <v>906</v>
      </c>
      <c r="Y942" s="1" t="s">
        <v>48</v>
      </c>
      <c r="Z942" s="2">
        <v>35002</v>
      </c>
      <c r="AA942" s="2">
        <v>35370</v>
      </c>
      <c r="AB942" s="2" t="s">
        <v>4962</v>
      </c>
    </row>
    <row r="943" spans="1:28" x14ac:dyDescent="0.35">
      <c r="A943" s="12">
        <v>4953</v>
      </c>
      <c r="B943" s="12">
        <v>7395101</v>
      </c>
      <c r="C943" s="12" t="s">
        <v>50</v>
      </c>
      <c r="D943" s="12">
        <v>50069106</v>
      </c>
      <c r="E943" s="1" t="s">
        <v>4524</v>
      </c>
      <c r="F943" s="1" t="str">
        <f>VLOOKUP(A943,[1]Sheet1!$A$2:$E$1141,5,0)</f>
        <v>Spv of Line 4 Packer &amp; Bulk Field</v>
      </c>
      <c r="G943" s="17" t="str">
        <f>VLOOKUP(A943,[1]Sheet1!$A$2:$F$1141,6,0)</f>
        <v>Supervisor</v>
      </c>
      <c r="H943" s="1" t="s">
        <v>4934</v>
      </c>
      <c r="I943" s="1" t="s">
        <v>1117</v>
      </c>
      <c r="J943" s="1" t="str">
        <f>VLOOKUP(A943,[1]Sheet1!$A$2:$H$1141,8,0)</f>
        <v>Dept. of Infrastructure</v>
      </c>
      <c r="K943" s="1" t="str">
        <f>VLOOKUP(A943,[1]Sheet1!$A$2:$I$1141,9,0)</f>
        <v>Unit of Plant &amp; Port Prod Discharge Opr</v>
      </c>
      <c r="L943" s="1" t="str">
        <f>VLOOKUP(A943,[1]Sheet1!$A$2:$J$1141,10,0)</f>
        <v>Section of Plant Site Packer &amp; Bulk Opr</v>
      </c>
      <c r="M943" s="2">
        <v>26890</v>
      </c>
      <c r="N943" s="1" t="s">
        <v>29</v>
      </c>
      <c r="O943" s="1" t="s">
        <v>30</v>
      </c>
      <c r="P943" s="1" t="s">
        <v>4963</v>
      </c>
      <c r="Q943" s="1" t="s">
        <v>4959</v>
      </c>
      <c r="R943" s="1" t="s">
        <v>4960</v>
      </c>
      <c r="S943" s="1" t="s">
        <v>4938</v>
      </c>
      <c r="T943" s="14">
        <v>47362</v>
      </c>
      <c r="U943" s="1" t="s">
        <v>4964</v>
      </c>
      <c r="V943" s="1" t="s">
        <v>36</v>
      </c>
      <c r="W943" s="3" t="str">
        <f t="shared" si="14"/>
        <v>53 tahun</v>
      </c>
      <c r="X943" s="1" t="s">
        <v>4965</v>
      </c>
      <c r="Y943" s="1" t="s">
        <v>56</v>
      </c>
      <c r="Z943" s="2">
        <v>34932</v>
      </c>
      <c r="AA943" s="2">
        <v>35309</v>
      </c>
      <c r="AB943" s="2" t="s">
        <v>84</v>
      </c>
    </row>
    <row r="944" spans="1:28" x14ac:dyDescent="0.35">
      <c r="A944" s="12">
        <v>5908</v>
      </c>
      <c r="B944" s="12">
        <v>8712075</v>
      </c>
      <c r="C944" s="12" t="s">
        <v>103</v>
      </c>
      <c r="D944" s="12">
        <v>50069107</v>
      </c>
      <c r="E944" s="1" t="s">
        <v>4966</v>
      </c>
      <c r="F944" s="1" t="str">
        <f>VLOOKUP(A944,[1]Sheet1!$A$2:$E$1141,5,0)</f>
        <v>Spv of Line 4 Packer &amp; Bulk Field</v>
      </c>
      <c r="G944" s="17" t="str">
        <f>VLOOKUP(A944,[1]Sheet1!$A$2:$F$1141,6,0)</f>
        <v>Supervisor</v>
      </c>
      <c r="H944" s="1" t="s">
        <v>4934</v>
      </c>
      <c r="I944" s="1" t="s">
        <v>1117</v>
      </c>
      <c r="J944" s="1" t="str">
        <f>VLOOKUP(A944,[1]Sheet1!$A$2:$H$1141,8,0)</f>
        <v>Dept. of Infrastructure</v>
      </c>
      <c r="K944" s="1" t="str">
        <f>VLOOKUP(A944,[1]Sheet1!$A$2:$I$1141,9,0)</f>
        <v>Unit of Plant &amp; Port Prod Discharge Opr</v>
      </c>
      <c r="L944" s="1" t="str">
        <f>VLOOKUP(A944,[1]Sheet1!$A$2:$J$1141,10,0)</f>
        <v>Section of Plant Site Packer &amp; Bulk Opr</v>
      </c>
      <c r="M944" s="2">
        <v>31851</v>
      </c>
      <c r="N944" s="1" t="s">
        <v>29</v>
      </c>
      <c r="O944" s="1" t="s">
        <v>30</v>
      </c>
      <c r="P944" s="1" t="s">
        <v>4967</v>
      </c>
      <c r="Q944" s="1" t="s">
        <v>4959</v>
      </c>
      <c r="R944" s="1" t="s">
        <v>4960</v>
      </c>
      <c r="S944" s="1" t="s">
        <v>4938</v>
      </c>
      <c r="T944" s="14">
        <v>52322</v>
      </c>
      <c r="U944" s="1" t="s">
        <v>4968</v>
      </c>
      <c r="V944" s="1" t="s">
        <v>36</v>
      </c>
      <c r="W944" s="3" t="str">
        <f t="shared" si="14"/>
        <v>39 tahun</v>
      </c>
      <c r="X944" s="1" t="s">
        <v>112</v>
      </c>
      <c r="Y944" s="1" t="s">
        <v>56</v>
      </c>
      <c r="Z944" s="2">
        <v>41275</v>
      </c>
      <c r="AA944" s="2">
        <v>41426</v>
      </c>
      <c r="AB944" s="2" t="s">
        <v>4969</v>
      </c>
    </row>
    <row r="945" spans="1:28" x14ac:dyDescent="0.35">
      <c r="A945" s="12">
        <v>6165</v>
      </c>
      <c r="B945" s="12">
        <v>9112332</v>
      </c>
      <c r="C945" s="12" t="s">
        <v>103</v>
      </c>
      <c r="D945" s="12">
        <v>50069108</v>
      </c>
      <c r="E945" s="1" t="s">
        <v>4970</v>
      </c>
      <c r="F945" s="1" t="str">
        <f>VLOOKUP(A945,[1]Sheet1!$A$2:$E$1141,5,0)</f>
        <v>Spv of Line 4 Packer &amp; Bulk Field</v>
      </c>
      <c r="G945" s="17" t="str">
        <f>VLOOKUP(A945,[1]Sheet1!$A$2:$F$1141,6,0)</f>
        <v>Supervisor</v>
      </c>
      <c r="H945" s="1" t="s">
        <v>4934</v>
      </c>
      <c r="I945" s="1" t="s">
        <v>1117</v>
      </c>
      <c r="J945" s="1" t="str">
        <f>VLOOKUP(A945,[1]Sheet1!$A$2:$H$1141,8,0)</f>
        <v>Dept. of Infrastructure</v>
      </c>
      <c r="K945" s="1" t="str">
        <f>VLOOKUP(A945,[1]Sheet1!$A$2:$I$1141,9,0)</f>
        <v>Unit of Plant &amp; Port Prod Discharge Opr</v>
      </c>
      <c r="L945" s="1" t="str">
        <f>VLOOKUP(A945,[1]Sheet1!$A$2:$J$1141,10,0)</f>
        <v>Section of Plant Site Packer &amp; Bulk Opr</v>
      </c>
      <c r="M945" s="2">
        <v>33318</v>
      </c>
      <c r="N945" s="1" t="s">
        <v>29</v>
      </c>
      <c r="O945" s="1" t="s">
        <v>30</v>
      </c>
      <c r="P945" s="1" t="s">
        <v>4971</v>
      </c>
      <c r="Q945" s="1" t="s">
        <v>4959</v>
      </c>
      <c r="R945" s="1" t="s">
        <v>4960</v>
      </c>
      <c r="S945" s="1" t="s">
        <v>4938</v>
      </c>
      <c r="T945" s="14">
        <v>53783</v>
      </c>
      <c r="U945" s="1" t="s">
        <v>4972</v>
      </c>
      <c r="V945" s="1" t="s">
        <v>36</v>
      </c>
      <c r="W945" s="3" t="str">
        <f t="shared" si="14"/>
        <v>35 tahun</v>
      </c>
      <c r="X945" s="1" t="s">
        <v>807</v>
      </c>
      <c r="Y945" s="1" t="s">
        <v>56</v>
      </c>
      <c r="Z945" s="2">
        <v>41275</v>
      </c>
      <c r="AA945" s="2">
        <v>41395</v>
      </c>
      <c r="AB945" s="2" t="s">
        <v>4973</v>
      </c>
    </row>
    <row r="946" spans="1:28" x14ac:dyDescent="0.35">
      <c r="A946" s="12">
        <v>4882</v>
      </c>
      <c r="B946" s="12">
        <v>7295188</v>
      </c>
      <c r="C946" s="12" t="s">
        <v>50</v>
      </c>
      <c r="D946" s="12">
        <v>50069109</v>
      </c>
      <c r="E946" s="1" t="s">
        <v>4974</v>
      </c>
      <c r="F946" s="1" t="str">
        <f>VLOOKUP(A946,[1]Sheet1!$A$2:$E$1141,5,0)</f>
        <v>Spv of Line 5 Packer &amp; Bulk Field</v>
      </c>
      <c r="G946" s="17" t="str">
        <f>VLOOKUP(A946,[1]Sheet1!$A$2:$F$1141,6,0)</f>
        <v>Supervisor</v>
      </c>
      <c r="H946" s="1" t="s">
        <v>4934</v>
      </c>
      <c r="I946" s="1" t="s">
        <v>1117</v>
      </c>
      <c r="J946" s="1" t="str">
        <f>VLOOKUP(A946,[1]Sheet1!$A$2:$H$1141,8,0)</f>
        <v>Dept. of Infrastructure</v>
      </c>
      <c r="K946" s="1" t="str">
        <f>VLOOKUP(A946,[1]Sheet1!$A$2:$I$1141,9,0)</f>
        <v>Unit of Plant &amp; Port Prod Discharge Opr</v>
      </c>
      <c r="L946" s="1" t="str">
        <f>VLOOKUP(A946,[1]Sheet1!$A$2:$J$1141,10,0)</f>
        <v>Section of Plant Site Packer &amp; Bulk Opr</v>
      </c>
      <c r="M946" s="2">
        <v>26621</v>
      </c>
      <c r="N946" s="1" t="s">
        <v>29</v>
      </c>
      <c r="O946" s="1" t="s">
        <v>30</v>
      </c>
      <c r="P946" s="1" t="s">
        <v>4975</v>
      </c>
      <c r="Q946" s="1" t="s">
        <v>4976</v>
      </c>
      <c r="R946" s="1" t="s">
        <v>4977</v>
      </c>
      <c r="S946" s="1" t="s">
        <v>4938</v>
      </c>
      <c r="T946" s="14">
        <v>47088</v>
      </c>
      <c r="U946" s="1" t="s">
        <v>4978</v>
      </c>
      <c r="V946" s="1" t="s">
        <v>36</v>
      </c>
      <c r="W946" s="3" t="str">
        <f t="shared" si="14"/>
        <v>53 tahun</v>
      </c>
      <c r="X946" s="1" t="s">
        <v>107</v>
      </c>
      <c r="Y946" s="1" t="s">
        <v>56</v>
      </c>
      <c r="Z946" s="2">
        <v>35002</v>
      </c>
      <c r="AA946" s="2">
        <v>35370</v>
      </c>
      <c r="AB946" s="2" t="s">
        <v>4979</v>
      </c>
    </row>
    <row r="947" spans="1:28" x14ac:dyDescent="0.35">
      <c r="A947" s="12">
        <v>4897</v>
      </c>
      <c r="B947" s="12">
        <v>7395191</v>
      </c>
      <c r="C947" s="12" t="s">
        <v>50</v>
      </c>
      <c r="D947" s="12">
        <v>50069110</v>
      </c>
      <c r="E947" s="1" t="s">
        <v>1580</v>
      </c>
      <c r="F947" s="1" t="str">
        <f>VLOOKUP(A947,[1]Sheet1!$A$2:$E$1141,5,0)</f>
        <v>Spv of Line 5 Packer &amp; Bulk Field</v>
      </c>
      <c r="G947" s="17" t="str">
        <f>VLOOKUP(A947,[1]Sheet1!$A$2:$F$1141,6,0)</f>
        <v>Supervisor</v>
      </c>
      <c r="H947" s="1" t="s">
        <v>4934</v>
      </c>
      <c r="I947" s="1" t="s">
        <v>1117</v>
      </c>
      <c r="J947" s="1" t="str">
        <f>VLOOKUP(A947,[1]Sheet1!$A$2:$H$1141,8,0)</f>
        <v>Dept. of Infrastructure</v>
      </c>
      <c r="K947" s="1" t="str">
        <f>VLOOKUP(A947,[1]Sheet1!$A$2:$I$1141,9,0)</f>
        <v>Unit of Plant &amp; Port Prod Discharge Opr</v>
      </c>
      <c r="L947" s="1" t="str">
        <f>VLOOKUP(A947,[1]Sheet1!$A$2:$J$1141,10,0)</f>
        <v>Section of Plant Site Packer &amp; Bulk Opr</v>
      </c>
      <c r="M947" s="2">
        <v>26677</v>
      </c>
      <c r="N947" s="1" t="s">
        <v>29</v>
      </c>
      <c r="O947" s="1" t="s">
        <v>30</v>
      </c>
      <c r="P947" s="1" t="s">
        <v>4980</v>
      </c>
      <c r="Q947" s="1" t="s">
        <v>4976</v>
      </c>
      <c r="R947" s="1" t="s">
        <v>4977</v>
      </c>
      <c r="S947" s="1" t="s">
        <v>4938</v>
      </c>
      <c r="T947" s="14">
        <v>47150</v>
      </c>
      <c r="U947" s="1" t="s">
        <v>4981</v>
      </c>
      <c r="V947" s="1" t="s">
        <v>36</v>
      </c>
      <c r="W947" s="3" t="str">
        <f t="shared" si="14"/>
        <v>53 tahun</v>
      </c>
      <c r="X947" s="1" t="s">
        <v>248</v>
      </c>
      <c r="Y947" s="1" t="s">
        <v>56</v>
      </c>
      <c r="Z947" s="2">
        <v>35002</v>
      </c>
      <c r="AA947" s="2">
        <v>35370</v>
      </c>
      <c r="AB947" s="2" t="s">
        <v>291</v>
      </c>
    </row>
    <row r="948" spans="1:28" x14ac:dyDescent="0.35">
      <c r="A948" s="12">
        <v>5011</v>
      </c>
      <c r="B948" s="12">
        <v>7495208</v>
      </c>
      <c r="C948" s="12" t="s">
        <v>50</v>
      </c>
      <c r="D948" s="12">
        <v>50069111</v>
      </c>
      <c r="E948" s="1" t="s">
        <v>4982</v>
      </c>
      <c r="F948" s="1" t="str">
        <f>VLOOKUP(A948,[1]Sheet1!$A$2:$E$1141,5,0)</f>
        <v>Spv of Line 5 Packer &amp; Bulk Field</v>
      </c>
      <c r="G948" s="17" t="str">
        <f>VLOOKUP(A948,[1]Sheet1!$A$2:$F$1141,6,0)</f>
        <v>Supervisor</v>
      </c>
      <c r="H948" s="1" t="s">
        <v>4934</v>
      </c>
      <c r="I948" s="1" t="s">
        <v>1117</v>
      </c>
      <c r="J948" s="1" t="str">
        <f>VLOOKUP(A948,[1]Sheet1!$A$2:$H$1141,8,0)</f>
        <v>Dept. of Infrastructure</v>
      </c>
      <c r="K948" s="1" t="str">
        <f>VLOOKUP(A948,[1]Sheet1!$A$2:$I$1141,9,0)</f>
        <v>Unit of Plant &amp; Port Prod Discharge Opr</v>
      </c>
      <c r="L948" s="1" t="str">
        <f>VLOOKUP(A948,[1]Sheet1!$A$2:$J$1141,10,0)</f>
        <v>Section of Plant Site Packer &amp; Bulk Opr</v>
      </c>
      <c r="M948" s="2">
        <v>27080</v>
      </c>
      <c r="N948" s="1" t="s">
        <v>29</v>
      </c>
      <c r="O948" s="1" t="s">
        <v>30</v>
      </c>
      <c r="P948" s="1" t="s">
        <v>4983</v>
      </c>
      <c r="Q948" s="1" t="s">
        <v>4976</v>
      </c>
      <c r="R948" s="1" t="s">
        <v>4977</v>
      </c>
      <c r="S948" s="1" t="s">
        <v>4938</v>
      </c>
      <c r="T948" s="14">
        <v>47543</v>
      </c>
      <c r="U948" s="1" t="s">
        <v>4984</v>
      </c>
      <c r="V948" s="1" t="s">
        <v>36</v>
      </c>
      <c r="W948" s="3" t="str">
        <f t="shared" si="14"/>
        <v>52 tahun</v>
      </c>
      <c r="X948" s="1" t="s">
        <v>55</v>
      </c>
      <c r="Y948" s="1" t="s">
        <v>48</v>
      </c>
      <c r="Z948" s="2">
        <v>35002</v>
      </c>
      <c r="AA948" s="2">
        <v>35370</v>
      </c>
      <c r="AB948" s="2" t="s">
        <v>4985</v>
      </c>
    </row>
    <row r="949" spans="1:28" x14ac:dyDescent="0.35">
      <c r="A949" s="12">
        <v>4855</v>
      </c>
      <c r="B949" s="12">
        <v>7202195</v>
      </c>
      <c r="C949" s="12" t="s">
        <v>164</v>
      </c>
      <c r="D949" s="12">
        <v>50069112</v>
      </c>
      <c r="E949" s="1" t="s">
        <v>4986</v>
      </c>
      <c r="F949" s="1" t="str">
        <f>VLOOKUP(A949,[1]Sheet1!$A$2:$E$1141,5,0)</f>
        <v>Spv of Line 5 Packer &amp; Bulk Field</v>
      </c>
      <c r="G949" s="17" t="str">
        <f>VLOOKUP(A949,[1]Sheet1!$A$2:$F$1141,6,0)</f>
        <v>Supervisor</v>
      </c>
      <c r="H949" s="1" t="s">
        <v>4934</v>
      </c>
      <c r="I949" s="1" t="s">
        <v>1117</v>
      </c>
      <c r="J949" s="1" t="str">
        <f>VLOOKUP(A949,[1]Sheet1!$A$2:$H$1141,8,0)</f>
        <v>Dept. of Infrastructure</v>
      </c>
      <c r="K949" s="1" t="str">
        <f>VLOOKUP(A949,[1]Sheet1!$A$2:$I$1141,9,0)</f>
        <v>Unit of Plant &amp; Port Prod Discharge Opr</v>
      </c>
      <c r="L949" s="1" t="str">
        <f>VLOOKUP(A949,[1]Sheet1!$A$2:$J$1141,10,0)</f>
        <v>Section of Plant Site Packer &amp; Bulk Opr</v>
      </c>
      <c r="M949" s="2">
        <v>26509</v>
      </c>
      <c r="N949" s="1" t="s">
        <v>29</v>
      </c>
      <c r="O949" s="1" t="s">
        <v>30</v>
      </c>
      <c r="P949" s="1" t="s">
        <v>4987</v>
      </c>
      <c r="Q949" s="1" t="s">
        <v>4976</v>
      </c>
      <c r="R949" s="1" t="s">
        <v>4977</v>
      </c>
      <c r="S949" s="1" t="s">
        <v>4938</v>
      </c>
      <c r="T949" s="14">
        <v>46966</v>
      </c>
      <c r="U949" s="1" t="s">
        <v>4988</v>
      </c>
      <c r="V949" s="1" t="s">
        <v>36</v>
      </c>
      <c r="W949" s="3" t="str">
        <f t="shared" si="14"/>
        <v>54 tahun</v>
      </c>
      <c r="X949" s="1" t="s">
        <v>2475</v>
      </c>
      <c r="Y949" s="1" t="s">
        <v>56</v>
      </c>
      <c r="Z949" s="2">
        <v>37469</v>
      </c>
      <c r="AA949" s="2">
        <v>38718</v>
      </c>
      <c r="AB949" s="2" t="s">
        <v>4989</v>
      </c>
    </row>
    <row r="950" spans="1:28" x14ac:dyDescent="0.35">
      <c r="A950" s="12">
        <v>5090</v>
      </c>
      <c r="B950" s="12">
        <v>7006511</v>
      </c>
      <c r="C950" s="12" t="s">
        <v>219</v>
      </c>
      <c r="D950" s="12">
        <v>50069113</v>
      </c>
      <c r="E950" s="1" t="s">
        <v>4990</v>
      </c>
      <c r="F950" s="1" t="str">
        <f>VLOOKUP(A950,[1]Sheet1!$A$2:$E$1141,5,0)</f>
        <v>Spv of Bag Packer Plant Inspection</v>
      </c>
      <c r="G950" s="17" t="str">
        <f>VLOOKUP(A950,[1]Sheet1!$A$2:$F$1141,6,0)</f>
        <v>Supervisor</v>
      </c>
      <c r="H950" s="1" t="s">
        <v>4934</v>
      </c>
      <c r="I950" s="1" t="s">
        <v>1117</v>
      </c>
      <c r="J950" s="1" t="str">
        <f>VLOOKUP(A950,[1]Sheet1!$A$2:$H$1141,8,0)</f>
        <v>Dept. of Infrastructure</v>
      </c>
      <c r="K950" s="1" t="str">
        <f>VLOOKUP(A950,[1]Sheet1!$A$2:$I$1141,9,0)</f>
        <v>Unit of Plant &amp; Port Prod Discharge Opr</v>
      </c>
      <c r="L950" s="1" t="str">
        <f>VLOOKUP(A950,[1]Sheet1!$A$2:$J$1141,10,0)</f>
        <v>Section of Plant Site Packer &amp; Bulk Opr</v>
      </c>
      <c r="M950" s="2">
        <v>25903</v>
      </c>
      <c r="N950" s="1" t="s">
        <v>29</v>
      </c>
      <c r="O950" s="1" t="s">
        <v>30</v>
      </c>
      <c r="P950" s="1" t="s">
        <v>4991</v>
      </c>
      <c r="Q950" s="1" t="s">
        <v>4992</v>
      </c>
      <c r="R950" s="1" t="s">
        <v>4993</v>
      </c>
      <c r="S950" s="1" t="s">
        <v>4938</v>
      </c>
      <c r="T950" s="14">
        <v>46388</v>
      </c>
      <c r="U950" s="1" t="s">
        <v>4994</v>
      </c>
      <c r="V950" s="1" t="s">
        <v>36</v>
      </c>
      <c r="W950" s="3" t="str">
        <f t="shared" si="14"/>
        <v>55 tahun</v>
      </c>
      <c r="X950" s="1" t="s">
        <v>96</v>
      </c>
      <c r="Y950" s="1" t="s">
        <v>56</v>
      </c>
      <c r="Z950" s="2">
        <v>38718</v>
      </c>
      <c r="AA950" s="2">
        <v>41030</v>
      </c>
      <c r="AB950" s="2" t="s">
        <v>4995</v>
      </c>
    </row>
    <row r="951" spans="1:28" x14ac:dyDescent="0.35">
      <c r="A951" s="12">
        <v>4985</v>
      </c>
      <c r="B951" s="12">
        <v>7302234</v>
      </c>
      <c r="C951" s="12" t="s">
        <v>164</v>
      </c>
      <c r="D951" s="12">
        <v>50069114</v>
      </c>
      <c r="E951" s="1" t="s">
        <v>4996</v>
      </c>
      <c r="F951" s="1" t="str">
        <f>VLOOKUP(A951,[1]Sheet1!$A$2:$E$1141,5,0)</f>
        <v>Spv of Bag Packer Plant Inspection</v>
      </c>
      <c r="G951" s="17" t="str">
        <f>VLOOKUP(A951,[1]Sheet1!$A$2:$F$1141,6,0)</f>
        <v>Supervisor</v>
      </c>
      <c r="H951" s="1" t="s">
        <v>4934</v>
      </c>
      <c r="I951" s="1" t="s">
        <v>1117</v>
      </c>
      <c r="J951" s="1" t="str">
        <f>VLOOKUP(A951,[1]Sheet1!$A$2:$H$1141,8,0)</f>
        <v>Dept. of Infrastructure</v>
      </c>
      <c r="K951" s="1" t="str">
        <f>VLOOKUP(A951,[1]Sheet1!$A$2:$I$1141,9,0)</f>
        <v>Unit of Plant &amp; Port Prod Discharge Opr</v>
      </c>
      <c r="L951" s="1" t="str">
        <f>VLOOKUP(A951,[1]Sheet1!$A$2:$J$1141,10,0)</f>
        <v>Section of Plant Site Packer &amp; Bulk Opr</v>
      </c>
      <c r="M951" s="2">
        <v>27010</v>
      </c>
      <c r="N951" s="1" t="s">
        <v>29</v>
      </c>
      <c r="O951" s="1" t="s">
        <v>30</v>
      </c>
      <c r="P951" s="1" t="s">
        <v>4997</v>
      </c>
      <c r="Q951" s="1" t="s">
        <v>4992</v>
      </c>
      <c r="R951" s="1" t="s">
        <v>4993</v>
      </c>
      <c r="S951" s="1" t="s">
        <v>4938</v>
      </c>
      <c r="T951" s="14">
        <v>47484</v>
      </c>
      <c r="U951" s="1" t="s">
        <v>4998</v>
      </c>
      <c r="V951" s="1" t="s">
        <v>186</v>
      </c>
      <c r="W951" s="3" t="str">
        <f t="shared" si="14"/>
        <v>52 tahun</v>
      </c>
      <c r="X951" s="1" t="s">
        <v>1146</v>
      </c>
      <c r="Y951" s="1" t="s">
        <v>56</v>
      </c>
      <c r="Z951" s="2">
        <v>37469</v>
      </c>
      <c r="AA951" s="2">
        <v>38718</v>
      </c>
      <c r="AB951" s="2" t="s">
        <v>4999</v>
      </c>
    </row>
    <row r="952" spans="1:28" x14ac:dyDescent="0.35">
      <c r="A952" s="12">
        <v>6019</v>
      </c>
      <c r="B952" s="12">
        <v>8912186</v>
      </c>
      <c r="C952" s="12" t="s">
        <v>103</v>
      </c>
      <c r="D952" s="12">
        <v>50069115</v>
      </c>
      <c r="E952" s="1" t="s">
        <v>5000</v>
      </c>
      <c r="F952" s="1" t="str">
        <f>VLOOKUP(A952,[1]Sheet1!$A$2:$E$1141,5,0)</f>
        <v>Spv of Bag Packer Plant Inspection</v>
      </c>
      <c r="G952" s="17" t="str">
        <f>VLOOKUP(A952,[1]Sheet1!$A$2:$F$1141,6,0)</f>
        <v>Supervisor</v>
      </c>
      <c r="H952" s="1" t="s">
        <v>4934</v>
      </c>
      <c r="I952" s="1" t="s">
        <v>1117</v>
      </c>
      <c r="J952" s="1" t="str">
        <f>VLOOKUP(A952,[1]Sheet1!$A$2:$H$1141,8,0)</f>
        <v>Dept. of Infrastructure</v>
      </c>
      <c r="K952" s="1" t="str">
        <f>VLOOKUP(A952,[1]Sheet1!$A$2:$I$1141,9,0)</f>
        <v>Unit of Plant &amp; Port Prod Discharge Opr</v>
      </c>
      <c r="L952" s="1" t="str">
        <f>VLOOKUP(A952,[1]Sheet1!$A$2:$J$1141,10,0)</f>
        <v>Section of Plant Site Packer &amp; Bulk Opr</v>
      </c>
      <c r="M952" s="2">
        <v>32628</v>
      </c>
      <c r="N952" s="1" t="s">
        <v>29</v>
      </c>
      <c r="O952" s="1" t="s">
        <v>30</v>
      </c>
      <c r="P952" s="1" t="s">
        <v>5001</v>
      </c>
      <c r="Q952" s="1" t="s">
        <v>4992</v>
      </c>
      <c r="R952" s="1" t="s">
        <v>4993</v>
      </c>
      <c r="S952" s="1" t="s">
        <v>4938</v>
      </c>
      <c r="T952" s="14">
        <v>53083</v>
      </c>
      <c r="U952" s="1" t="s">
        <v>5002</v>
      </c>
      <c r="V952" s="1" t="s">
        <v>36</v>
      </c>
      <c r="W952" s="3" t="str">
        <f t="shared" si="14"/>
        <v>37 tahun</v>
      </c>
      <c r="X952" s="1" t="s">
        <v>121</v>
      </c>
      <c r="Y952" s="1" t="s">
        <v>56</v>
      </c>
      <c r="Z952" s="2">
        <v>41275</v>
      </c>
      <c r="AA952" s="2">
        <v>41426</v>
      </c>
      <c r="AB952" s="2" t="s">
        <v>5003</v>
      </c>
    </row>
    <row r="953" spans="1:28" x14ac:dyDescent="0.35">
      <c r="A953" s="12">
        <v>4745</v>
      </c>
      <c r="B953" s="12">
        <v>7106337</v>
      </c>
      <c r="C953" s="12" t="s">
        <v>219</v>
      </c>
      <c r="D953" s="12">
        <v>50069116</v>
      </c>
      <c r="E953" s="1" t="s">
        <v>5004</v>
      </c>
      <c r="F953" s="1" t="str">
        <f>VLOOKUP(A953,[1]Sheet1!$A$2:$E$1141,5,0)</f>
        <v>Spv of Bag Packer Plant Inspection</v>
      </c>
      <c r="G953" s="17" t="str">
        <f>VLOOKUP(A953,[1]Sheet1!$A$2:$F$1141,6,0)</f>
        <v>Supervisor</v>
      </c>
      <c r="H953" s="1" t="s">
        <v>4934</v>
      </c>
      <c r="I953" s="1" t="s">
        <v>1117</v>
      </c>
      <c r="J953" s="1" t="str">
        <f>VLOOKUP(A953,[1]Sheet1!$A$2:$H$1141,8,0)</f>
        <v>Dept. of Infrastructure</v>
      </c>
      <c r="K953" s="1" t="str">
        <f>VLOOKUP(A953,[1]Sheet1!$A$2:$I$1141,9,0)</f>
        <v>Unit of Plant &amp; Port Prod Discharge Opr</v>
      </c>
      <c r="L953" s="1" t="str">
        <f>VLOOKUP(A953,[1]Sheet1!$A$2:$J$1141,10,0)</f>
        <v>Section of Plant Site Packer &amp; Bulk Opr</v>
      </c>
      <c r="M953" s="2">
        <v>26258</v>
      </c>
      <c r="N953" s="1" t="s">
        <v>29</v>
      </c>
      <c r="O953" s="1" t="s">
        <v>30</v>
      </c>
      <c r="P953" s="1" t="s">
        <v>5005</v>
      </c>
      <c r="Q953" s="1" t="s">
        <v>4992</v>
      </c>
      <c r="R953" s="1" t="s">
        <v>4993</v>
      </c>
      <c r="S953" s="1" t="s">
        <v>4938</v>
      </c>
      <c r="T953" s="14">
        <v>46722</v>
      </c>
      <c r="U953" s="1" t="s">
        <v>5006</v>
      </c>
      <c r="V953" s="1" t="s">
        <v>36</v>
      </c>
      <c r="W953" s="3" t="str">
        <f t="shared" si="14"/>
        <v>54 tahun</v>
      </c>
      <c r="X953" s="1" t="s">
        <v>121</v>
      </c>
      <c r="Y953" s="1" t="s">
        <v>56</v>
      </c>
      <c r="Z953" s="2">
        <v>38718</v>
      </c>
      <c r="AA953" s="2">
        <v>41030</v>
      </c>
      <c r="AB953" s="2" t="s">
        <v>84</v>
      </c>
    </row>
    <row r="954" spans="1:28" x14ac:dyDescent="0.35">
      <c r="A954" s="12">
        <v>4785</v>
      </c>
      <c r="B954" s="12">
        <v>7102176</v>
      </c>
      <c r="C954" s="12" t="s">
        <v>164</v>
      </c>
      <c r="D954" s="12">
        <v>50069117</v>
      </c>
      <c r="E954" s="1" t="s">
        <v>5007</v>
      </c>
      <c r="F954" s="1" t="str">
        <f>VLOOKUP(A954,[1]Sheet1!$A$2:$E$1141,5,0)</f>
        <v>Spv of Plant Cement Silo Operation</v>
      </c>
      <c r="G954" s="17" t="str">
        <f>VLOOKUP(A954,[1]Sheet1!$A$2:$F$1141,6,0)</f>
        <v>Supervisor</v>
      </c>
      <c r="H954" s="1" t="s">
        <v>4934</v>
      </c>
      <c r="I954" s="1" t="s">
        <v>1117</v>
      </c>
      <c r="J954" s="1" t="str">
        <f>VLOOKUP(A954,[1]Sheet1!$A$2:$H$1141,8,0)</f>
        <v>Dept. of Infrastructure</v>
      </c>
      <c r="K954" s="1" t="str">
        <f>VLOOKUP(A954,[1]Sheet1!$A$2:$I$1141,9,0)</f>
        <v>Unit of Plant &amp; Port Prod Discharge Opr</v>
      </c>
      <c r="L954" s="1" t="str">
        <f>VLOOKUP(A954,[1]Sheet1!$A$2:$J$1141,10,0)</f>
        <v>Section of Plant Site Packer &amp; Bulk Opr</v>
      </c>
      <c r="M954" s="2">
        <v>26242</v>
      </c>
      <c r="N954" s="1" t="s">
        <v>29</v>
      </c>
      <c r="O954" s="1" t="s">
        <v>30</v>
      </c>
      <c r="P954" s="1" t="s">
        <v>5008</v>
      </c>
      <c r="Q954" s="1" t="s">
        <v>5009</v>
      </c>
      <c r="R954" s="1" t="s">
        <v>5010</v>
      </c>
      <c r="S954" s="1" t="s">
        <v>4938</v>
      </c>
      <c r="T954" s="14">
        <v>46722</v>
      </c>
      <c r="U954" s="1" t="s">
        <v>5011</v>
      </c>
      <c r="V954" s="1" t="s">
        <v>36</v>
      </c>
      <c r="W954" s="3" t="str">
        <f t="shared" si="14"/>
        <v>54 tahun</v>
      </c>
      <c r="X954" s="1" t="s">
        <v>3302</v>
      </c>
      <c r="Y954" s="1" t="s">
        <v>56</v>
      </c>
      <c r="Z954" s="2">
        <v>37469</v>
      </c>
      <c r="AA954" s="2">
        <v>38718</v>
      </c>
      <c r="AB954" s="2" t="s">
        <v>5012</v>
      </c>
    </row>
    <row r="955" spans="1:28" x14ac:dyDescent="0.35">
      <c r="A955" s="12">
        <v>4570</v>
      </c>
      <c r="B955" s="12">
        <v>7406449</v>
      </c>
      <c r="C955" s="12" t="s">
        <v>219</v>
      </c>
      <c r="D955" s="12">
        <v>50069118</v>
      </c>
      <c r="E955" s="1" t="s">
        <v>5013</v>
      </c>
      <c r="F955" s="1" t="str">
        <f>VLOOKUP(A955,[1]Sheet1!$A$2:$E$1141,5,0)</f>
        <v>Spv of Plant Cement Silo Operation</v>
      </c>
      <c r="G955" s="17" t="str">
        <f>VLOOKUP(A955,[1]Sheet1!$A$2:$F$1141,6,0)</f>
        <v>Supervisor</v>
      </c>
      <c r="H955" s="1" t="s">
        <v>4934</v>
      </c>
      <c r="I955" s="1" t="s">
        <v>1117</v>
      </c>
      <c r="J955" s="1" t="str">
        <f>VLOOKUP(A955,[1]Sheet1!$A$2:$H$1141,8,0)</f>
        <v>Dept. of Infrastructure</v>
      </c>
      <c r="K955" s="1" t="str">
        <f>VLOOKUP(A955,[1]Sheet1!$A$2:$I$1141,9,0)</f>
        <v>Unit of Plant &amp; Port Prod Discharge Opr</v>
      </c>
      <c r="L955" s="1" t="str">
        <f>VLOOKUP(A955,[1]Sheet1!$A$2:$J$1141,10,0)</f>
        <v>Section of Plant Site Packer &amp; Bulk Opr</v>
      </c>
      <c r="M955" s="2">
        <v>27114</v>
      </c>
      <c r="N955" s="1" t="s">
        <v>29</v>
      </c>
      <c r="O955" s="1" t="s">
        <v>30</v>
      </c>
      <c r="P955" s="1" t="s">
        <v>5014</v>
      </c>
      <c r="Q955" s="1" t="s">
        <v>5009</v>
      </c>
      <c r="R955" s="1" t="s">
        <v>5010</v>
      </c>
      <c r="S955" s="1" t="s">
        <v>4938</v>
      </c>
      <c r="T955" s="14">
        <v>47574</v>
      </c>
      <c r="U955" s="1" t="s">
        <v>5015</v>
      </c>
      <c r="V955" s="1" t="s">
        <v>36</v>
      </c>
      <c r="W955" s="3" t="str">
        <f t="shared" si="14"/>
        <v>52 tahun</v>
      </c>
      <c r="X955" s="1" t="s">
        <v>248</v>
      </c>
      <c r="Y955" s="1" t="s">
        <v>56</v>
      </c>
      <c r="Z955" s="2">
        <v>38718</v>
      </c>
      <c r="AA955" s="2">
        <v>41030</v>
      </c>
      <c r="AB955" s="2" t="s">
        <v>84</v>
      </c>
    </row>
    <row r="956" spans="1:28" x14ac:dyDescent="0.35">
      <c r="A956" s="12">
        <v>5199</v>
      </c>
      <c r="B956" s="12">
        <v>7706539</v>
      </c>
      <c r="C956" s="12" t="s">
        <v>219</v>
      </c>
      <c r="D956" s="12">
        <v>50069119</v>
      </c>
      <c r="E956" s="1" t="s">
        <v>5016</v>
      </c>
      <c r="F956" s="1" t="str">
        <f>VLOOKUP(A956,[1]Sheet1!$A$2:$E$1141,5,0)</f>
        <v>Spv of Plant Cement Silo Operation</v>
      </c>
      <c r="G956" s="17" t="str">
        <f>VLOOKUP(A956,[1]Sheet1!$A$2:$F$1141,6,0)</f>
        <v>Supervisor</v>
      </c>
      <c r="H956" s="1" t="s">
        <v>4934</v>
      </c>
      <c r="I956" s="1" t="s">
        <v>1117</v>
      </c>
      <c r="J956" s="1" t="str">
        <f>VLOOKUP(A956,[1]Sheet1!$A$2:$H$1141,8,0)</f>
        <v>Dept. of Infrastructure</v>
      </c>
      <c r="K956" s="1" t="str">
        <f>VLOOKUP(A956,[1]Sheet1!$A$2:$I$1141,9,0)</f>
        <v>Unit of Plant &amp; Port Prod Discharge Opr</v>
      </c>
      <c r="L956" s="1" t="str">
        <f>VLOOKUP(A956,[1]Sheet1!$A$2:$J$1141,10,0)</f>
        <v>Section of Plant Site Packer &amp; Bulk Opr</v>
      </c>
      <c r="M956" s="2">
        <v>28231</v>
      </c>
      <c r="N956" s="1" t="s">
        <v>29</v>
      </c>
      <c r="O956" s="1" t="s">
        <v>30</v>
      </c>
      <c r="P956" s="1" t="s">
        <v>5017</v>
      </c>
      <c r="Q956" s="1" t="s">
        <v>5009</v>
      </c>
      <c r="R956" s="1" t="s">
        <v>5010</v>
      </c>
      <c r="S956" s="1" t="s">
        <v>4938</v>
      </c>
      <c r="T956" s="14">
        <v>48700</v>
      </c>
      <c r="U956" s="1" t="s">
        <v>5018</v>
      </c>
      <c r="V956" s="1" t="s">
        <v>36</v>
      </c>
      <c r="W956" s="3" t="str">
        <f t="shared" si="14"/>
        <v>49 tahun</v>
      </c>
      <c r="X956" s="1" t="s">
        <v>96</v>
      </c>
      <c r="Y956" s="1" t="s">
        <v>56</v>
      </c>
      <c r="Z956" s="2">
        <v>38718</v>
      </c>
      <c r="AA956" s="2">
        <v>41030</v>
      </c>
      <c r="AB956" s="2" t="s">
        <v>5019</v>
      </c>
    </row>
    <row r="957" spans="1:28" x14ac:dyDescent="0.35">
      <c r="A957" s="12">
        <v>5035</v>
      </c>
      <c r="B957" s="12">
        <v>7495111</v>
      </c>
      <c r="C957" s="12" t="s">
        <v>50</v>
      </c>
      <c r="D957" s="12">
        <v>50069120</v>
      </c>
      <c r="E957" s="1" t="s">
        <v>5020</v>
      </c>
      <c r="F957" s="1" t="str">
        <f>VLOOKUP(A957,[1]Sheet1!$A$2:$E$1141,5,0)</f>
        <v>Spv of Plant Cement Silo Operation</v>
      </c>
      <c r="G957" s="17" t="str">
        <f>VLOOKUP(A957,[1]Sheet1!$A$2:$F$1141,6,0)</f>
        <v>Supervisor</v>
      </c>
      <c r="H957" s="1" t="s">
        <v>4934</v>
      </c>
      <c r="I957" s="1" t="s">
        <v>1117</v>
      </c>
      <c r="J957" s="1" t="str">
        <f>VLOOKUP(A957,[1]Sheet1!$A$2:$H$1141,8,0)</f>
        <v>Dept. of Infrastructure</v>
      </c>
      <c r="K957" s="1" t="str">
        <f>VLOOKUP(A957,[1]Sheet1!$A$2:$I$1141,9,0)</f>
        <v>Unit of Plant &amp; Port Prod Discharge Opr</v>
      </c>
      <c r="L957" s="1" t="str">
        <f>VLOOKUP(A957,[1]Sheet1!$A$2:$J$1141,10,0)</f>
        <v>Section of Plant Site Packer &amp; Bulk Opr</v>
      </c>
      <c r="M957" s="2">
        <v>27176</v>
      </c>
      <c r="N957" s="1" t="s">
        <v>29</v>
      </c>
      <c r="O957" s="1" t="s">
        <v>30</v>
      </c>
      <c r="P957" s="1" t="s">
        <v>5021</v>
      </c>
      <c r="Q957" s="1" t="s">
        <v>5009</v>
      </c>
      <c r="R957" s="1" t="s">
        <v>5010</v>
      </c>
      <c r="S957" s="1" t="s">
        <v>4938</v>
      </c>
      <c r="T957" s="14">
        <v>47635</v>
      </c>
      <c r="U957" s="1" t="s">
        <v>5022</v>
      </c>
      <c r="V957" s="1" t="s">
        <v>36</v>
      </c>
      <c r="W957" s="3" t="str">
        <f t="shared" si="14"/>
        <v>52 tahun</v>
      </c>
      <c r="X957" s="1" t="s">
        <v>55</v>
      </c>
      <c r="Y957" s="1" t="s">
        <v>56</v>
      </c>
      <c r="Z957" s="2">
        <v>34932</v>
      </c>
      <c r="AA957" s="2">
        <v>35309</v>
      </c>
      <c r="AB957" s="2" t="s">
        <v>5023</v>
      </c>
    </row>
    <row r="958" spans="1:28" x14ac:dyDescent="0.35">
      <c r="A958" s="12">
        <v>5104</v>
      </c>
      <c r="B958" s="12">
        <v>7502261</v>
      </c>
      <c r="C958" s="12" t="s">
        <v>164</v>
      </c>
      <c r="D958" s="12">
        <v>50069121</v>
      </c>
      <c r="E958" s="1" t="s">
        <v>5024</v>
      </c>
      <c r="F958" s="1" t="str">
        <f>VLOOKUP(A958,[1]Sheet1!$A$2:$E$1141,5,0)</f>
        <v>Autonomous Packer 2345 &amp; BC Jr Officer</v>
      </c>
      <c r="G958" s="17" t="str">
        <f>VLOOKUP(A958,[1]Sheet1!$A$2:$F$1141,6,0)</f>
        <v>Supervisor</v>
      </c>
      <c r="H958" s="1" t="s">
        <v>4934</v>
      </c>
      <c r="I958" s="1" t="s">
        <v>1117</v>
      </c>
      <c r="J958" s="1" t="str">
        <f>VLOOKUP(A958,[1]Sheet1!$A$2:$H$1141,8,0)</f>
        <v>Dept. of Infrastructure</v>
      </c>
      <c r="K958" s="1" t="str">
        <f>VLOOKUP(A958,[1]Sheet1!$A$2:$I$1141,9,0)</f>
        <v>Unit of Plant &amp; Port Prod Discharge Opr</v>
      </c>
      <c r="L958" s="1" t="str">
        <f>VLOOKUP(A958,[1]Sheet1!$A$2:$J$1141,10,0)</f>
        <v>Section of Plant Site Packer &amp; Bulk Opr</v>
      </c>
      <c r="M958" s="2">
        <v>27414</v>
      </c>
      <c r="N958" s="1" t="s">
        <v>29</v>
      </c>
      <c r="O958" s="1" t="s">
        <v>30</v>
      </c>
      <c r="P958" s="1" t="s">
        <v>5025</v>
      </c>
      <c r="Q958" s="1" t="s">
        <v>5026</v>
      </c>
      <c r="R958" s="1" t="s">
        <v>5027</v>
      </c>
      <c r="S958" s="1" t="s">
        <v>4938</v>
      </c>
      <c r="T958" s="14">
        <v>47880</v>
      </c>
      <c r="U958" s="1" t="s">
        <v>5028</v>
      </c>
      <c r="V958" s="1" t="s">
        <v>36</v>
      </c>
      <c r="W958" s="3" t="str">
        <f t="shared" si="14"/>
        <v>51 tahun</v>
      </c>
      <c r="X958" s="1" t="s">
        <v>2128</v>
      </c>
      <c r="Y958" s="1" t="s">
        <v>56</v>
      </c>
      <c r="Z958" s="2">
        <v>37469</v>
      </c>
      <c r="AA958" s="2">
        <v>38718</v>
      </c>
      <c r="AB958" s="2" t="s">
        <v>84</v>
      </c>
    </row>
    <row r="959" spans="1:28" x14ac:dyDescent="0.35">
      <c r="A959" s="12">
        <v>6221</v>
      </c>
      <c r="B959" s="12">
        <v>9112387</v>
      </c>
      <c r="C959" s="12" t="s">
        <v>103</v>
      </c>
      <c r="D959" s="12">
        <v>50069122</v>
      </c>
      <c r="E959" s="1" t="s">
        <v>5029</v>
      </c>
      <c r="F959" s="1" t="str">
        <f>VLOOKUP(A959,[1]Sheet1!$A$2:$E$1141,5,0)</f>
        <v>Autonomous Packer 2345 &amp; BC Jr Officer</v>
      </c>
      <c r="G959" s="17" t="str">
        <f>VLOOKUP(A959,[1]Sheet1!$A$2:$F$1141,6,0)</f>
        <v>Supervisor</v>
      </c>
      <c r="H959" s="1" t="s">
        <v>4934</v>
      </c>
      <c r="I959" s="1" t="s">
        <v>1117</v>
      </c>
      <c r="J959" s="1" t="str">
        <f>VLOOKUP(A959,[1]Sheet1!$A$2:$H$1141,8,0)</f>
        <v>Dept. of Infrastructure</v>
      </c>
      <c r="K959" s="1" t="str">
        <f>VLOOKUP(A959,[1]Sheet1!$A$2:$I$1141,9,0)</f>
        <v>Unit of Plant &amp; Port Prod Discharge Opr</v>
      </c>
      <c r="L959" s="1" t="str">
        <f>VLOOKUP(A959,[1]Sheet1!$A$2:$J$1141,10,0)</f>
        <v>Section of Plant Site Packer &amp; Bulk Opr</v>
      </c>
      <c r="M959" s="2">
        <v>33564</v>
      </c>
      <c r="N959" s="1" t="s">
        <v>29</v>
      </c>
      <c r="O959" s="1" t="s">
        <v>30</v>
      </c>
      <c r="P959" s="1" t="s">
        <v>5030</v>
      </c>
      <c r="Q959" s="1" t="s">
        <v>5026</v>
      </c>
      <c r="R959" s="1" t="s">
        <v>5027</v>
      </c>
      <c r="S959" s="1" t="s">
        <v>4938</v>
      </c>
      <c r="T959" s="14">
        <v>54027</v>
      </c>
      <c r="U959" s="1" t="s">
        <v>5031</v>
      </c>
      <c r="V959" s="1" t="s">
        <v>410</v>
      </c>
      <c r="W959" s="3" t="str">
        <f t="shared" si="14"/>
        <v>34 tahun</v>
      </c>
      <c r="X959" s="1" t="s">
        <v>55</v>
      </c>
      <c r="Y959" s="1" t="s">
        <v>56</v>
      </c>
      <c r="Z959" s="2">
        <v>41275</v>
      </c>
      <c r="AA959" s="2">
        <v>41395</v>
      </c>
      <c r="AB959" s="2" t="s">
        <v>5032</v>
      </c>
    </row>
    <row r="960" spans="1:28" x14ac:dyDescent="0.35">
      <c r="A960" s="12">
        <v>6088</v>
      </c>
      <c r="B960" s="12">
        <v>9012256</v>
      </c>
      <c r="C960" s="12" t="s">
        <v>103</v>
      </c>
      <c r="D960" s="12">
        <v>50069138</v>
      </c>
      <c r="E960" s="1" t="s">
        <v>5033</v>
      </c>
      <c r="F960" s="1" t="str">
        <f>VLOOKUP(A960,[1]Sheet1!$A$2:$E$1141,5,0)</f>
        <v>Autonomous Packer 2345 &amp; BC Jr Officer</v>
      </c>
      <c r="G960" s="17" t="str">
        <f>VLOOKUP(A960,[1]Sheet1!$A$2:$F$1141,6,0)</f>
        <v>Supervisor</v>
      </c>
      <c r="H960" s="1" t="s">
        <v>4934</v>
      </c>
      <c r="I960" s="1" t="s">
        <v>1117</v>
      </c>
      <c r="J960" s="1" t="str">
        <f>VLOOKUP(A960,[1]Sheet1!$A$2:$H$1141,8,0)</f>
        <v>Dept. of Infrastructure</v>
      </c>
      <c r="K960" s="1" t="str">
        <f>VLOOKUP(A960,[1]Sheet1!$A$2:$I$1141,9,0)</f>
        <v>Unit of Plant &amp; Port Prod Discharge Opr</v>
      </c>
      <c r="L960" s="1" t="str">
        <f>VLOOKUP(A960,[1]Sheet1!$A$2:$J$1141,10,0)</f>
        <v>Section of Plant Site Packer &amp; Bulk Opr</v>
      </c>
      <c r="M960" s="2">
        <v>32988</v>
      </c>
      <c r="N960" s="1" t="s">
        <v>29</v>
      </c>
      <c r="O960" s="1" t="s">
        <v>30</v>
      </c>
      <c r="P960" s="1" t="s">
        <v>5034</v>
      </c>
      <c r="Q960" s="1" t="s">
        <v>5026</v>
      </c>
      <c r="R960" s="1" t="s">
        <v>5027</v>
      </c>
      <c r="S960" s="1" t="s">
        <v>4938</v>
      </c>
      <c r="T960" s="14">
        <v>53448</v>
      </c>
      <c r="U960" s="1" t="s">
        <v>5035</v>
      </c>
      <c r="V960" s="1" t="s">
        <v>36</v>
      </c>
      <c r="W960" s="3" t="str">
        <f t="shared" si="14"/>
        <v>36 tahun</v>
      </c>
      <c r="X960" s="1" t="s">
        <v>204</v>
      </c>
      <c r="Y960" s="1" t="s">
        <v>56</v>
      </c>
      <c r="Z960" s="2">
        <v>41275</v>
      </c>
      <c r="AA960" s="2">
        <v>41426</v>
      </c>
      <c r="AB960" s="2" t="s">
        <v>5036</v>
      </c>
    </row>
    <row r="961" spans="1:28" x14ac:dyDescent="0.35">
      <c r="A961" s="12">
        <v>6183</v>
      </c>
      <c r="B961" s="12">
        <v>9112350</v>
      </c>
      <c r="C961" s="12" t="s">
        <v>103</v>
      </c>
      <c r="D961" s="12">
        <v>50069139</v>
      </c>
      <c r="E961" s="1" t="s">
        <v>5037</v>
      </c>
      <c r="F961" s="1" t="str">
        <f>VLOOKUP(A961,[1]Sheet1!$A$2:$E$1141,5,0)</f>
        <v>Autonomous Packer 2345 &amp; BC Jr Officer</v>
      </c>
      <c r="G961" s="17" t="str">
        <f>VLOOKUP(A961,[1]Sheet1!$A$2:$F$1141,6,0)</f>
        <v>Supervisor</v>
      </c>
      <c r="H961" s="1" t="s">
        <v>4934</v>
      </c>
      <c r="I961" s="1" t="s">
        <v>1117</v>
      </c>
      <c r="J961" s="1" t="str">
        <f>VLOOKUP(A961,[1]Sheet1!$A$2:$H$1141,8,0)</f>
        <v>Dept. of Infrastructure</v>
      </c>
      <c r="K961" s="1" t="str">
        <f>VLOOKUP(A961,[1]Sheet1!$A$2:$I$1141,9,0)</f>
        <v>Unit of Plant &amp; Port Prod Discharge Opr</v>
      </c>
      <c r="L961" s="1" t="str">
        <f>VLOOKUP(A961,[1]Sheet1!$A$2:$J$1141,10,0)</f>
        <v>Section of Plant Site Packer &amp; Bulk Opr</v>
      </c>
      <c r="M961" s="2">
        <v>33403</v>
      </c>
      <c r="N961" s="1" t="s">
        <v>29</v>
      </c>
      <c r="O961" s="1" t="s">
        <v>30</v>
      </c>
      <c r="P961" s="1" t="s">
        <v>5038</v>
      </c>
      <c r="Q961" s="1" t="s">
        <v>5026</v>
      </c>
      <c r="R961" s="1" t="s">
        <v>5027</v>
      </c>
      <c r="S961" s="1" t="s">
        <v>4938</v>
      </c>
      <c r="T961" s="14">
        <v>53874</v>
      </c>
      <c r="U961" s="1" t="s">
        <v>5039</v>
      </c>
      <c r="V961" s="1" t="s">
        <v>36</v>
      </c>
      <c r="W961" s="3" t="str">
        <f t="shared" si="14"/>
        <v>35 tahun</v>
      </c>
      <c r="X961" s="1" t="s">
        <v>121</v>
      </c>
      <c r="Y961" s="1" t="s">
        <v>48</v>
      </c>
      <c r="Z961" s="2">
        <v>41275</v>
      </c>
      <c r="AA961" s="2">
        <v>41426</v>
      </c>
      <c r="AB961" s="2" t="s">
        <v>5040</v>
      </c>
    </row>
    <row r="962" spans="1:28" x14ac:dyDescent="0.35">
      <c r="A962" s="12">
        <v>5243</v>
      </c>
      <c r="B962" s="12">
        <v>8008004</v>
      </c>
      <c r="C962" s="12" t="s">
        <v>25</v>
      </c>
      <c r="D962" s="12">
        <v>50069123</v>
      </c>
      <c r="E962" s="15" t="s">
        <v>5041</v>
      </c>
      <c r="F962" s="1" t="str">
        <f>VLOOKUP(A962,[1]Sheet1!$A$2:$E$1141,5,0)</f>
        <v>SM of Interplant Logistic</v>
      </c>
      <c r="G962" s="15" t="str">
        <f>VLOOKUP(A962,[1]Sheet1!$A$2:$F$1141,6,0)</f>
        <v>Senior Manager</v>
      </c>
      <c r="H962" s="1" t="s">
        <v>5042</v>
      </c>
      <c r="I962" s="1" t="s">
        <v>1117</v>
      </c>
      <c r="J962" s="1" t="str">
        <f>VLOOKUP(A962,[1]Sheet1!$A$2:$H$1141,8,0)</f>
        <v>Dept. of Infrastructure</v>
      </c>
      <c r="K962" s="1" t="str">
        <f>VLOOKUP(A962,[1]Sheet1!$A$2:$I$1141,9,0)</f>
        <v>Unit of Interplant Logistic</v>
      </c>
      <c r="L962" s="1" t="e">
        <f>VLOOKUP(A962,[1]Sheet1!$A$2:$J$1141,10,0)</f>
        <v>#REF!</v>
      </c>
      <c r="M962" s="2">
        <v>29325</v>
      </c>
      <c r="N962" s="1" t="s">
        <v>29</v>
      </c>
      <c r="O962" s="1" t="s">
        <v>30</v>
      </c>
      <c r="P962" s="1" t="s">
        <v>5043</v>
      </c>
      <c r="Q962" s="1" t="s">
        <v>5044</v>
      </c>
      <c r="R962" s="1" t="s">
        <v>5045</v>
      </c>
      <c r="S962" s="1" t="s">
        <v>5046</v>
      </c>
      <c r="T962" s="14">
        <v>49796</v>
      </c>
      <c r="U962" s="1" t="s">
        <v>5047</v>
      </c>
      <c r="V962" s="1" t="s">
        <v>36</v>
      </c>
      <c r="W962" s="3" t="str">
        <f t="shared" si="14"/>
        <v>46 tahun</v>
      </c>
      <c r="X962" s="1" t="s">
        <v>5048</v>
      </c>
      <c r="Y962" s="1" t="s">
        <v>48</v>
      </c>
      <c r="Z962" s="2">
        <v>39814</v>
      </c>
      <c r="AA962" s="2">
        <v>39934</v>
      </c>
      <c r="AB962" s="2" t="s">
        <v>5049</v>
      </c>
    </row>
    <row r="963" spans="1:28" x14ac:dyDescent="0.35">
      <c r="A963" s="12">
        <v>5262</v>
      </c>
      <c r="B963" s="12">
        <v>8108015</v>
      </c>
      <c r="C963" s="12" t="s">
        <v>25</v>
      </c>
      <c r="D963" s="12">
        <v>50069124</v>
      </c>
      <c r="E963" s="16" t="s">
        <v>5050</v>
      </c>
      <c r="F963" s="1" t="str">
        <f>VLOOKUP(A963,[1]Sheet1!$A$2:$E$1141,5,0)</f>
        <v>Mgr of Plan Eval &amp; Product Distribution</v>
      </c>
      <c r="G963" s="16" t="str">
        <f>VLOOKUP(A963,[1]Sheet1!$A$2:$F$1141,6,0)</f>
        <v>Manager</v>
      </c>
      <c r="H963" s="1" t="s">
        <v>5051</v>
      </c>
      <c r="I963" s="1" t="s">
        <v>1117</v>
      </c>
      <c r="J963" s="1" t="str">
        <f>VLOOKUP(A963,[1]Sheet1!$A$2:$H$1141,8,0)</f>
        <v>Dept. of Infrastructure</v>
      </c>
      <c r="K963" s="1" t="str">
        <f>VLOOKUP(A963,[1]Sheet1!$A$2:$I$1141,9,0)</f>
        <v>Unit of Interplant Logistic</v>
      </c>
      <c r="L963" s="1" t="str">
        <f>VLOOKUP(A963,[1]Sheet1!$A$2:$J$1141,10,0)</f>
        <v>Section of Plan Eval &amp; Prod Distribution</v>
      </c>
      <c r="M963" s="2">
        <v>29781</v>
      </c>
      <c r="N963" s="1" t="s">
        <v>29</v>
      </c>
      <c r="O963" s="1" t="s">
        <v>30</v>
      </c>
      <c r="P963" s="1" t="s">
        <v>5052</v>
      </c>
      <c r="Q963" s="1" t="s">
        <v>5053</v>
      </c>
      <c r="R963" s="1" t="s">
        <v>5054</v>
      </c>
      <c r="S963" s="1" t="s">
        <v>5055</v>
      </c>
      <c r="T963" s="14">
        <v>50253</v>
      </c>
      <c r="U963" s="1" t="s">
        <v>5056</v>
      </c>
      <c r="V963" s="1" t="s">
        <v>36</v>
      </c>
      <c r="W963" s="3" t="str">
        <f t="shared" ref="W963:W1026" si="15">DATEDIF(M963,$W$1,"Y")&amp;" "&amp;"tahun"</f>
        <v>45 tahun</v>
      </c>
      <c r="X963" s="1" t="s">
        <v>1246</v>
      </c>
      <c r="Y963" s="1" t="s">
        <v>38</v>
      </c>
      <c r="Z963" s="2">
        <v>39814</v>
      </c>
      <c r="AA963" s="2">
        <v>39934</v>
      </c>
      <c r="AB963" s="2" t="s">
        <v>5057</v>
      </c>
    </row>
    <row r="964" spans="1:28" x14ac:dyDescent="0.35">
      <c r="A964" s="12">
        <v>5217</v>
      </c>
      <c r="B964" s="12">
        <v>7695306</v>
      </c>
      <c r="C964" s="12" t="s">
        <v>50</v>
      </c>
      <c r="D964" s="12">
        <v>50069126</v>
      </c>
      <c r="E964" s="1" t="s">
        <v>5058</v>
      </c>
      <c r="F964" s="1" t="str">
        <f>VLOOKUP(A964,[1]Sheet1!$A$2:$E$1141,5,0)</f>
        <v>Plan Eval &amp; Prod Distribution Jr officer</v>
      </c>
      <c r="G964" s="17" t="str">
        <f>VLOOKUP(A964,[1]Sheet1!$A$2:$F$1141,6,0)</f>
        <v>Supervisor</v>
      </c>
      <c r="H964" s="1" t="s">
        <v>5051</v>
      </c>
      <c r="I964" s="1" t="s">
        <v>1117</v>
      </c>
      <c r="J964" s="1" t="str">
        <f>VLOOKUP(A964,[1]Sheet1!$A$2:$H$1141,8,0)</f>
        <v>Dept. of Infrastructure</v>
      </c>
      <c r="K964" s="1" t="str">
        <f>VLOOKUP(A964,[1]Sheet1!$A$2:$I$1141,9,0)</f>
        <v>Unit of Interplant Logistic</v>
      </c>
      <c r="L964" s="1" t="str">
        <f>VLOOKUP(A964,[1]Sheet1!$A$2:$J$1141,10,0)</f>
        <v>Section of Plan Eval &amp; Prod Distribution</v>
      </c>
      <c r="M964" s="2">
        <v>28022</v>
      </c>
      <c r="N964" s="1" t="s">
        <v>59</v>
      </c>
      <c r="O964" s="1" t="s">
        <v>30</v>
      </c>
      <c r="P964" s="1" t="s">
        <v>5059</v>
      </c>
      <c r="Q964" s="1" t="s">
        <v>5060</v>
      </c>
      <c r="R964" s="1" t="s">
        <v>5061</v>
      </c>
      <c r="S964" s="1" t="s">
        <v>5055</v>
      </c>
      <c r="T964" s="14">
        <v>48488</v>
      </c>
      <c r="U964" s="1" t="s">
        <v>5062</v>
      </c>
      <c r="V964" s="1" t="s">
        <v>36</v>
      </c>
      <c r="W964" s="3" t="str">
        <f t="shared" si="15"/>
        <v>49 tahun</v>
      </c>
      <c r="X964" s="1" t="s">
        <v>96</v>
      </c>
      <c r="Y964" s="1" t="s">
        <v>48</v>
      </c>
      <c r="Z964" s="2">
        <v>35034</v>
      </c>
      <c r="AA964" s="2">
        <v>35400</v>
      </c>
      <c r="AB964" s="2" t="s">
        <v>84</v>
      </c>
    </row>
    <row r="965" spans="1:28" x14ac:dyDescent="0.35">
      <c r="A965" s="12">
        <v>4978</v>
      </c>
      <c r="B965" s="12">
        <v>7395279</v>
      </c>
      <c r="C965" s="12" t="s">
        <v>50</v>
      </c>
      <c r="D965" s="12">
        <v>50069127</v>
      </c>
      <c r="E965" s="16" t="s">
        <v>5063</v>
      </c>
      <c r="F965" s="1" t="str">
        <f>VLOOKUP(A965,[1]Sheet1!$A$2:$E$1141,5,0)</f>
        <v>Mgr of Land Interplant &amp; DEPO Mngmnt</v>
      </c>
      <c r="G965" s="16" t="str">
        <f>VLOOKUP(A965,[1]Sheet1!$A$2:$F$1141,6,0)</f>
        <v>Manager</v>
      </c>
      <c r="H965" s="1" t="s">
        <v>5064</v>
      </c>
      <c r="I965" s="1" t="s">
        <v>1117</v>
      </c>
      <c r="J965" s="1" t="str">
        <f>VLOOKUP(A965,[1]Sheet1!$A$2:$H$1141,8,0)</f>
        <v>Dept. of Infrastructure</v>
      </c>
      <c r="K965" s="1" t="str">
        <f>VLOOKUP(A965,[1]Sheet1!$A$2:$I$1141,9,0)</f>
        <v>Unit of Interplant Logistic</v>
      </c>
      <c r="L965" s="1" t="str">
        <f>VLOOKUP(A965,[1]Sheet1!$A$2:$J$1141,10,0)</f>
        <v>Section of Land Interplant &amp; DEPO Mngmnt</v>
      </c>
      <c r="M965" s="2">
        <v>26955</v>
      </c>
      <c r="N965" s="1" t="s">
        <v>29</v>
      </c>
      <c r="O965" s="1" t="s">
        <v>30</v>
      </c>
      <c r="P965" s="1" t="s">
        <v>5065</v>
      </c>
      <c r="Q965" s="1" t="s">
        <v>5066</v>
      </c>
      <c r="R965" s="1" t="s">
        <v>5067</v>
      </c>
      <c r="S965" s="1" t="s">
        <v>5068</v>
      </c>
      <c r="T965" s="14">
        <v>47423</v>
      </c>
      <c r="U965" s="1" t="s">
        <v>5069</v>
      </c>
      <c r="V965" s="1" t="s">
        <v>36</v>
      </c>
      <c r="W965" s="3" t="str">
        <f t="shared" si="15"/>
        <v>52 tahun</v>
      </c>
      <c r="X965" s="1" t="s">
        <v>55</v>
      </c>
      <c r="Y965" s="1" t="s">
        <v>48</v>
      </c>
      <c r="Z965" s="2">
        <v>35034</v>
      </c>
      <c r="AA965" s="2">
        <v>35400</v>
      </c>
      <c r="AB965" s="2" t="s">
        <v>1993</v>
      </c>
    </row>
    <row r="966" spans="1:28" x14ac:dyDescent="0.35">
      <c r="A966" s="12">
        <v>4981</v>
      </c>
      <c r="B966" s="12">
        <v>7395157</v>
      </c>
      <c r="C966" s="12" t="s">
        <v>50</v>
      </c>
      <c r="D966" s="12">
        <v>50069129</v>
      </c>
      <c r="E966" s="1" t="s">
        <v>5070</v>
      </c>
      <c r="F966" s="1" t="str">
        <f>VLOOKUP(A966,[1]Sheet1!$A$2:$E$1141,5,0)</f>
        <v>Land Interplant &amp; DEPO Mngmnt Jr Officer</v>
      </c>
      <c r="G966" s="17" t="str">
        <f>VLOOKUP(A966,[1]Sheet1!$A$2:$F$1141,6,0)</f>
        <v>Supervisor</v>
      </c>
      <c r="H966" s="1" t="s">
        <v>5064</v>
      </c>
      <c r="I966" s="1" t="s">
        <v>1117</v>
      </c>
      <c r="J966" s="1" t="str">
        <f>VLOOKUP(A966,[1]Sheet1!$A$2:$H$1141,8,0)</f>
        <v>Dept. of Infrastructure</v>
      </c>
      <c r="K966" s="1" t="str">
        <f>VLOOKUP(A966,[1]Sheet1!$A$2:$I$1141,9,0)</f>
        <v>Unit of Interplant Logistic</v>
      </c>
      <c r="L966" s="1" t="str">
        <f>VLOOKUP(A966,[1]Sheet1!$A$2:$J$1141,10,0)</f>
        <v>Section of Land Interplant &amp; DEPO Mngmnt</v>
      </c>
      <c r="M966" s="2">
        <v>26991</v>
      </c>
      <c r="N966" s="1" t="s">
        <v>29</v>
      </c>
      <c r="O966" s="1" t="s">
        <v>30</v>
      </c>
      <c r="P966" s="1" t="s">
        <v>5071</v>
      </c>
      <c r="Q966" s="1" t="s">
        <v>5072</v>
      </c>
      <c r="R966" s="1" t="s">
        <v>5073</v>
      </c>
      <c r="S966" s="1" t="s">
        <v>5068</v>
      </c>
      <c r="T966" s="14">
        <v>47453</v>
      </c>
      <c r="U966" s="1" t="s">
        <v>5074</v>
      </c>
      <c r="V966" s="1" t="s">
        <v>186</v>
      </c>
      <c r="W966" s="3" t="str">
        <f t="shared" si="15"/>
        <v>52 tahun</v>
      </c>
      <c r="X966" s="1" t="s">
        <v>1146</v>
      </c>
      <c r="Y966" s="1" t="s">
        <v>56</v>
      </c>
      <c r="Z966" s="2">
        <v>34943</v>
      </c>
      <c r="AA966" s="2">
        <v>35309</v>
      </c>
      <c r="AB966" s="2" t="s">
        <v>5075</v>
      </c>
    </row>
    <row r="967" spans="1:28" x14ac:dyDescent="0.35">
      <c r="A967" s="12">
        <v>4780</v>
      </c>
      <c r="B967" s="12">
        <v>7102173</v>
      </c>
      <c r="C967" s="12" t="s">
        <v>164</v>
      </c>
      <c r="D967" s="12">
        <v>50069131</v>
      </c>
      <c r="E967" s="1" t="s">
        <v>5076</v>
      </c>
      <c r="F967" s="1" t="str">
        <f>VLOOKUP(A967,[1]Sheet1!$A$2:$E$1141,5,0)</f>
        <v>Land Interplant &amp; DEPO Mngmnt Jr Officer</v>
      </c>
      <c r="G967" s="17" t="str">
        <f>VLOOKUP(A967,[1]Sheet1!$A$2:$F$1141,6,0)</f>
        <v>Supervisor</v>
      </c>
      <c r="H967" s="1" t="s">
        <v>5064</v>
      </c>
      <c r="I967" s="1" t="s">
        <v>1117</v>
      </c>
      <c r="J967" s="1" t="str">
        <f>VLOOKUP(A967,[1]Sheet1!$A$2:$H$1141,8,0)</f>
        <v>Dept. of Infrastructure</v>
      </c>
      <c r="K967" s="1" t="str">
        <f>VLOOKUP(A967,[1]Sheet1!$A$2:$I$1141,9,0)</f>
        <v>Unit of Interplant Logistic</v>
      </c>
      <c r="L967" s="1" t="str">
        <f>VLOOKUP(A967,[1]Sheet1!$A$2:$J$1141,10,0)</f>
        <v>Section of Land Interplant &amp; DEPO Mngmnt</v>
      </c>
      <c r="M967" s="2">
        <v>26211</v>
      </c>
      <c r="N967" s="1" t="s">
        <v>29</v>
      </c>
      <c r="O967" s="1" t="s">
        <v>30</v>
      </c>
      <c r="P967" s="1" t="s">
        <v>5077</v>
      </c>
      <c r="Q967" s="1" t="s">
        <v>5072</v>
      </c>
      <c r="R967" s="1" t="s">
        <v>5073</v>
      </c>
      <c r="S967" s="1" t="s">
        <v>5068</v>
      </c>
      <c r="T967" s="14">
        <v>46692</v>
      </c>
      <c r="U967" s="1" t="s">
        <v>5078</v>
      </c>
      <c r="V967" s="1" t="s">
        <v>36</v>
      </c>
      <c r="W967" s="3" t="str">
        <f t="shared" si="15"/>
        <v>54 tahun</v>
      </c>
      <c r="X967" s="1" t="s">
        <v>96</v>
      </c>
      <c r="Y967" s="1" t="s">
        <v>56</v>
      </c>
      <c r="Z967" s="2">
        <v>37469</v>
      </c>
      <c r="AA967" s="2">
        <v>38718</v>
      </c>
      <c r="AB967" s="2" t="s">
        <v>84</v>
      </c>
    </row>
    <row r="968" spans="1:28" x14ac:dyDescent="0.35">
      <c r="A968" s="12">
        <v>5141</v>
      </c>
      <c r="B968" s="12">
        <v>7606522</v>
      </c>
      <c r="C968" s="12" t="s">
        <v>219</v>
      </c>
      <c r="D968" s="12">
        <v>50069132</v>
      </c>
      <c r="E968" s="1" t="s">
        <v>5079</v>
      </c>
      <c r="F968" s="1" t="str">
        <f>VLOOKUP(A968,[1]Sheet1!$A$2:$E$1141,5,0)</f>
        <v>Land Interplant &amp; DEPO Mngmnt Jr Officer</v>
      </c>
      <c r="G968" s="17" t="str">
        <f>VLOOKUP(A968,[1]Sheet1!$A$2:$F$1141,6,0)</f>
        <v>Supervisor</v>
      </c>
      <c r="H968" s="1" t="s">
        <v>5064</v>
      </c>
      <c r="I968" s="1" t="s">
        <v>1117</v>
      </c>
      <c r="J968" s="1" t="str">
        <f>VLOOKUP(A968,[1]Sheet1!$A$2:$H$1141,8,0)</f>
        <v>Dept. of Infrastructure</v>
      </c>
      <c r="K968" s="1" t="str">
        <f>VLOOKUP(A968,[1]Sheet1!$A$2:$I$1141,9,0)</f>
        <v>Unit of Interplant Logistic</v>
      </c>
      <c r="L968" s="1" t="str">
        <f>VLOOKUP(A968,[1]Sheet1!$A$2:$J$1141,10,0)</f>
        <v>Section of Land Interplant &amp; DEPO Mngmnt</v>
      </c>
      <c r="M968" s="2">
        <v>27900</v>
      </c>
      <c r="N968" s="1" t="s">
        <v>29</v>
      </c>
      <c r="O968" s="1" t="s">
        <v>30</v>
      </c>
      <c r="P968" s="1" t="s">
        <v>5080</v>
      </c>
      <c r="Q968" s="1" t="s">
        <v>5072</v>
      </c>
      <c r="R968" s="1" t="s">
        <v>5073</v>
      </c>
      <c r="S968" s="1" t="s">
        <v>5068</v>
      </c>
      <c r="T968" s="14">
        <v>48366</v>
      </c>
      <c r="U968" s="1" t="s">
        <v>5081</v>
      </c>
      <c r="V968" s="1" t="s">
        <v>36</v>
      </c>
      <c r="W968" s="3" t="str">
        <f t="shared" si="15"/>
        <v>50 tahun</v>
      </c>
      <c r="X968" s="1" t="s">
        <v>2961</v>
      </c>
      <c r="Y968" s="1" t="s">
        <v>56</v>
      </c>
      <c r="Z968" s="2">
        <v>38718</v>
      </c>
      <c r="AA968" s="2">
        <v>41030</v>
      </c>
      <c r="AB968" s="2" t="s">
        <v>5082</v>
      </c>
    </row>
    <row r="969" spans="1:28" x14ac:dyDescent="0.35">
      <c r="A969" s="12">
        <v>4741</v>
      </c>
      <c r="B969" s="12">
        <v>7002147</v>
      </c>
      <c r="C969" s="12" t="s">
        <v>164</v>
      </c>
      <c r="D969" s="12">
        <v>50069133</v>
      </c>
      <c r="E969" s="1" t="s">
        <v>5083</v>
      </c>
      <c r="F969" s="1" t="str">
        <f>VLOOKUP(A969,[1]Sheet1!$A$2:$E$1141,5,0)</f>
        <v>Land Interplant &amp; DEPO Mngmnt Jr Officer</v>
      </c>
      <c r="G969" s="17" t="str">
        <f>VLOOKUP(A969,[1]Sheet1!$A$2:$F$1141,6,0)</f>
        <v>Supervisor</v>
      </c>
      <c r="H969" s="1" t="s">
        <v>5064</v>
      </c>
      <c r="I969" s="1" t="s">
        <v>1117</v>
      </c>
      <c r="J969" s="1" t="str">
        <f>VLOOKUP(A969,[1]Sheet1!$A$2:$H$1141,8,0)</f>
        <v>Dept. of Infrastructure</v>
      </c>
      <c r="K969" s="1" t="str">
        <f>VLOOKUP(A969,[1]Sheet1!$A$2:$I$1141,9,0)</f>
        <v>Unit of Interplant Logistic</v>
      </c>
      <c r="L969" s="1" t="str">
        <f>VLOOKUP(A969,[1]Sheet1!$A$2:$J$1141,10,0)</f>
        <v>Section of Land Interplant &amp; DEPO Mngmnt</v>
      </c>
      <c r="M969" s="2">
        <v>25886</v>
      </c>
      <c r="N969" s="1" t="s">
        <v>29</v>
      </c>
      <c r="O969" s="1" t="s">
        <v>30</v>
      </c>
      <c r="P969" s="1" t="s">
        <v>5084</v>
      </c>
      <c r="Q969" s="1" t="s">
        <v>5072</v>
      </c>
      <c r="R969" s="1" t="s">
        <v>5073</v>
      </c>
      <c r="S969" s="1" t="s">
        <v>5068</v>
      </c>
      <c r="T969" s="14">
        <v>46357</v>
      </c>
      <c r="U969" s="1" t="s">
        <v>5085</v>
      </c>
      <c r="V969" s="1" t="s">
        <v>410</v>
      </c>
      <c r="W969" s="3" t="str">
        <f t="shared" si="15"/>
        <v>55 tahun</v>
      </c>
      <c r="X969" s="1" t="s">
        <v>37</v>
      </c>
      <c r="Y969" s="1" t="s">
        <v>56</v>
      </c>
      <c r="Z969" s="2">
        <v>37469</v>
      </c>
      <c r="AA969" s="2">
        <v>38718</v>
      </c>
      <c r="AB969" s="2" t="s">
        <v>5086</v>
      </c>
    </row>
    <row r="970" spans="1:28" x14ac:dyDescent="0.35">
      <c r="A970" s="12">
        <v>4863</v>
      </c>
      <c r="B970" s="12">
        <v>7202199</v>
      </c>
      <c r="C970" s="12" t="s">
        <v>164</v>
      </c>
      <c r="D970" s="12">
        <v>50069881</v>
      </c>
      <c r="E970" s="1" t="s">
        <v>5087</v>
      </c>
      <c r="F970" s="1" t="str">
        <f>VLOOKUP(A970,[1]Sheet1!$A$2:$E$1141,5,0)</f>
        <v>E Land Interplant &amp; DEPO Mgt Adm Officer</v>
      </c>
      <c r="G970" s="17" t="str">
        <f>VLOOKUP(A970,[1]Sheet1!$A$2:$F$1141,6,0)</f>
        <v>Associate</v>
      </c>
      <c r="H970" s="1" t="s">
        <v>5064</v>
      </c>
      <c r="I970" s="1" t="s">
        <v>1117</v>
      </c>
      <c r="J970" s="1" t="str">
        <f>VLOOKUP(A970,[1]Sheet1!$A$2:$H$1141,8,0)</f>
        <v>Dept. of Infrastructure</v>
      </c>
      <c r="K970" s="1" t="str">
        <f>VLOOKUP(A970,[1]Sheet1!$A$2:$I$1141,9,0)</f>
        <v>Unit of Interplant Logistic</v>
      </c>
      <c r="L970" s="1" t="str">
        <f>VLOOKUP(A970,[1]Sheet1!$A$2:$J$1141,10,0)</f>
        <v>Section of Land Interplant &amp; DEPO Mngmnt</v>
      </c>
      <c r="M970" s="2">
        <v>26535</v>
      </c>
      <c r="N970" s="1" t="s">
        <v>29</v>
      </c>
      <c r="O970" s="1" t="s">
        <v>30</v>
      </c>
      <c r="P970" s="1" t="s">
        <v>5088</v>
      </c>
      <c r="Q970" s="1" t="s">
        <v>5072</v>
      </c>
      <c r="R970" s="1" t="s">
        <v>5073</v>
      </c>
      <c r="S970" s="1" t="s">
        <v>5068</v>
      </c>
      <c r="T970" s="14">
        <v>46997</v>
      </c>
      <c r="U970" s="18" t="s">
        <v>5089</v>
      </c>
      <c r="V970" s="1" t="s">
        <v>36</v>
      </c>
      <c r="W970" s="3" t="str">
        <f t="shared" si="15"/>
        <v>54 tahun</v>
      </c>
      <c r="X970" s="1" t="s">
        <v>121</v>
      </c>
      <c r="Y970" s="1" t="s">
        <v>56</v>
      </c>
      <c r="Z970" s="2">
        <v>37469</v>
      </c>
      <c r="AA970" s="2">
        <v>38718</v>
      </c>
      <c r="AB970" s="2" t="s">
        <v>5090</v>
      </c>
    </row>
    <row r="971" spans="1:28" x14ac:dyDescent="0.35">
      <c r="A971" s="12">
        <v>4853</v>
      </c>
      <c r="B971" s="12">
        <v>7202193</v>
      </c>
      <c r="C971" s="12" t="s">
        <v>164</v>
      </c>
      <c r="D971" s="12">
        <v>50069134</v>
      </c>
      <c r="E971" s="16" t="s">
        <v>5091</v>
      </c>
      <c r="F971" s="1" t="str">
        <f>VLOOKUP(A971,[1]Sheet1!$A$2:$E$1141,5,0)</f>
        <v>Mgr of Sea Interplant</v>
      </c>
      <c r="G971" s="16" t="str">
        <f>VLOOKUP(A971,[1]Sheet1!$A$2:$F$1141,6,0)</f>
        <v>Manager</v>
      </c>
      <c r="H971" s="1" t="s">
        <v>5092</v>
      </c>
      <c r="I971" s="1" t="s">
        <v>1117</v>
      </c>
      <c r="J971" s="1" t="str">
        <f>VLOOKUP(A971,[1]Sheet1!$A$2:$H$1141,8,0)</f>
        <v>Dept. of Infrastructure</v>
      </c>
      <c r="K971" s="1" t="str">
        <f>VLOOKUP(A971,[1]Sheet1!$A$2:$I$1141,9,0)</f>
        <v>Unit of Interplant Logistic</v>
      </c>
      <c r="L971" s="1" t="str">
        <f>VLOOKUP(A971,[1]Sheet1!$A$2:$J$1141,10,0)</f>
        <v>Section of Sea Interplant</v>
      </c>
      <c r="M971" s="2">
        <v>26500</v>
      </c>
      <c r="N971" s="1" t="s">
        <v>29</v>
      </c>
      <c r="O971" s="1" t="s">
        <v>30</v>
      </c>
      <c r="P971" s="1" t="s">
        <v>5093</v>
      </c>
      <c r="Q971" s="1" t="s">
        <v>5094</v>
      </c>
      <c r="R971" s="1" t="s">
        <v>5095</v>
      </c>
      <c r="S971" s="1" t="s">
        <v>5096</v>
      </c>
      <c r="T971" s="14">
        <v>46966</v>
      </c>
      <c r="U971" s="1" t="s">
        <v>5097</v>
      </c>
      <c r="V971" s="1" t="s">
        <v>36</v>
      </c>
      <c r="W971" s="3" t="str">
        <f t="shared" si="15"/>
        <v>54 tahun</v>
      </c>
      <c r="X971" s="1" t="s">
        <v>37</v>
      </c>
      <c r="Y971" s="1" t="s">
        <v>48</v>
      </c>
      <c r="Z971" s="2">
        <v>37469</v>
      </c>
      <c r="AA971" s="2">
        <v>38718</v>
      </c>
      <c r="AB971" s="2" t="s">
        <v>84</v>
      </c>
    </row>
    <row r="972" spans="1:28" x14ac:dyDescent="0.35">
      <c r="A972" s="12">
        <v>4533</v>
      </c>
      <c r="B972" s="12">
        <v>7306404</v>
      </c>
      <c r="C972" s="12" t="s">
        <v>219</v>
      </c>
      <c r="D972" s="12">
        <v>50069136</v>
      </c>
      <c r="E972" s="1" t="s">
        <v>879</v>
      </c>
      <c r="F972" s="1" t="str">
        <f>VLOOKUP(A972,[1]Sheet1!$A$2:$E$1141,5,0)</f>
        <v>Sea Interplant Jr officer</v>
      </c>
      <c r="G972" s="17" t="str">
        <f>VLOOKUP(A972,[1]Sheet1!$A$2:$F$1141,6,0)</f>
        <v>Supervisor</v>
      </c>
      <c r="H972" s="1" t="s">
        <v>5092</v>
      </c>
      <c r="I972" s="1" t="s">
        <v>1117</v>
      </c>
      <c r="J972" s="1" t="str">
        <f>VLOOKUP(A972,[1]Sheet1!$A$2:$H$1141,8,0)</f>
        <v>Dept. of Infrastructure</v>
      </c>
      <c r="K972" s="1" t="str">
        <f>VLOOKUP(A972,[1]Sheet1!$A$2:$I$1141,9,0)</f>
        <v>Unit of Interplant Logistic</v>
      </c>
      <c r="L972" s="1" t="str">
        <f>VLOOKUP(A972,[1]Sheet1!$A$2:$J$1141,10,0)</f>
        <v>Section of Sea Interplant</v>
      </c>
      <c r="M972" s="2">
        <v>26881</v>
      </c>
      <c r="N972" s="1" t="s">
        <v>29</v>
      </c>
      <c r="O972" s="1" t="s">
        <v>30</v>
      </c>
      <c r="P972" s="1" t="s">
        <v>5098</v>
      </c>
      <c r="Q972" s="1" t="s">
        <v>5099</v>
      </c>
      <c r="R972" s="1" t="s">
        <v>5100</v>
      </c>
      <c r="S972" s="1" t="s">
        <v>5096</v>
      </c>
      <c r="T972" s="14">
        <v>47362</v>
      </c>
      <c r="U972" s="1" t="s">
        <v>5101</v>
      </c>
      <c r="V972" s="1" t="s">
        <v>36</v>
      </c>
      <c r="W972" s="3" t="str">
        <f t="shared" si="15"/>
        <v>53 tahun</v>
      </c>
      <c r="X972" s="1" t="s">
        <v>5102</v>
      </c>
      <c r="Y972" s="1" t="s">
        <v>56</v>
      </c>
      <c r="Z972" s="2">
        <v>38718</v>
      </c>
      <c r="AA972" s="2">
        <v>41030</v>
      </c>
      <c r="AB972" s="2" t="s">
        <v>5103</v>
      </c>
    </row>
    <row r="973" spans="1:28" x14ac:dyDescent="0.35">
      <c r="A973" s="12">
        <v>4999</v>
      </c>
      <c r="B973" s="12">
        <v>7402242</v>
      </c>
      <c r="C973" s="12" t="s">
        <v>164</v>
      </c>
      <c r="D973" s="12">
        <v>50069137</v>
      </c>
      <c r="E973" s="1" t="s">
        <v>5104</v>
      </c>
      <c r="F973" s="1" t="str">
        <f>VLOOKUP(A973,[1]Sheet1!$A$2:$E$1141,5,0)</f>
        <v>Sea Interplant Jr officer</v>
      </c>
      <c r="G973" s="17" t="str">
        <f>VLOOKUP(A973,[1]Sheet1!$A$2:$F$1141,6,0)</f>
        <v>Supervisor</v>
      </c>
      <c r="H973" s="1" t="s">
        <v>5092</v>
      </c>
      <c r="I973" s="1" t="s">
        <v>1117</v>
      </c>
      <c r="J973" s="1" t="str">
        <f>VLOOKUP(A973,[1]Sheet1!$A$2:$H$1141,8,0)</f>
        <v>Dept. of Infrastructure</v>
      </c>
      <c r="K973" s="1" t="str">
        <f>VLOOKUP(A973,[1]Sheet1!$A$2:$I$1141,9,0)</f>
        <v>Unit of Interplant Logistic</v>
      </c>
      <c r="L973" s="1" t="str">
        <f>VLOOKUP(A973,[1]Sheet1!$A$2:$J$1141,10,0)</f>
        <v>Section of Sea Interplant</v>
      </c>
      <c r="M973" s="2">
        <v>27061</v>
      </c>
      <c r="N973" s="1" t="s">
        <v>29</v>
      </c>
      <c r="O973" s="1" t="s">
        <v>30</v>
      </c>
      <c r="P973" s="1" t="s">
        <v>5105</v>
      </c>
      <c r="Q973" s="1" t="s">
        <v>5099</v>
      </c>
      <c r="R973" s="1" t="s">
        <v>5100</v>
      </c>
      <c r="S973" s="1" t="s">
        <v>5096</v>
      </c>
      <c r="T973" s="14">
        <v>47543</v>
      </c>
      <c r="U973" s="1" t="s">
        <v>5106</v>
      </c>
      <c r="V973" s="1" t="s">
        <v>36</v>
      </c>
      <c r="W973" s="3" t="str">
        <f t="shared" si="15"/>
        <v>52 tahun</v>
      </c>
      <c r="X973" s="1" t="s">
        <v>107</v>
      </c>
      <c r="Y973" s="1" t="s">
        <v>56</v>
      </c>
      <c r="Z973" s="2">
        <v>37469</v>
      </c>
      <c r="AA973" s="2">
        <v>38718</v>
      </c>
      <c r="AB973" s="2" t="s">
        <v>5107</v>
      </c>
    </row>
    <row r="974" spans="1:28" x14ac:dyDescent="0.35">
      <c r="A974" s="12">
        <v>5362</v>
      </c>
      <c r="B974" s="12">
        <v>8510037</v>
      </c>
      <c r="C974" s="12" t="s">
        <v>139</v>
      </c>
      <c r="D974" s="12">
        <v>50008480</v>
      </c>
      <c r="E974" s="15" t="s">
        <v>5108</v>
      </c>
      <c r="F974" s="1" t="str">
        <f>VLOOKUP(A974,[1]Sheet1!$A$2:$E$1141,5,0)</f>
        <v>SM of Quality Control</v>
      </c>
      <c r="G974" s="15" t="str">
        <f>VLOOKUP(A974,[1]Sheet1!$A$2:$F$1141,6,0)</f>
        <v>Senior Manager</v>
      </c>
      <c r="H974" s="1" t="s">
        <v>1466</v>
      </c>
      <c r="I974" s="1" t="s">
        <v>1117</v>
      </c>
      <c r="J974" s="1" t="str">
        <f>VLOOKUP(A974,[1]Sheet1!$A$2:$H$1141,8,0)</f>
        <v>Dept. of Production Planning &amp; Control</v>
      </c>
      <c r="K974" s="1" t="str">
        <f>VLOOKUP(A974,[1]Sheet1!$A$2:$I$1141,9,0)</f>
        <v>Unit of Quality Control</v>
      </c>
      <c r="L974" s="1" t="e">
        <f>VLOOKUP(A974,[1]Sheet1!$A$2:$J$1141,10,0)</f>
        <v>#REF!</v>
      </c>
      <c r="M974" s="2">
        <v>31369</v>
      </c>
      <c r="N974" s="1" t="s">
        <v>29</v>
      </c>
      <c r="O974" s="1" t="s">
        <v>30</v>
      </c>
      <c r="P974" s="1" t="s">
        <v>5109</v>
      </c>
      <c r="Q974" s="1" t="s">
        <v>5110</v>
      </c>
      <c r="R974" s="1" t="s">
        <v>5111</v>
      </c>
      <c r="S974" s="1" t="s">
        <v>1470</v>
      </c>
      <c r="T974" s="14">
        <v>51836</v>
      </c>
      <c r="U974" s="1" t="s">
        <v>5112</v>
      </c>
      <c r="V974" s="1" t="s">
        <v>36</v>
      </c>
      <c r="W974" s="3" t="str">
        <f t="shared" si="15"/>
        <v>40 tahun</v>
      </c>
      <c r="X974" s="1" t="s">
        <v>37</v>
      </c>
      <c r="Y974" s="1" t="s">
        <v>48</v>
      </c>
      <c r="Z974" s="2">
        <v>40544</v>
      </c>
      <c r="AA974" s="2">
        <v>40664</v>
      </c>
      <c r="AB974" s="2" t="s">
        <v>5113</v>
      </c>
    </row>
    <row r="975" spans="1:28" x14ac:dyDescent="0.35">
      <c r="A975" s="12">
        <v>5410</v>
      </c>
      <c r="B975" s="12">
        <v>8810087</v>
      </c>
      <c r="C975" s="12" t="s">
        <v>139</v>
      </c>
      <c r="D975" s="12">
        <v>50007868</v>
      </c>
      <c r="E975" s="16" t="s">
        <v>5114</v>
      </c>
      <c r="F975" s="1" t="str">
        <f>VLOOKUP(A975,[1]Sheet1!$A$2:$E$1141,5,0)</f>
        <v>Mgr of Line 4/5 Kiln &amp; CM Mach Maint</v>
      </c>
      <c r="G975" s="16" t="str">
        <f>VLOOKUP(A975,[1]Sheet1!$A$2:$F$1141,6,0)</f>
        <v>Manager</v>
      </c>
      <c r="H975" s="1" t="s">
        <v>2638</v>
      </c>
      <c r="I975" s="1" t="s">
        <v>1117</v>
      </c>
      <c r="J975" s="1" t="str">
        <f>VLOOKUP(A975,[1]Sheet1!$A$2:$H$1141,8,0)</f>
        <v>Dept. of Maintenance</v>
      </c>
      <c r="K975" s="1" t="str">
        <f>VLOOKUP(A975,[1]Sheet1!$A$2:$I$1141,9,0)</f>
        <v>Unit of Machine Maintenance 2</v>
      </c>
      <c r="L975" s="1" t="str">
        <f>VLOOKUP(A975,[1]Sheet1!$A$2:$J$1141,10,0)</f>
        <v>Section of Line 4/5 Kiln &amp; CM Mach Maint</v>
      </c>
      <c r="M975" s="2">
        <v>32230</v>
      </c>
      <c r="N975" s="1" t="s">
        <v>29</v>
      </c>
      <c r="O975" s="1" t="s">
        <v>30</v>
      </c>
      <c r="P975" s="1" t="s">
        <v>5115</v>
      </c>
      <c r="Q975" s="1" t="s">
        <v>5116</v>
      </c>
      <c r="R975" s="1" t="s">
        <v>5117</v>
      </c>
      <c r="S975" s="1" t="s">
        <v>2642</v>
      </c>
      <c r="T975" s="14">
        <v>52688</v>
      </c>
      <c r="U975" s="1" t="s">
        <v>5118</v>
      </c>
      <c r="V975" s="1" t="s">
        <v>36</v>
      </c>
      <c r="W975" s="3" t="str">
        <f t="shared" si="15"/>
        <v>38 tahun</v>
      </c>
      <c r="X975" s="1" t="s">
        <v>55</v>
      </c>
      <c r="Y975" s="1" t="s">
        <v>48</v>
      </c>
      <c r="Z975" s="2">
        <v>40544</v>
      </c>
      <c r="AA975" s="2">
        <v>40664</v>
      </c>
      <c r="AB975" s="2" t="s">
        <v>5119</v>
      </c>
    </row>
    <row r="976" spans="1:28" x14ac:dyDescent="0.35">
      <c r="A976" s="12">
        <v>4922</v>
      </c>
      <c r="B976" s="12">
        <v>7395275</v>
      </c>
      <c r="C976" s="12" t="s">
        <v>50</v>
      </c>
      <c r="D976" s="12">
        <v>50068320</v>
      </c>
      <c r="E976" s="15" t="s">
        <v>5120</v>
      </c>
      <c r="F976" s="1" t="str">
        <f>VLOOKUP(A976,[1]Sheet1!$A$2:$E$1141,5,0)</f>
        <v>SM of Warehouse</v>
      </c>
      <c r="G976" s="15" t="str">
        <f>VLOOKUP(A976,[1]Sheet1!$A$2:$F$1141,6,0)</f>
        <v>Senior Manager</v>
      </c>
      <c r="H976" s="1" t="s">
        <v>5121</v>
      </c>
      <c r="I976" s="1" t="s">
        <v>537</v>
      </c>
      <c r="J976" s="1" t="s">
        <v>5122</v>
      </c>
      <c r="K976" s="1" t="str">
        <f>VLOOKUP(A976,[1]Sheet1!$A$2:$I$1141,9,0)</f>
        <v>Unit of Warehouse</v>
      </c>
      <c r="L976" s="1" t="e">
        <f>VLOOKUP(A976,[1]Sheet1!$A$2:$J$1141,10,0)</f>
        <v>#REF!</v>
      </c>
      <c r="M976" s="2">
        <v>26785</v>
      </c>
      <c r="N976" s="1" t="s">
        <v>29</v>
      </c>
      <c r="O976" s="1" t="s">
        <v>30</v>
      </c>
      <c r="P976" s="1" t="s">
        <v>5123</v>
      </c>
      <c r="Q976" s="1" t="s">
        <v>5124</v>
      </c>
      <c r="R976" s="1" t="s">
        <v>5122</v>
      </c>
      <c r="S976" s="1" t="s">
        <v>5125</v>
      </c>
      <c r="T976" s="14">
        <v>47270</v>
      </c>
      <c r="U976" s="1" t="s">
        <v>5126</v>
      </c>
      <c r="V976" s="1" t="s">
        <v>36</v>
      </c>
      <c r="W976" s="3" t="str">
        <f t="shared" si="15"/>
        <v>53 tahun</v>
      </c>
      <c r="X976" s="1" t="s">
        <v>248</v>
      </c>
      <c r="Y976" s="1" t="s">
        <v>48</v>
      </c>
      <c r="Z976" s="2">
        <v>35034</v>
      </c>
      <c r="AA976" s="2">
        <v>35400</v>
      </c>
      <c r="AB976" s="2" t="s">
        <v>5127</v>
      </c>
    </row>
    <row r="977" spans="1:28" x14ac:dyDescent="0.35">
      <c r="A977" s="12">
        <v>5021</v>
      </c>
      <c r="B977" s="12">
        <v>7495211</v>
      </c>
      <c r="C977" s="12" t="s">
        <v>50</v>
      </c>
      <c r="D977" s="12">
        <v>50071524</v>
      </c>
      <c r="E977" s="16" t="s">
        <v>5128</v>
      </c>
      <c r="F977" s="1" t="str">
        <f>VLOOKUP(A977,[1]Sheet1!$A$2:$E$1141,5,0)</f>
        <v>Mgr of Inbound &amp; Billing Administration</v>
      </c>
      <c r="G977" s="16" t="str">
        <f>VLOOKUP(A977,[1]Sheet1!$A$2:$F$1141,6,0)</f>
        <v>Manager</v>
      </c>
      <c r="H977" s="1" t="s">
        <v>5121</v>
      </c>
      <c r="I977" s="1" t="s">
        <v>537</v>
      </c>
      <c r="J977" s="1" t="s">
        <v>5122</v>
      </c>
      <c r="K977" s="1" t="str">
        <f>VLOOKUP(A977,[1]Sheet1!$A$2:$I$1141,9,0)</f>
        <v>Unit of Warehouse</v>
      </c>
      <c r="L977" s="1" t="str">
        <f>VLOOKUP(A977,[1]Sheet1!$A$2:$J$1141,10,0)</f>
        <v>Section of Inbound &amp; Billing Admin.</v>
      </c>
      <c r="M977" s="2">
        <v>27091</v>
      </c>
      <c r="N977" s="1" t="s">
        <v>29</v>
      </c>
      <c r="O977" s="1" t="s">
        <v>30</v>
      </c>
      <c r="P977" s="1" t="s">
        <v>5129</v>
      </c>
      <c r="Q977" s="1" t="s">
        <v>5130</v>
      </c>
      <c r="R977" s="1" t="s">
        <v>5131</v>
      </c>
      <c r="S977" s="1" t="s">
        <v>5125</v>
      </c>
      <c r="T977" s="14">
        <v>47574</v>
      </c>
      <c r="U977" s="1" t="s">
        <v>5132</v>
      </c>
      <c r="V977" s="1" t="s">
        <v>186</v>
      </c>
      <c r="W977" s="3" t="str">
        <f t="shared" si="15"/>
        <v>52 tahun</v>
      </c>
      <c r="X977" s="1" t="s">
        <v>575</v>
      </c>
      <c r="Y977" s="1" t="s">
        <v>56</v>
      </c>
      <c r="Z977" s="2">
        <v>35002</v>
      </c>
      <c r="AA977" s="2">
        <v>35370</v>
      </c>
      <c r="AB977" s="2" t="s">
        <v>5133</v>
      </c>
    </row>
    <row r="978" spans="1:28" x14ac:dyDescent="0.35">
      <c r="A978" s="12">
        <v>5924</v>
      </c>
      <c r="B978" s="12">
        <v>8712090</v>
      </c>
      <c r="C978" s="12" t="s">
        <v>103</v>
      </c>
      <c r="D978" s="12">
        <v>50071551</v>
      </c>
      <c r="E978" s="1" t="s">
        <v>5134</v>
      </c>
      <c r="F978" s="1" t="str">
        <f>VLOOKUP(A978,[1]Sheet1!$A$2:$E$1141,5,0)</f>
        <v>Inbound &amp; Billing Admin. Jr Officer</v>
      </c>
      <c r="G978" s="17" t="str">
        <f>VLOOKUP(A978,[1]Sheet1!$A$2:$F$1141,6,0)</f>
        <v>Supervisor</v>
      </c>
      <c r="H978" s="1" t="s">
        <v>5121</v>
      </c>
      <c r="I978" s="1" t="s">
        <v>537</v>
      </c>
      <c r="J978" s="1" t="s">
        <v>5122</v>
      </c>
      <c r="K978" s="1" t="str">
        <f>VLOOKUP(A978,[1]Sheet1!$A$2:$I$1141,9,0)</f>
        <v>Unit of Warehouse</v>
      </c>
      <c r="L978" s="1" t="str">
        <f>VLOOKUP(A978,[1]Sheet1!$A$2:$J$1141,10,0)</f>
        <v>Section of Inbound &amp; Billing Admin.</v>
      </c>
      <c r="M978" s="2">
        <v>31975</v>
      </c>
      <c r="N978" s="1" t="s">
        <v>29</v>
      </c>
      <c r="O978" s="1" t="s">
        <v>30</v>
      </c>
      <c r="P978" s="1" t="s">
        <v>5135</v>
      </c>
      <c r="Q978" s="1" t="s">
        <v>5130</v>
      </c>
      <c r="R978" s="1" t="s">
        <v>5131</v>
      </c>
      <c r="S978" s="1" t="s">
        <v>5125</v>
      </c>
      <c r="T978" s="14">
        <v>52444</v>
      </c>
      <c r="U978" s="1" t="s">
        <v>5136</v>
      </c>
      <c r="V978" s="1" t="s">
        <v>36</v>
      </c>
      <c r="W978" s="3" t="str">
        <f t="shared" si="15"/>
        <v>39 tahun</v>
      </c>
      <c r="X978" s="1" t="s">
        <v>112</v>
      </c>
      <c r="Y978" s="1" t="s">
        <v>68</v>
      </c>
      <c r="Z978" s="2">
        <v>41275</v>
      </c>
      <c r="AA978" s="2">
        <v>41426</v>
      </c>
      <c r="AB978" s="2" t="s">
        <v>5137</v>
      </c>
    </row>
    <row r="979" spans="1:28" x14ac:dyDescent="0.35">
      <c r="A979" s="12">
        <v>5125</v>
      </c>
      <c r="B979" s="12">
        <v>7502266</v>
      </c>
      <c r="C979" s="12" t="s">
        <v>164</v>
      </c>
      <c r="D979" s="12">
        <v>50071552</v>
      </c>
      <c r="E979" s="1" t="s">
        <v>5138</v>
      </c>
      <c r="F979" s="1" t="str">
        <f>VLOOKUP(A979,[1]Sheet1!$A$2:$E$1141,5,0)</f>
        <v>Inbound &amp; Billing Admin. Jr Officer</v>
      </c>
      <c r="G979" s="17" t="str">
        <f>VLOOKUP(A979,[1]Sheet1!$A$2:$F$1141,6,0)</f>
        <v>Supervisor</v>
      </c>
      <c r="H979" s="1" t="s">
        <v>5121</v>
      </c>
      <c r="I979" s="1" t="s">
        <v>537</v>
      </c>
      <c r="J979" s="1" t="s">
        <v>5122</v>
      </c>
      <c r="K979" s="1" t="str">
        <f>VLOOKUP(A979,[1]Sheet1!$A$2:$I$1141,9,0)</f>
        <v>Unit of Warehouse</v>
      </c>
      <c r="L979" s="1" t="str">
        <f>VLOOKUP(A979,[1]Sheet1!$A$2:$J$1141,10,0)</f>
        <v>Section of Inbound &amp; Billing Admin.</v>
      </c>
      <c r="M979" s="2">
        <v>27506</v>
      </c>
      <c r="N979" s="1" t="s">
        <v>29</v>
      </c>
      <c r="O979" s="1" t="s">
        <v>30</v>
      </c>
      <c r="P979" s="1" t="s">
        <v>5139</v>
      </c>
      <c r="Q979" s="1" t="s">
        <v>5130</v>
      </c>
      <c r="R979" s="1" t="s">
        <v>5131</v>
      </c>
      <c r="S979" s="1" t="s">
        <v>5125</v>
      </c>
      <c r="T979" s="14">
        <v>47969</v>
      </c>
      <c r="U979" s="1" t="s">
        <v>5140</v>
      </c>
      <c r="V979" s="1" t="s">
        <v>36</v>
      </c>
      <c r="W979" s="3" t="str">
        <f t="shared" si="15"/>
        <v>51 tahun</v>
      </c>
      <c r="X979" s="1" t="s">
        <v>882</v>
      </c>
      <c r="Y979" s="1" t="s">
        <v>56</v>
      </c>
      <c r="Z979" s="2">
        <v>37469</v>
      </c>
      <c r="AA979" s="2">
        <v>38718</v>
      </c>
      <c r="AB979" s="2" t="s">
        <v>84</v>
      </c>
    </row>
    <row r="980" spans="1:28" x14ac:dyDescent="0.35">
      <c r="A980" s="12">
        <v>5227</v>
      </c>
      <c r="B980" s="12">
        <v>7702290</v>
      </c>
      <c r="C980" s="12" t="s">
        <v>164</v>
      </c>
      <c r="D980" s="12">
        <v>50071554</v>
      </c>
      <c r="E980" s="1" t="s">
        <v>5141</v>
      </c>
      <c r="F980" s="1" t="str">
        <f>VLOOKUP(A980,[1]Sheet1!$A$2:$E$1141,5,0)</f>
        <v>E Inbound &amp; Billing Adm. Officer</v>
      </c>
      <c r="G980" s="17" t="str">
        <f>VLOOKUP(A980,[1]Sheet1!$A$2:$F$1141,6,0)</f>
        <v>Associate</v>
      </c>
      <c r="H980" s="1" t="s">
        <v>5121</v>
      </c>
      <c r="I980" s="1" t="s">
        <v>537</v>
      </c>
      <c r="J980" s="1" t="s">
        <v>5122</v>
      </c>
      <c r="K980" s="1" t="str">
        <f>VLOOKUP(A980,[1]Sheet1!$A$2:$I$1141,9,0)</f>
        <v>Unit of Warehouse</v>
      </c>
      <c r="L980" s="1" t="str">
        <f>VLOOKUP(A980,[1]Sheet1!$A$2:$J$1141,10,0)</f>
        <v>Section of Inbound &amp; Billing Admin.</v>
      </c>
      <c r="M980" s="2">
        <v>28262</v>
      </c>
      <c r="N980" s="1" t="s">
        <v>29</v>
      </c>
      <c r="O980" s="1" t="s">
        <v>30</v>
      </c>
      <c r="P980" s="1" t="s">
        <v>5142</v>
      </c>
      <c r="Q980" s="1" t="s">
        <v>5130</v>
      </c>
      <c r="R980" s="1" t="s">
        <v>5131</v>
      </c>
      <c r="S980" s="1" t="s">
        <v>5125</v>
      </c>
      <c r="T980" s="14">
        <v>48731</v>
      </c>
      <c r="U980" s="1" t="s">
        <v>5143</v>
      </c>
      <c r="V980" s="1" t="s">
        <v>36</v>
      </c>
      <c r="W980" s="3" t="str">
        <f t="shared" si="15"/>
        <v>49 tahun</v>
      </c>
      <c r="X980" s="1" t="s">
        <v>2069</v>
      </c>
      <c r="Y980" s="1" t="s">
        <v>56</v>
      </c>
      <c r="Z980" s="2">
        <v>37469</v>
      </c>
      <c r="AA980" s="2">
        <v>38718</v>
      </c>
      <c r="AB980" s="2" t="s">
        <v>5144</v>
      </c>
    </row>
    <row r="981" spans="1:28" x14ac:dyDescent="0.35">
      <c r="A981" s="12">
        <v>4796</v>
      </c>
      <c r="B981" s="12">
        <v>7295259</v>
      </c>
      <c r="C981" s="12" t="s">
        <v>50</v>
      </c>
      <c r="D981" s="12">
        <v>50071555</v>
      </c>
      <c r="E981" s="16" t="s">
        <v>5145</v>
      </c>
      <c r="F981" s="1" t="str">
        <f>VLOOKUP(A981,[1]Sheet1!$A$2:$E$1141,5,0)</f>
        <v>Mgr of Sparepart &amp; Consumable Mgmt.</v>
      </c>
      <c r="G981" s="16" t="str">
        <f>VLOOKUP(A981,[1]Sheet1!$A$2:$F$1141,6,0)</f>
        <v>Manager</v>
      </c>
      <c r="H981" s="1" t="s">
        <v>5121</v>
      </c>
      <c r="I981" s="1" t="s">
        <v>537</v>
      </c>
      <c r="J981" s="1" t="s">
        <v>5122</v>
      </c>
      <c r="K981" s="1" t="str">
        <f>VLOOKUP(A981,[1]Sheet1!$A$2:$I$1141,9,0)</f>
        <v>Unit of Warehouse</v>
      </c>
      <c r="L981" s="1" t="str">
        <f>VLOOKUP(A981,[1]Sheet1!$A$2:$J$1141,10,0)</f>
        <v>Section of Sparepart &amp; Consumable Mgmt</v>
      </c>
      <c r="M981" s="2">
        <v>26304</v>
      </c>
      <c r="N981" s="1" t="s">
        <v>29</v>
      </c>
      <c r="O981" s="1" t="s">
        <v>30</v>
      </c>
      <c r="P981" s="1" t="s">
        <v>5146</v>
      </c>
      <c r="Q981" s="1" t="s">
        <v>5130</v>
      </c>
      <c r="R981" s="1" t="s">
        <v>5131</v>
      </c>
      <c r="S981" s="1" t="s">
        <v>5125</v>
      </c>
      <c r="T981" s="14">
        <v>46784</v>
      </c>
      <c r="U981" s="1" t="s">
        <v>5147</v>
      </c>
      <c r="V981" s="1" t="s">
        <v>36</v>
      </c>
      <c r="W981" s="3" t="str">
        <f t="shared" si="15"/>
        <v>54 tahun</v>
      </c>
      <c r="X981" s="1" t="s">
        <v>55</v>
      </c>
      <c r="Y981" s="1" t="s">
        <v>48</v>
      </c>
      <c r="Z981" s="2">
        <v>35034</v>
      </c>
      <c r="AA981" s="2">
        <v>35400</v>
      </c>
      <c r="AB981" s="2" t="s">
        <v>5148</v>
      </c>
    </row>
    <row r="982" spans="1:28" x14ac:dyDescent="0.35">
      <c r="A982" s="12">
        <v>4973</v>
      </c>
      <c r="B982" s="12">
        <v>7302228</v>
      </c>
      <c r="C982" s="12" t="s">
        <v>164</v>
      </c>
      <c r="D982" s="12">
        <v>50071556</v>
      </c>
      <c r="E982" s="1" t="s">
        <v>5149</v>
      </c>
      <c r="F982" s="1" t="str">
        <f>VLOOKUP(A982,[1]Sheet1!$A$2:$E$1141,5,0)</f>
        <v>Sparepart &amp; Consumable Mgmt Jr officer</v>
      </c>
      <c r="G982" s="17" t="str">
        <f>VLOOKUP(A982,[1]Sheet1!$A$2:$F$1141,6,0)</f>
        <v>Supervisor</v>
      </c>
      <c r="H982" s="1" t="s">
        <v>5121</v>
      </c>
      <c r="I982" s="1" t="s">
        <v>537</v>
      </c>
      <c r="J982" s="1" t="s">
        <v>5122</v>
      </c>
      <c r="K982" s="1" t="str">
        <f>VLOOKUP(A982,[1]Sheet1!$A$2:$I$1141,9,0)</f>
        <v>Unit of Warehouse</v>
      </c>
      <c r="L982" s="1" t="str">
        <f>VLOOKUP(A982,[1]Sheet1!$A$2:$J$1141,10,0)</f>
        <v>Section of Sparepart &amp; Consumable Mgmt</v>
      </c>
      <c r="M982" s="2">
        <v>26959</v>
      </c>
      <c r="N982" s="1" t="s">
        <v>29</v>
      </c>
      <c r="O982" s="1" t="s">
        <v>30</v>
      </c>
      <c r="P982" s="1" t="s">
        <v>5150</v>
      </c>
      <c r="Q982" s="1" t="s">
        <v>5130</v>
      </c>
      <c r="R982" s="1" t="s">
        <v>5131</v>
      </c>
      <c r="S982" s="1" t="s">
        <v>5125</v>
      </c>
      <c r="T982" s="14">
        <v>47423</v>
      </c>
      <c r="U982" s="1" t="s">
        <v>5151</v>
      </c>
      <c r="V982" s="1" t="s">
        <v>36</v>
      </c>
      <c r="W982" s="3" t="str">
        <f t="shared" si="15"/>
        <v>52 tahun</v>
      </c>
      <c r="X982" s="1" t="s">
        <v>121</v>
      </c>
      <c r="Y982" s="1" t="s">
        <v>56</v>
      </c>
      <c r="Z982" s="2">
        <v>37469</v>
      </c>
      <c r="AA982" s="2">
        <v>38718</v>
      </c>
      <c r="AB982" s="2" t="s">
        <v>84</v>
      </c>
    </row>
    <row r="983" spans="1:28" x14ac:dyDescent="0.35">
      <c r="A983" s="12">
        <v>4984</v>
      </c>
      <c r="B983" s="12">
        <v>7302233</v>
      </c>
      <c r="C983" s="12" t="s">
        <v>164</v>
      </c>
      <c r="D983" s="12">
        <v>50071557</v>
      </c>
      <c r="E983" s="1" t="s">
        <v>513</v>
      </c>
      <c r="F983" s="1" t="str">
        <f>VLOOKUP(A983,[1]Sheet1!$A$2:$E$1141,5,0)</f>
        <v>Sparepart &amp; Consumable Mgmt Jr officer</v>
      </c>
      <c r="G983" s="17" t="str">
        <f>VLOOKUP(A983,[1]Sheet1!$A$2:$F$1141,6,0)</f>
        <v>Supervisor</v>
      </c>
      <c r="H983" s="1" t="s">
        <v>5121</v>
      </c>
      <c r="I983" s="1" t="s">
        <v>537</v>
      </c>
      <c r="J983" s="1" t="s">
        <v>5122</v>
      </c>
      <c r="K983" s="1" t="str">
        <f>VLOOKUP(A983,[1]Sheet1!$A$2:$I$1141,9,0)</f>
        <v>Unit of Warehouse</v>
      </c>
      <c r="L983" s="1" t="str">
        <f>VLOOKUP(A983,[1]Sheet1!$A$2:$J$1141,10,0)</f>
        <v>Section of Sparepart &amp; Consumable Mgmt</v>
      </c>
      <c r="M983" s="2">
        <v>27003</v>
      </c>
      <c r="N983" s="1" t="s">
        <v>29</v>
      </c>
      <c r="O983" s="1" t="s">
        <v>30</v>
      </c>
      <c r="P983" s="1" t="s">
        <v>5152</v>
      </c>
      <c r="Q983" s="1" t="s">
        <v>5130</v>
      </c>
      <c r="R983" s="1" t="s">
        <v>5131</v>
      </c>
      <c r="S983" s="1" t="s">
        <v>5125</v>
      </c>
      <c r="T983" s="14">
        <v>47484</v>
      </c>
      <c r="U983" s="1" t="s">
        <v>5153</v>
      </c>
      <c r="V983" s="1" t="s">
        <v>36</v>
      </c>
      <c r="W983" s="3" t="str">
        <f t="shared" si="15"/>
        <v>52 tahun</v>
      </c>
      <c r="X983" s="1" t="s">
        <v>121</v>
      </c>
      <c r="Y983" s="1" t="s">
        <v>56</v>
      </c>
      <c r="Z983" s="2">
        <v>37469</v>
      </c>
      <c r="AA983" s="2">
        <v>38718</v>
      </c>
      <c r="AB983" s="2" t="s">
        <v>5154</v>
      </c>
    </row>
    <row r="984" spans="1:28" x14ac:dyDescent="0.35">
      <c r="A984" s="12">
        <v>4987</v>
      </c>
      <c r="B984" s="12">
        <v>7302236</v>
      </c>
      <c r="C984" s="12" t="s">
        <v>164</v>
      </c>
      <c r="D984" s="12">
        <v>50071558</v>
      </c>
      <c r="E984" s="1" t="s">
        <v>5155</v>
      </c>
      <c r="F984" s="1" t="str">
        <f>VLOOKUP(A984,[1]Sheet1!$A$2:$E$1141,5,0)</f>
        <v>Sparepart &amp; Consumable Mgmt Jr officer</v>
      </c>
      <c r="G984" s="17" t="str">
        <f>VLOOKUP(A984,[1]Sheet1!$A$2:$F$1141,6,0)</f>
        <v>Supervisor</v>
      </c>
      <c r="H984" s="1" t="s">
        <v>5121</v>
      </c>
      <c r="I984" s="1" t="s">
        <v>537</v>
      </c>
      <c r="J984" s="1" t="s">
        <v>5122</v>
      </c>
      <c r="K984" s="1" t="str">
        <f>VLOOKUP(A984,[1]Sheet1!$A$2:$I$1141,9,0)</f>
        <v>Unit of Warehouse</v>
      </c>
      <c r="L984" s="1" t="str">
        <f>VLOOKUP(A984,[1]Sheet1!$A$2:$J$1141,10,0)</f>
        <v>Section of Sparepart &amp; Consumable Mgmt</v>
      </c>
      <c r="M984" s="2">
        <v>27014</v>
      </c>
      <c r="N984" s="1" t="s">
        <v>29</v>
      </c>
      <c r="O984" s="1" t="s">
        <v>30</v>
      </c>
      <c r="P984" s="1" t="s">
        <v>5156</v>
      </c>
      <c r="Q984" s="1" t="s">
        <v>5130</v>
      </c>
      <c r="R984" s="1" t="s">
        <v>5131</v>
      </c>
      <c r="S984" s="1" t="s">
        <v>5125</v>
      </c>
      <c r="T984" s="14">
        <v>47484</v>
      </c>
      <c r="U984" s="1" t="s">
        <v>5157</v>
      </c>
      <c r="V984" s="1" t="s">
        <v>36</v>
      </c>
      <c r="W984" s="3" t="str">
        <f t="shared" si="15"/>
        <v>52 tahun</v>
      </c>
      <c r="X984" s="1" t="s">
        <v>248</v>
      </c>
      <c r="Y984" s="1" t="s">
        <v>56</v>
      </c>
      <c r="Z984" s="2">
        <v>37469</v>
      </c>
      <c r="AA984" s="2">
        <v>38718</v>
      </c>
      <c r="AB984" s="2" t="s">
        <v>5158</v>
      </c>
    </row>
    <row r="985" spans="1:28" x14ac:dyDescent="0.35">
      <c r="A985" s="12">
        <v>5864</v>
      </c>
      <c r="B985" s="12">
        <v>8612031</v>
      </c>
      <c r="C985" s="12" t="s">
        <v>103</v>
      </c>
      <c r="D985" s="12">
        <v>50071559</v>
      </c>
      <c r="E985" s="1" t="s">
        <v>5159</v>
      </c>
      <c r="F985" s="1" t="str">
        <f>VLOOKUP(A985,[1]Sheet1!$A$2:$E$1141,5,0)</f>
        <v>Sparepart &amp; Consumable Mgmt Jr officer</v>
      </c>
      <c r="G985" s="17" t="str">
        <f>VLOOKUP(A985,[1]Sheet1!$A$2:$F$1141,6,0)</f>
        <v>Supervisor</v>
      </c>
      <c r="H985" s="1" t="s">
        <v>5121</v>
      </c>
      <c r="I985" s="1" t="s">
        <v>537</v>
      </c>
      <c r="J985" s="1" t="s">
        <v>5122</v>
      </c>
      <c r="K985" s="1" t="str">
        <f>VLOOKUP(A985,[1]Sheet1!$A$2:$I$1141,9,0)</f>
        <v>Unit of Warehouse</v>
      </c>
      <c r="L985" s="1" t="str">
        <f>VLOOKUP(A985,[1]Sheet1!$A$2:$J$1141,10,0)</f>
        <v>Section of Sparepart &amp; Consumable Mgmt</v>
      </c>
      <c r="M985" s="2">
        <v>31421</v>
      </c>
      <c r="N985" s="1" t="s">
        <v>29</v>
      </c>
      <c r="O985" s="1" t="s">
        <v>30</v>
      </c>
      <c r="P985" s="1" t="s">
        <v>5160</v>
      </c>
      <c r="Q985" s="1" t="s">
        <v>5130</v>
      </c>
      <c r="R985" s="1" t="s">
        <v>5131</v>
      </c>
      <c r="S985" s="1" t="s">
        <v>5125</v>
      </c>
      <c r="T985" s="14">
        <v>51898</v>
      </c>
      <c r="U985" s="1" t="s">
        <v>5161</v>
      </c>
      <c r="V985" s="1" t="s">
        <v>36</v>
      </c>
      <c r="W985" s="3" t="str">
        <f t="shared" si="15"/>
        <v>40 tahun</v>
      </c>
      <c r="X985" s="1" t="s">
        <v>55</v>
      </c>
      <c r="Y985" s="1" t="s">
        <v>56</v>
      </c>
      <c r="Z985" s="2">
        <v>41275</v>
      </c>
      <c r="AA985" s="2">
        <v>41426</v>
      </c>
      <c r="AB985" s="2" t="s">
        <v>5162</v>
      </c>
    </row>
    <row r="986" spans="1:28" x14ac:dyDescent="0.35">
      <c r="A986" s="12">
        <v>4581</v>
      </c>
      <c r="B986" s="12">
        <v>7406459</v>
      </c>
      <c r="C986" s="12" t="s">
        <v>219</v>
      </c>
      <c r="D986" s="12">
        <v>50071560</v>
      </c>
      <c r="E986" s="1" t="s">
        <v>5163</v>
      </c>
      <c r="F986" s="1" t="str">
        <f>VLOOKUP(A986,[1]Sheet1!$A$2:$E$1141,5,0)</f>
        <v>Sparepart &amp; Consumable Mgmt Adm officer</v>
      </c>
      <c r="G986" s="17" t="str">
        <f>VLOOKUP(A986,[1]Sheet1!$A$2:$F$1141,6,0)</f>
        <v>Associate</v>
      </c>
      <c r="H986" s="1" t="s">
        <v>5121</v>
      </c>
      <c r="I986" s="1" t="s">
        <v>537</v>
      </c>
      <c r="J986" s="1" t="s">
        <v>5122</v>
      </c>
      <c r="K986" s="1" t="str">
        <f>VLOOKUP(A986,[1]Sheet1!$A$2:$I$1141,9,0)</f>
        <v>Unit of Warehouse</v>
      </c>
      <c r="L986" s="1" t="str">
        <f>VLOOKUP(A986,[1]Sheet1!$A$2:$J$1141,10,0)</f>
        <v>Section of Sparepart &amp; Consumable Mgmt</v>
      </c>
      <c r="M986" s="2">
        <v>27031</v>
      </c>
      <c r="N986" s="1" t="s">
        <v>29</v>
      </c>
      <c r="O986" s="1" t="s">
        <v>30</v>
      </c>
      <c r="P986" s="1" t="s">
        <v>5164</v>
      </c>
      <c r="Q986" s="1" t="s">
        <v>5130</v>
      </c>
      <c r="R986" s="1" t="s">
        <v>5131</v>
      </c>
      <c r="S986" s="1" t="s">
        <v>5125</v>
      </c>
      <c r="T986" s="14">
        <v>47515</v>
      </c>
      <c r="U986" s="1" t="s">
        <v>5165</v>
      </c>
      <c r="V986" s="1" t="s">
        <v>36</v>
      </c>
      <c r="W986" s="3" t="str">
        <f t="shared" si="15"/>
        <v>52 tahun</v>
      </c>
      <c r="X986" s="1" t="s">
        <v>96</v>
      </c>
      <c r="Y986" s="1" t="s">
        <v>56</v>
      </c>
      <c r="Z986" s="2">
        <v>38718</v>
      </c>
      <c r="AA986" s="2">
        <v>41030</v>
      </c>
      <c r="AB986" s="2" t="s">
        <v>5166</v>
      </c>
    </row>
    <row r="987" spans="1:28" x14ac:dyDescent="0.35">
      <c r="A987" s="12">
        <v>4949</v>
      </c>
      <c r="B987" s="12">
        <v>7406461</v>
      </c>
      <c r="C987" s="12" t="s">
        <v>219</v>
      </c>
      <c r="D987" s="12">
        <v>50071561</v>
      </c>
      <c r="E987" s="1" t="s">
        <v>5167</v>
      </c>
      <c r="F987" s="1" t="str">
        <f>VLOOKUP(A987,[1]Sheet1!$A$2:$E$1141,5,0)</f>
        <v>Sparepart &amp; Consumable Mgmt Adm officer</v>
      </c>
      <c r="G987" s="17" t="str">
        <f>VLOOKUP(A987,[1]Sheet1!$A$2:$F$1141,6,0)</f>
        <v>Associate</v>
      </c>
      <c r="H987" s="1" t="s">
        <v>5121</v>
      </c>
      <c r="I987" s="1" t="s">
        <v>537</v>
      </c>
      <c r="J987" s="1" t="s">
        <v>5122</v>
      </c>
      <c r="K987" s="1" t="str">
        <f>VLOOKUP(A987,[1]Sheet1!$A$2:$I$1141,9,0)</f>
        <v>Unit of Warehouse</v>
      </c>
      <c r="L987" s="1" t="str">
        <f>VLOOKUP(A987,[1]Sheet1!$A$2:$J$1141,10,0)</f>
        <v>Section of Sparepart &amp; Consumable Mgmt</v>
      </c>
      <c r="M987" s="2">
        <v>27224</v>
      </c>
      <c r="N987" s="1" t="s">
        <v>29</v>
      </c>
      <c r="O987" s="1" t="s">
        <v>30</v>
      </c>
      <c r="P987" s="1" t="s">
        <v>5168</v>
      </c>
      <c r="Q987" s="1" t="s">
        <v>5130</v>
      </c>
      <c r="R987" s="1" t="s">
        <v>5131</v>
      </c>
      <c r="S987" s="1" t="s">
        <v>5125</v>
      </c>
      <c r="T987" s="14">
        <v>47696</v>
      </c>
      <c r="U987" s="1" t="s">
        <v>5169</v>
      </c>
      <c r="V987" s="1" t="s">
        <v>36</v>
      </c>
      <c r="W987" s="3" t="str">
        <f t="shared" si="15"/>
        <v>52 tahun</v>
      </c>
      <c r="X987" s="1" t="s">
        <v>96</v>
      </c>
      <c r="Y987" s="1" t="s">
        <v>56</v>
      </c>
      <c r="Z987" s="2">
        <v>38718</v>
      </c>
      <c r="AA987" s="2">
        <v>41030</v>
      </c>
      <c r="AB987" s="2" t="s">
        <v>5170</v>
      </c>
    </row>
    <row r="988" spans="1:28" x14ac:dyDescent="0.35">
      <c r="A988" s="12">
        <v>5225</v>
      </c>
      <c r="B988" s="12">
        <v>7702287</v>
      </c>
      <c r="C988" s="12" t="s">
        <v>164</v>
      </c>
      <c r="D988" s="12">
        <v>50071562</v>
      </c>
      <c r="E988" s="1" t="s">
        <v>5171</v>
      </c>
      <c r="F988" s="1" t="str">
        <f>VLOOKUP(A988,[1]Sheet1!$A$2:$E$1141,5,0)</f>
        <v>Sparepart &amp; Consumable Mgmt Adm officer</v>
      </c>
      <c r="G988" s="17" t="str">
        <f>VLOOKUP(A988,[1]Sheet1!$A$2:$F$1141,6,0)</f>
        <v>Associate</v>
      </c>
      <c r="H988" s="1" t="s">
        <v>5121</v>
      </c>
      <c r="I988" s="1" t="s">
        <v>537</v>
      </c>
      <c r="J988" s="1" t="s">
        <v>5122</v>
      </c>
      <c r="K988" s="1" t="str">
        <f>VLOOKUP(A988,[1]Sheet1!$A$2:$I$1141,9,0)</f>
        <v>Unit of Warehouse</v>
      </c>
      <c r="L988" s="1" t="str">
        <f>VLOOKUP(A988,[1]Sheet1!$A$2:$J$1141,10,0)</f>
        <v>Section of Sparepart &amp; Consumable Mgmt</v>
      </c>
      <c r="M988" s="2">
        <v>28242</v>
      </c>
      <c r="N988" s="1" t="s">
        <v>29</v>
      </c>
      <c r="O988" s="1" t="s">
        <v>30</v>
      </c>
      <c r="P988" s="1" t="s">
        <v>5172</v>
      </c>
      <c r="Q988" s="1" t="s">
        <v>5130</v>
      </c>
      <c r="R988" s="1" t="s">
        <v>5131</v>
      </c>
      <c r="S988" s="1" t="s">
        <v>5125</v>
      </c>
      <c r="T988" s="14">
        <v>48700</v>
      </c>
      <c r="U988" s="1" t="s">
        <v>5173</v>
      </c>
      <c r="V988" s="1" t="s">
        <v>36</v>
      </c>
      <c r="W988" s="3" t="str">
        <f t="shared" si="15"/>
        <v>49 tahun</v>
      </c>
      <c r="X988" s="1" t="s">
        <v>96</v>
      </c>
      <c r="Y988" s="1" t="s">
        <v>56</v>
      </c>
      <c r="Z988" s="2">
        <v>37469</v>
      </c>
      <c r="AA988" s="2">
        <v>38718</v>
      </c>
      <c r="AB988" s="2" t="s">
        <v>5174</v>
      </c>
    </row>
    <row r="989" spans="1:28" x14ac:dyDescent="0.35">
      <c r="A989" s="12">
        <v>4771</v>
      </c>
      <c r="B989" s="12">
        <v>7195258</v>
      </c>
      <c r="C989" s="12" t="s">
        <v>50</v>
      </c>
      <c r="D989" s="12">
        <v>50071567</v>
      </c>
      <c r="E989" s="1" t="s">
        <v>2854</v>
      </c>
      <c r="F989" s="1" t="str">
        <f>VLOOKUP(A989,[1]Sheet1!$A$2:$E$1141,5,0)</f>
        <v>D Sparepart &amp; Consumable Mgmt Jr officer</v>
      </c>
      <c r="G989" s="17" t="str">
        <f>VLOOKUP(A989,[1]Sheet1!$A$2:$F$1141,6,0)</f>
        <v>Supervisor</v>
      </c>
      <c r="H989" s="1" t="s">
        <v>5121</v>
      </c>
      <c r="I989" s="1" t="s">
        <v>537</v>
      </c>
      <c r="J989" s="1" t="s">
        <v>5122</v>
      </c>
      <c r="K989" s="1" t="str">
        <f>VLOOKUP(A989,[1]Sheet1!$A$2:$I$1141,9,0)</f>
        <v>Unit of Warehouse</v>
      </c>
      <c r="L989" s="1" t="str">
        <f>VLOOKUP(A989,[1]Sheet1!$A$2:$J$1141,10,0)</f>
        <v>Section of Sparepart &amp; Consumable Mgmt</v>
      </c>
      <c r="M989" s="2">
        <v>26101</v>
      </c>
      <c r="N989" s="1" t="s">
        <v>29</v>
      </c>
      <c r="O989" s="1" t="s">
        <v>30</v>
      </c>
      <c r="P989" s="1" t="s">
        <v>5175</v>
      </c>
      <c r="Q989" s="1" t="s">
        <v>5130</v>
      </c>
      <c r="R989" s="1" t="s">
        <v>5131</v>
      </c>
      <c r="S989" s="1" t="s">
        <v>5125</v>
      </c>
      <c r="T989" s="14">
        <v>46569</v>
      </c>
      <c r="U989" s="1" t="s">
        <v>5176</v>
      </c>
      <c r="V989" s="1" t="s">
        <v>36</v>
      </c>
      <c r="W989" s="3" t="str">
        <f t="shared" si="15"/>
        <v>55 tahun</v>
      </c>
      <c r="X989" s="1" t="s">
        <v>5177</v>
      </c>
      <c r="Y989" s="1" t="s">
        <v>56</v>
      </c>
      <c r="Z989" s="2">
        <v>35034</v>
      </c>
      <c r="AA989" s="2">
        <v>35400</v>
      </c>
      <c r="AB989" s="2" t="s">
        <v>5178</v>
      </c>
    </row>
    <row r="990" spans="1:28" x14ac:dyDescent="0.35">
      <c r="A990" s="12">
        <v>4775</v>
      </c>
      <c r="B990" s="12">
        <v>7102171</v>
      </c>
      <c r="C990" s="12" t="s">
        <v>164</v>
      </c>
      <c r="D990" s="12">
        <v>50071568</v>
      </c>
      <c r="E990" s="1" t="s">
        <v>5179</v>
      </c>
      <c r="F990" s="1" t="str">
        <f>VLOOKUP(A990,[1]Sheet1!$A$2:$E$1141,5,0)</f>
        <v>E Sparepart &amp; Consumable Mgm Adm officer</v>
      </c>
      <c r="G990" s="17" t="str">
        <f>VLOOKUP(A990,[1]Sheet1!$A$2:$F$1141,6,0)</f>
        <v>Associate</v>
      </c>
      <c r="H990" s="1" t="s">
        <v>5121</v>
      </c>
      <c r="I990" s="1" t="s">
        <v>537</v>
      </c>
      <c r="J990" s="1" t="s">
        <v>5122</v>
      </c>
      <c r="K990" s="1" t="str">
        <f>VLOOKUP(A990,[1]Sheet1!$A$2:$I$1141,9,0)</f>
        <v>Unit of Warehouse</v>
      </c>
      <c r="L990" s="1" t="str">
        <f>VLOOKUP(A990,[1]Sheet1!$A$2:$J$1141,10,0)</f>
        <v>Section of Sparepart &amp; Consumable Mgmt</v>
      </c>
      <c r="M990" s="2">
        <v>26154</v>
      </c>
      <c r="N990" s="1" t="s">
        <v>29</v>
      </c>
      <c r="O990" s="1" t="s">
        <v>30</v>
      </c>
      <c r="P990" s="1" t="s">
        <v>5180</v>
      </c>
      <c r="Q990" s="1" t="s">
        <v>5130</v>
      </c>
      <c r="R990" s="1" t="s">
        <v>5131</v>
      </c>
      <c r="S990" s="1" t="s">
        <v>5125</v>
      </c>
      <c r="T990" s="14">
        <v>46631</v>
      </c>
      <c r="U990" s="1" t="s">
        <v>5181</v>
      </c>
      <c r="V990" s="1" t="s">
        <v>36</v>
      </c>
      <c r="W990" s="3" t="str">
        <f t="shared" si="15"/>
        <v>55 tahun</v>
      </c>
      <c r="X990" s="1" t="s">
        <v>5182</v>
      </c>
      <c r="Y990" s="1" t="s">
        <v>48</v>
      </c>
      <c r="Z990" s="2">
        <v>37469</v>
      </c>
      <c r="AA990" s="2">
        <v>38718</v>
      </c>
      <c r="AB990" s="2" t="s">
        <v>5183</v>
      </c>
    </row>
    <row r="991" spans="1:28" x14ac:dyDescent="0.35">
      <c r="A991" s="12">
        <v>4757</v>
      </c>
      <c r="B991" s="12">
        <v>7102158</v>
      </c>
      <c r="C991" s="12" t="s">
        <v>164</v>
      </c>
      <c r="D991" s="12">
        <v>50071569</v>
      </c>
      <c r="E991" s="1" t="s">
        <v>5184</v>
      </c>
      <c r="F991" s="1" t="str">
        <f>VLOOKUP(A991,[1]Sheet1!$A$2:$E$1141,5,0)</f>
        <v>E Sparepart &amp; Consumable Mgm Adm officer</v>
      </c>
      <c r="G991" s="17" t="str">
        <f>VLOOKUP(A991,[1]Sheet1!$A$2:$F$1141,6,0)</f>
        <v>Associate</v>
      </c>
      <c r="H991" s="1" t="s">
        <v>5121</v>
      </c>
      <c r="I991" s="1" t="s">
        <v>537</v>
      </c>
      <c r="J991" s="1" t="s">
        <v>5122</v>
      </c>
      <c r="K991" s="1" t="str">
        <f>VLOOKUP(A991,[1]Sheet1!$A$2:$I$1141,9,0)</f>
        <v>Unit of Warehouse</v>
      </c>
      <c r="L991" s="1" t="str">
        <f>VLOOKUP(A991,[1]Sheet1!$A$2:$J$1141,10,0)</f>
        <v>Section of Sparepart &amp; Consumable Mgmt</v>
      </c>
      <c r="M991" s="2">
        <v>26017</v>
      </c>
      <c r="N991" s="1" t="s">
        <v>29</v>
      </c>
      <c r="O991" s="1" t="s">
        <v>30</v>
      </c>
      <c r="P991" s="1" t="s">
        <v>5185</v>
      </c>
      <c r="Q991" s="1" t="s">
        <v>5130</v>
      </c>
      <c r="R991" s="1" t="s">
        <v>5131</v>
      </c>
      <c r="S991" s="1" t="s">
        <v>5125</v>
      </c>
      <c r="T991" s="14">
        <v>46478</v>
      </c>
      <c r="U991" s="1" t="s">
        <v>5186</v>
      </c>
      <c r="V991" s="1" t="s">
        <v>36</v>
      </c>
      <c r="W991" s="3" t="str">
        <f t="shared" si="15"/>
        <v>55 tahun</v>
      </c>
      <c r="X991" s="1" t="s">
        <v>37</v>
      </c>
      <c r="Y991" s="1" t="s">
        <v>56</v>
      </c>
      <c r="Z991" s="2">
        <v>37469</v>
      </c>
      <c r="AA991" s="2">
        <v>38718</v>
      </c>
      <c r="AB991" s="2" t="s">
        <v>84</v>
      </c>
    </row>
    <row r="992" spans="1:28" x14ac:dyDescent="0.35">
      <c r="A992" s="12">
        <v>5881</v>
      </c>
      <c r="B992" s="12">
        <v>8612048</v>
      </c>
      <c r="C992" s="12" t="s">
        <v>103</v>
      </c>
      <c r="D992" s="12">
        <v>50071563</v>
      </c>
      <c r="E992" s="16" t="s">
        <v>5187</v>
      </c>
      <c r="F992" s="1" t="str">
        <f>VLOOKUP(A992,[1]Sheet1!$A$2:$E$1141,5,0)</f>
        <v>Mgr of Material Fuel &amp; Packaging Mgmt</v>
      </c>
      <c r="G992" s="16" t="str">
        <f>VLOOKUP(A992,[1]Sheet1!$A$2:$F$1141,6,0)</f>
        <v>Manager</v>
      </c>
      <c r="H992" s="1" t="s">
        <v>5121</v>
      </c>
      <c r="I992" s="1" t="s">
        <v>537</v>
      </c>
      <c r="J992" s="1" t="s">
        <v>5122</v>
      </c>
      <c r="K992" s="1" t="str">
        <f>VLOOKUP(A992,[1]Sheet1!$A$2:$I$1141,9,0)</f>
        <v>Unit of Warehouse</v>
      </c>
      <c r="L992" s="1" t="str">
        <f>VLOOKUP(A992,[1]Sheet1!$A$2:$J$1141,10,0)</f>
        <v>Section of Mat. Fuel &amp; Packaging Mgmt</v>
      </c>
      <c r="M992" s="2">
        <v>31606</v>
      </c>
      <c r="N992" s="1" t="s">
        <v>29</v>
      </c>
      <c r="O992" s="1" t="s">
        <v>30</v>
      </c>
      <c r="P992" s="1" t="s">
        <v>5188</v>
      </c>
      <c r="Q992" s="1" t="s">
        <v>5130</v>
      </c>
      <c r="R992" s="1" t="s">
        <v>5131</v>
      </c>
      <c r="S992" s="1" t="s">
        <v>5125</v>
      </c>
      <c r="T992" s="14">
        <v>52079</v>
      </c>
      <c r="U992" s="1" t="s">
        <v>5189</v>
      </c>
      <c r="V992" s="1" t="s">
        <v>36</v>
      </c>
      <c r="W992" s="3" t="str">
        <f t="shared" si="15"/>
        <v>40 tahun</v>
      </c>
      <c r="X992" s="1" t="s">
        <v>55</v>
      </c>
      <c r="Y992" s="1" t="s">
        <v>48</v>
      </c>
      <c r="Z992" s="2">
        <v>41275</v>
      </c>
      <c r="AA992" s="2">
        <v>41426</v>
      </c>
      <c r="AB992" s="2" t="s">
        <v>5190</v>
      </c>
    </row>
    <row r="993" spans="1:28" x14ac:dyDescent="0.35">
      <c r="A993" s="12">
        <v>5970</v>
      </c>
      <c r="B993" s="12">
        <v>8812138</v>
      </c>
      <c r="C993" s="12" t="s">
        <v>103</v>
      </c>
      <c r="D993" s="12">
        <v>50071564</v>
      </c>
      <c r="E993" s="1" t="s">
        <v>5191</v>
      </c>
      <c r="F993" s="1" t="str">
        <f>VLOOKUP(A993,[1]Sheet1!$A$2:$E$1141,5,0)</f>
        <v>Mat. Fuel &amp; Packaging Mgmt Jr Officer</v>
      </c>
      <c r="G993" s="17" t="str">
        <f>VLOOKUP(A993,[1]Sheet1!$A$2:$F$1141,6,0)</f>
        <v>Supervisor</v>
      </c>
      <c r="H993" s="1" t="s">
        <v>5121</v>
      </c>
      <c r="I993" s="1" t="s">
        <v>537</v>
      </c>
      <c r="J993" s="1" t="s">
        <v>5122</v>
      </c>
      <c r="K993" s="1" t="str">
        <f>VLOOKUP(A993,[1]Sheet1!$A$2:$I$1141,9,0)</f>
        <v>Unit of Warehouse</v>
      </c>
      <c r="L993" s="1" t="str">
        <f>VLOOKUP(A993,[1]Sheet1!$A$2:$J$1141,10,0)</f>
        <v>Section of Mat. Fuel &amp; Packaging Mgmt</v>
      </c>
      <c r="M993" s="2">
        <v>32360</v>
      </c>
      <c r="N993" s="1" t="s">
        <v>29</v>
      </c>
      <c r="O993" s="1" t="s">
        <v>30</v>
      </c>
      <c r="P993" s="1" t="s">
        <v>5192</v>
      </c>
      <c r="Q993" s="1" t="s">
        <v>5130</v>
      </c>
      <c r="R993" s="1" t="s">
        <v>5131</v>
      </c>
      <c r="S993" s="1" t="s">
        <v>5125</v>
      </c>
      <c r="T993" s="14">
        <v>52841</v>
      </c>
      <c r="U993" s="1" t="s">
        <v>5193</v>
      </c>
      <c r="V993" s="1" t="s">
        <v>36</v>
      </c>
      <c r="W993" s="3" t="str">
        <f t="shared" si="15"/>
        <v>38 tahun</v>
      </c>
      <c r="X993" s="1" t="s">
        <v>667</v>
      </c>
      <c r="Y993" s="1" t="s">
        <v>48</v>
      </c>
      <c r="Z993" s="2">
        <v>41275</v>
      </c>
      <c r="AA993" s="2">
        <v>41426</v>
      </c>
      <c r="AB993" s="2" t="s">
        <v>5194</v>
      </c>
    </row>
    <row r="994" spans="1:28" x14ac:dyDescent="0.35">
      <c r="A994" s="12">
        <v>4993</v>
      </c>
      <c r="B994" s="12">
        <v>7395207</v>
      </c>
      <c r="C994" s="12" t="s">
        <v>50</v>
      </c>
      <c r="D994" s="12">
        <v>50071565</v>
      </c>
      <c r="E994" s="1" t="s">
        <v>5195</v>
      </c>
      <c r="F994" s="1" t="str">
        <f>VLOOKUP(A994,[1]Sheet1!$A$2:$E$1141,5,0)</f>
        <v>Mat. Fuel &amp; Packaging Mgmt Jr Officer</v>
      </c>
      <c r="G994" s="17" t="str">
        <f>VLOOKUP(A994,[1]Sheet1!$A$2:$F$1141,6,0)</f>
        <v>Supervisor</v>
      </c>
      <c r="H994" s="1" t="s">
        <v>5121</v>
      </c>
      <c r="I994" s="1" t="s">
        <v>537</v>
      </c>
      <c r="J994" s="1" t="s">
        <v>5122</v>
      </c>
      <c r="K994" s="1" t="str">
        <f>VLOOKUP(A994,[1]Sheet1!$A$2:$I$1141,9,0)</f>
        <v>Unit of Warehouse</v>
      </c>
      <c r="L994" s="1" t="str">
        <f>VLOOKUP(A994,[1]Sheet1!$A$2:$J$1141,10,0)</f>
        <v>Section of Mat. Fuel &amp; Packaging Mgmt</v>
      </c>
      <c r="M994" s="2">
        <v>27028</v>
      </c>
      <c r="N994" s="1" t="s">
        <v>29</v>
      </c>
      <c r="O994" s="1" t="s">
        <v>30</v>
      </c>
      <c r="P994" s="1" t="s">
        <v>5196</v>
      </c>
      <c r="Q994" s="1" t="s">
        <v>5130</v>
      </c>
      <c r="R994" s="1" t="s">
        <v>5131</v>
      </c>
      <c r="S994" s="1" t="s">
        <v>5125</v>
      </c>
      <c r="T994" s="14">
        <v>47484</v>
      </c>
      <c r="U994" s="1" t="s">
        <v>5197</v>
      </c>
      <c r="V994" s="1" t="s">
        <v>36</v>
      </c>
      <c r="W994" s="3" t="str">
        <f t="shared" si="15"/>
        <v>52 tahun</v>
      </c>
      <c r="X994" s="1" t="s">
        <v>96</v>
      </c>
      <c r="Y994" s="1" t="s">
        <v>56</v>
      </c>
      <c r="Z994" s="2">
        <v>35002</v>
      </c>
      <c r="AA994" s="2">
        <v>35370</v>
      </c>
      <c r="AB994" s="2" t="s">
        <v>5198</v>
      </c>
    </row>
    <row r="995" spans="1:28" x14ac:dyDescent="0.35">
      <c r="A995" s="12">
        <v>4930</v>
      </c>
      <c r="B995" s="12">
        <v>7302213</v>
      </c>
      <c r="C995" s="12" t="s">
        <v>164</v>
      </c>
      <c r="D995" s="12">
        <v>50071566</v>
      </c>
      <c r="E995" s="1" t="s">
        <v>5199</v>
      </c>
      <c r="F995" s="1" t="str">
        <f>VLOOKUP(A995,[1]Sheet1!$A$2:$E$1141,5,0)</f>
        <v>Mat. Fuel &amp; Packaging Mgmt Jr Officer</v>
      </c>
      <c r="G995" s="17" t="str">
        <f>VLOOKUP(A995,[1]Sheet1!$A$2:$F$1141,6,0)</f>
        <v>Supervisor</v>
      </c>
      <c r="H995" s="1" t="s">
        <v>5121</v>
      </c>
      <c r="I995" s="1" t="s">
        <v>537</v>
      </c>
      <c r="J995" s="1" t="s">
        <v>5122</v>
      </c>
      <c r="K995" s="1" t="str">
        <f>VLOOKUP(A995,[1]Sheet1!$A$2:$I$1141,9,0)</f>
        <v>Unit of Warehouse</v>
      </c>
      <c r="L995" s="1" t="str">
        <f>VLOOKUP(A995,[1]Sheet1!$A$2:$J$1141,10,0)</f>
        <v>Section of Mat. Fuel &amp; Packaging Mgmt</v>
      </c>
      <c r="M995" s="2">
        <v>26818</v>
      </c>
      <c r="N995" s="1" t="s">
        <v>29</v>
      </c>
      <c r="O995" s="1" t="s">
        <v>30</v>
      </c>
      <c r="P995" s="1" t="s">
        <v>5200</v>
      </c>
      <c r="Q995" s="1" t="s">
        <v>5130</v>
      </c>
      <c r="R995" s="1" t="s">
        <v>5131</v>
      </c>
      <c r="S995" s="1" t="s">
        <v>5125</v>
      </c>
      <c r="T995" s="14">
        <v>47300</v>
      </c>
      <c r="U995" s="1" t="s">
        <v>5201</v>
      </c>
      <c r="V995" s="1" t="s">
        <v>36</v>
      </c>
      <c r="W995" s="3" t="str">
        <f t="shared" si="15"/>
        <v>53 tahun</v>
      </c>
      <c r="X995" s="1" t="s">
        <v>361</v>
      </c>
      <c r="Y995" s="1" t="s">
        <v>56</v>
      </c>
      <c r="Z995" s="2">
        <v>37469</v>
      </c>
      <c r="AA995" s="2">
        <v>38718</v>
      </c>
      <c r="AB995" s="2" t="s">
        <v>5202</v>
      </c>
    </row>
    <row r="996" spans="1:28" x14ac:dyDescent="0.35">
      <c r="A996" s="12">
        <v>4836</v>
      </c>
      <c r="B996" s="12">
        <v>7296001</v>
      </c>
      <c r="C996" s="12" t="s">
        <v>149</v>
      </c>
      <c r="D996" s="12">
        <v>50009066</v>
      </c>
      <c r="E996" s="15" t="s">
        <v>5203</v>
      </c>
      <c r="F996" s="1" t="str">
        <f>VLOOKUP(A996,[1]Sheet1!$A$2:$E$1141,5,0)</f>
        <v>SM of Finance</v>
      </c>
      <c r="G996" s="15" t="str">
        <f>VLOOKUP(A996,[1]Sheet1!$A$2:$F$1141,6,0)</f>
        <v>Senior Manager</v>
      </c>
      <c r="H996" s="1" t="s">
        <v>5204</v>
      </c>
      <c r="I996" s="1" t="s">
        <v>537</v>
      </c>
      <c r="J996" s="1" t="str">
        <f>VLOOKUP(A996,[1]Sheet1!$A$2:$H$1141,8,0)</f>
        <v>Department of Finance &amp; Accounting</v>
      </c>
      <c r="K996" s="1" t="str">
        <f>VLOOKUP(A996,[1]Sheet1!$A$2:$I$1141,9,0)</f>
        <v>Unit of Finance</v>
      </c>
      <c r="L996" s="1" t="e">
        <f>VLOOKUP(A996,[1]Sheet1!$A$2:$J$1141,10,0)</f>
        <v>#REF!</v>
      </c>
      <c r="M996" s="2">
        <v>26451</v>
      </c>
      <c r="N996" s="1" t="s">
        <v>59</v>
      </c>
      <c r="O996" s="1" t="s">
        <v>30</v>
      </c>
      <c r="P996" s="1" t="s">
        <v>5205</v>
      </c>
      <c r="Q996" s="1" t="s">
        <v>5206</v>
      </c>
      <c r="R996" s="1" t="s">
        <v>5207</v>
      </c>
      <c r="S996" s="1" t="s">
        <v>5208</v>
      </c>
      <c r="T996" s="14">
        <v>46935</v>
      </c>
      <c r="U996" s="1" t="s">
        <v>5209</v>
      </c>
      <c r="V996" s="1" t="s">
        <v>36</v>
      </c>
      <c r="W996" s="3" t="str">
        <f t="shared" si="15"/>
        <v>54 tahun</v>
      </c>
      <c r="X996" s="1" t="s">
        <v>96</v>
      </c>
      <c r="Y996" s="1" t="s">
        <v>38</v>
      </c>
      <c r="Z996" s="2">
        <v>35034</v>
      </c>
      <c r="AA996" s="2">
        <v>35462</v>
      </c>
      <c r="AB996" s="2" t="s">
        <v>5210</v>
      </c>
    </row>
    <row r="997" spans="1:28" x14ac:dyDescent="0.35">
      <c r="A997" s="12">
        <v>6261</v>
      </c>
      <c r="B997" s="12">
        <v>9212430</v>
      </c>
      <c r="C997" s="12" t="s">
        <v>103</v>
      </c>
      <c r="D997" s="12">
        <v>50009068</v>
      </c>
      <c r="E997" s="16" t="s">
        <v>5211</v>
      </c>
      <c r="F997" s="1" t="str">
        <f>VLOOKUP(A997,[1]Sheet1!$A$2:$E$1141,5,0)</f>
        <v>Mgr of Treasury</v>
      </c>
      <c r="G997" s="16" t="str">
        <f>VLOOKUP(A997,[1]Sheet1!$A$2:$F$1141,6,0)</f>
        <v>Manager</v>
      </c>
      <c r="H997" s="1" t="s">
        <v>5212</v>
      </c>
      <c r="I997" s="1" t="s">
        <v>537</v>
      </c>
      <c r="J997" s="1" t="str">
        <f>VLOOKUP(A997,[1]Sheet1!$A$2:$H$1141,8,0)</f>
        <v>Department of Finance &amp; Accounting</v>
      </c>
      <c r="K997" s="1" t="str">
        <f>VLOOKUP(A997,[1]Sheet1!$A$2:$I$1141,9,0)</f>
        <v>Unit of Finance</v>
      </c>
      <c r="L997" s="1" t="str">
        <f>VLOOKUP(A997,[1]Sheet1!$A$2:$J$1141,10,0)</f>
        <v>Section of Treasury</v>
      </c>
      <c r="M997" s="2">
        <v>33787</v>
      </c>
      <c r="N997" s="1" t="s">
        <v>29</v>
      </c>
      <c r="O997" s="1" t="s">
        <v>30</v>
      </c>
      <c r="P997" s="1" t="s">
        <v>5213</v>
      </c>
      <c r="Q997" s="1" t="s">
        <v>5214</v>
      </c>
      <c r="R997" s="1" t="s">
        <v>5215</v>
      </c>
      <c r="S997" s="1" t="s">
        <v>5216</v>
      </c>
      <c r="T997" s="14">
        <v>54271</v>
      </c>
      <c r="U997" s="1" t="s">
        <v>5217</v>
      </c>
      <c r="V997" s="1" t="s">
        <v>36</v>
      </c>
      <c r="W997" s="3" t="str">
        <f t="shared" si="15"/>
        <v>34 tahun</v>
      </c>
      <c r="X997" s="1" t="s">
        <v>55</v>
      </c>
      <c r="Y997" s="1" t="s">
        <v>48</v>
      </c>
      <c r="Z997" s="2">
        <v>41275</v>
      </c>
      <c r="AA997" s="2">
        <v>41426</v>
      </c>
      <c r="AB997" s="2" t="s">
        <v>5218</v>
      </c>
    </row>
    <row r="998" spans="1:28" x14ac:dyDescent="0.35">
      <c r="A998" s="12">
        <v>6260</v>
      </c>
      <c r="B998" s="12">
        <v>9212429</v>
      </c>
      <c r="C998" s="12" t="s">
        <v>103</v>
      </c>
      <c r="D998" s="12">
        <v>50062601</v>
      </c>
      <c r="E998" s="1" t="s">
        <v>5219</v>
      </c>
      <c r="F998" s="1" t="str">
        <f>VLOOKUP(A998,[1]Sheet1!$A$2:$E$1141,5,0)</f>
        <v>Treasury Jr Officer</v>
      </c>
      <c r="G998" s="17" t="str">
        <f>VLOOKUP(A998,[1]Sheet1!$A$2:$F$1141,6,0)</f>
        <v>Supervisor</v>
      </c>
      <c r="H998" s="1" t="s">
        <v>5212</v>
      </c>
      <c r="I998" s="1" t="s">
        <v>537</v>
      </c>
      <c r="J998" s="1" t="str">
        <f>VLOOKUP(A998,[1]Sheet1!$A$2:$H$1141,8,0)</f>
        <v>Department of Finance &amp; Accounting</v>
      </c>
      <c r="K998" s="1" t="str">
        <f>VLOOKUP(A998,[1]Sheet1!$A$2:$I$1141,9,0)</f>
        <v>Unit of Finance</v>
      </c>
      <c r="L998" s="1" t="str">
        <f>VLOOKUP(A998,[1]Sheet1!$A$2:$J$1141,10,0)</f>
        <v>Section of Treasury</v>
      </c>
      <c r="M998" s="2">
        <v>33777</v>
      </c>
      <c r="N998" s="1" t="s">
        <v>59</v>
      </c>
      <c r="O998" s="1" t="s">
        <v>30</v>
      </c>
      <c r="P998" s="1" t="s">
        <v>5220</v>
      </c>
      <c r="Q998" s="1" t="s">
        <v>5214</v>
      </c>
      <c r="R998" s="1" t="s">
        <v>5215</v>
      </c>
      <c r="S998" s="1" t="s">
        <v>5216</v>
      </c>
      <c r="T998" s="14">
        <v>54240</v>
      </c>
      <c r="U998" s="1" t="s">
        <v>5221</v>
      </c>
      <c r="V998" s="1" t="s">
        <v>36</v>
      </c>
      <c r="W998" s="3" t="str">
        <f t="shared" si="15"/>
        <v>34 tahun</v>
      </c>
      <c r="X998" s="1" t="s">
        <v>121</v>
      </c>
      <c r="Y998" s="1" t="s">
        <v>56</v>
      </c>
      <c r="Z998" s="2">
        <v>41275</v>
      </c>
      <c r="AA998" s="2">
        <v>41395</v>
      </c>
      <c r="AB998" s="2" t="s">
        <v>5222</v>
      </c>
    </row>
    <row r="999" spans="1:28" x14ac:dyDescent="0.35">
      <c r="A999" s="12">
        <v>5910</v>
      </c>
      <c r="B999" s="12">
        <v>8712077</v>
      </c>
      <c r="C999" s="12" t="s">
        <v>103</v>
      </c>
      <c r="D999" s="12">
        <v>50071446</v>
      </c>
      <c r="E999" s="1" t="s">
        <v>5223</v>
      </c>
      <c r="F999" s="1" t="str">
        <f>VLOOKUP(A999,[1]Sheet1!$A$2:$E$1141,5,0)</f>
        <v>E Treasury Adm Officer</v>
      </c>
      <c r="G999" s="17" t="str">
        <f>VLOOKUP(A999,[1]Sheet1!$A$2:$F$1141,6,0)</f>
        <v>Associate</v>
      </c>
      <c r="H999" s="1" t="s">
        <v>5212</v>
      </c>
      <c r="I999" s="1" t="s">
        <v>537</v>
      </c>
      <c r="J999" s="1" t="str">
        <f>VLOOKUP(A999,[1]Sheet1!$A$2:$H$1141,8,0)</f>
        <v>Department of Finance &amp; Accounting</v>
      </c>
      <c r="K999" s="1" t="str">
        <f>VLOOKUP(A999,[1]Sheet1!$A$2:$I$1141,9,0)</f>
        <v>Unit of Finance</v>
      </c>
      <c r="L999" s="1" t="str">
        <f>VLOOKUP(A999,[1]Sheet1!$A$2:$J$1141,10,0)</f>
        <v>Section of Treasury</v>
      </c>
      <c r="M999" s="2">
        <v>31875</v>
      </c>
      <c r="N999" s="1" t="s">
        <v>29</v>
      </c>
      <c r="O999" s="1" t="s">
        <v>30</v>
      </c>
      <c r="P999" s="1" t="s">
        <v>5224</v>
      </c>
      <c r="Q999" s="1" t="s">
        <v>5225</v>
      </c>
      <c r="R999" s="1" t="s">
        <v>5215</v>
      </c>
      <c r="S999" s="1" t="s">
        <v>5216</v>
      </c>
      <c r="T999" s="14">
        <v>52352</v>
      </c>
      <c r="U999" s="1" t="s">
        <v>5226</v>
      </c>
      <c r="V999" s="1" t="s">
        <v>36</v>
      </c>
      <c r="W999" s="3" t="str">
        <f t="shared" si="15"/>
        <v>39 tahun</v>
      </c>
      <c r="X999" s="1" t="s">
        <v>595</v>
      </c>
      <c r="Y999" s="1" t="s">
        <v>56</v>
      </c>
      <c r="Z999" s="2">
        <v>41275</v>
      </c>
      <c r="AA999" s="2">
        <v>41426</v>
      </c>
      <c r="AB999" s="2" t="s">
        <v>2117</v>
      </c>
    </row>
    <row r="1000" spans="1:28" x14ac:dyDescent="0.35">
      <c r="A1000" s="12">
        <v>4823</v>
      </c>
      <c r="B1000" s="12">
        <v>7295261</v>
      </c>
      <c r="C1000" s="12" t="s">
        <v>50</v>
      </c>
      <c r="D1000" s="12">
        <v>50009089</v>
      </c>
      <c r="E1000" s="16" t="s">
        <v>5227</v>
      </c>
      <c r="F1000" s="1" t="str">
        <f>VLOOKUP(A1000,[1]Sheet1!$A$2:$E$1141,5,0)</f>
        <v>Insurance Officer</v>
      </c>
      <c r="G1000" s="16" t="str">
        <f>VLOOKUP(A1000,[1]Sheet1!$A$2:$F$1141,6,0)</f>
        <v>Manager</v>
      </c>
      <c r="H1000" s="1" t="s">
        <v>5228</v>
      </c>
      <c r="I1000" s="1" t="s">
        <v>537</v>
      </c>
      <c r="J1000" s="1" t="str">
        <f>VLOOKUP(A1000,[1]Sheet1!$A$2:$H$1141,8,0)</f>
        <v>Department of Finance &amp; Accounting</v>
      </c>
      <c r="K1000" s="1" t="str">
        <f>VLOOKUP(A1000,[1]Sheet1!$A$2:$I$1141,9,0)</f>
        <v>Unit of Finance</v>
      </c>
      <c r="L1000" s="1" t="str">
        <f>VLOOKUP(A1000,[1]Sheet1!$A$2:$J$1141,10,0)</f>
        <v>Staff of Insurance</v>
      </c>
      <c r="M1000" s="2">
        <v>26409</v>
      </c>
      <c r="N1000" s="1" t="s">
        <v>29</v>
      </c>
      <c r="O1000" s="1" t="s">
        <v>30</v>
      </c>
      <c r="P1000" s="1" t="s">
        <v>5229</v>
      </c>
      <c r="Q1000" s="1" t="s">
        <v>5230</v>
      </c>
      <c r="R1000" s="1" t="s">
        <v>5231</v>
      </c>
      <c r="S1000" s="1" t="s">
        <v>5232</v>
      </c>
      <c r="T1000" s="14">
        <v>46874</v>
      </c>
      <c r="U1000" s="1" t="s">
        <v>5233</v>
      </c>
      <c r="V1000" s="1" t="s">
        <v>36</v>
      </c>
      <c r="W1000" s="3" t="str">
        <f t="shared" si="15"/>
        <v>54 tahun</v>
      </c>
      <c r="X1000" s="1" t="s">
        <v>96</v>
      </c>
      <c r="Y1000" s="1" t="s">
        <v>48</v>
      </c>
      <c r="Z1000" s="2">
        <v>35034</v>
      </c>
      <c r="AA1000" s="2">
        <v>35400</v>
      </c>
      <c r="AB1000" s="2" t="s">
        <v>5234</v>
      </c>
    </row>
    <row r="1001" spans="1:28" x14ac:dyDescent="0.35">
      <c r="A1001" s="12">
        <v>5835</v>
      </c>
      <c r="B1001" s="12">
        <v>8512002</v>
      </c>
      <c r="C1001" s="12" t="s">
        <v>103</v>
      </c>
      <c r="D1001" s="12">
        <v>50055754</v>
      </c>
      <c r="E1001" s="1" t="s">
        <v>1853</v>
      </c>
      <c r="F1001" s="1" t="str">
        <f>VLOOKUP(A1001,[1]Sheet1!$A$2:$E$1141,5,0)</f>
        <v>Insurance Jr Officer</v>
      </c>
      <c r="G1001" s="17" t="str">
        <f>VLOOKUP(A1001,[1]Sheet1!$A$2:$F$1141,6,0)</f>
        <v>Supervisor</v>
      </c>
      <c r="H1001" s="1" t="s">
        <v>5228</v>
      </c>
      <c r="I1001" s="1" t="s">
        <v>537</v>
      </c>
      <c r="J1001" s="1" t="str">
        <f>VLOOKUP(A1001,[1]Sheet1!$A$2:$H$1141,8,0)</f>
        <v>Department of Finance &amp; Accounting</v>
      </c>
      <c r="K1001" s="1" t="str">
        <f>VLOOKUP(A1001,[1]Sheet1!$A$2:$I$1141,9,0)</f>
        <v>Unit of Finance</v>
      </c>
      <c r="L1001" s="1" t="str">
        <f>VLOOKUP(A1001,[1]Sheet1!$A$2:$J$1141,10,0)</f>
        <v>Staff of Insurance</v>
      </c>
      <c r="M1001" s="2">
        <v>31084</v>
      </c>
      <c r="N1001" s="1" t="s">
        <v>29</v>
      </c>
      <c r="O1001" s="1" t="s">
        <v>30</v>
      </c>
      <c r="P1001" s="1" t="s">
        <v>5235</v>
      </c>
      <c r="Q1001" s="1" t="s">
        <v>5230</v>
      </c>
      <c r="R1001" s="1" t="s">
        <v>5231</v>
      </c>
      <c r="S1001" s="1" t="s">
        <v>5232</v>
      </c>
      <c r="T1001" s="14">
        <v>51561</v>
      </c>
      <c r="U1001" s="1" t="s">
        <v>5236</v>
      </c>
      <c r="V1001" s="1" t="s">
        <v>36</v>
      </c>
      <c r="W1001" s="3" t="str">
        <f t="shared" si="15"/>
        <v>41 tahun</v>
      </c>
      <c r="X1001" s="1" t="s">
        <v>204</v>
      </c>
      <c r="Y1001" s="1" t="s">
        <v>56</v>
      </c>
      <c r="Z1001" s="2">
        <v>41275</v>
      </c>
      <c r="AA1001" s="2">
        <v>41395</v>
      </c>
      <c r="AB1001" s="2" t="s">
        <v>5237</v>
      </c>
    </row>
    <row r="1002" spans="1:28" x14ac:dyDescent="0.35">
      <c r="A1002" s="12">
        <v>7633</v>
      </c>
      <c r="B1002" s="12">
        <v>9318007</v>
      </c>
      <c r="C1002" s="12" t="s">
        <v>916</v>
      </c>
      <c r="D1002" s="12">
        <v>50071425</v>
      </c>
      <c r="E1002" s="16" t="s">
        <v>5238</v>
      </c>
      <c r="F1002" s="1" t="str">
        <f>VLOOKUP(A1002,[1]Sheet1!$A$2:$E$1141,5,0)</f>
        <v>Mgr of Taxation</v>
      </c>
      <c r="G1002" s="16" t="str">
        <f>VLOOKUP(A1002,[1]Sheet1!$A$2:$F$1141,6,0)</f>
        <v>Manager</v>
      </c>
      <c r="H1002" s="1" t="s">
        <v>5239</v>
      </c>
      <c r="I1002" s="1" t="s">
        <v>537</v>
      </c>
      <c r="J1002" s="1" t="str">
        <f>VLOOKUP(A1002,[1]Sheet1!$A$2:$H$1141,8,0)</f>
        <v>Department of Finance &amp; Accounting</v>
      </c>
      <c r="K1002" s="1" t="str">
        <f>VLOOKUP(A1002,[1]Sheet1!$A$2:$I$1141,9,0)</f>
        <v>Unit of Finance</v>
      </c>
      <c r="L1002" s="1" t="str">
        <f>VLOOKUP(A1002,[1]Sheet1!$A$2:$J$1141,10,0)</f>
        <v>Section of Taxation</v>
      </c>
      <c r="M1002" s="2">
        <v>34135</v>
      </c>
      <c r="N1002" s="1" t="s">
        <v>59</v>
      </c>
      <c r="O1002" s="1" t="s">
        <v>30</v>
      </c>
      <c r="P1002" s="1" t="s">
        <v>5240</v>
      </c>
      <c r="Q1002" s="1" t="s">
        <v>5241</v>
      </c>
      <c r="R1002" s="1" t="s">
        <v>5242</v>
      </c>
      <c r="S1002" s="1" t="s">
        <v>5243</v>
      </c>
      <c r="T1002" s="14">
        <v>54605</v>
      </c>
      <c r="U1002" s="1" t="s">
        <v>5244</v>
      </c>
      <c r="V1002" s="1" t="s">
        <v>36</v>
      </c>
      <c r="W1002" s="3" t="str">
        <f t="shared" si="15"/>
        <v>33 tahun</v>
      </c>
      <c r="X1002" s="1" t="s">
        <v>356</v>
      </c>
      <c r="Y1002" s="1" t="s">
        <v>48</v>
      </c>
      <c r="Z1002" s="2">
        <v>43709</v>
      </c>
      <c r="AA1002" s="2">
        <v>43831</v>
      </c>
      <c r="AB1002" s="2" t="s">
        <v>5245</v>
      </c>
    </row>
    <row r="1003" spans="1:28" x14ac:dyDescent="0.35">
      <c r="A1003" s="12">
        <v>5873</v>
      </c>
      <c r="B1003" s="12">
        <v>8612040</v>
      </c>
      <c r="C1003" s="12" t="s">
        <v>103</v>
      </c>
      <c r="D1003" s="12">
        <v>50071427</v>
      </c>
      <c r="E1003" s="1" t="s">
        <v>5246</v>
      </c>
      <c r="F1003" s="1" t="str">
        <f>VLOOKUP(A1003,[1]Sheet1!$A$2:$E$1141,5,0)</f>
        <v>Taxation Jr Officer</v>
      </c>
      <c r="G1003" s="17" t="str">
        <f>VLOOKUP(A1003,[1]Sheet1!$A$2:$F$1141,6,0)</f>
        <v>Supervisor</v>
      </c>
      <c r="H1003" s="1" t="s">
        <v>5239</v>
      </c>
      <c r="I1003" s="1" t="s">
        <v>537</v>
      </c>
      <c r="J1003" s="1" t="str">
        <f>VLOOKUP(A1003,[1]Sheet1!$A$2:$H$1141,8,0)</f>
        <v>Department of Finance &amp; Accounting</v>
      </c>
      <c r="K1003" s="1" t="str">
        <f>VLOOKUP(A1003,[1]Sheet1!$A$2:$I$1141,9,0)</f>
        <v>Unit of Finance</v>
      </c>
      <c r="L1003" s="1" t="str">
        <f>VLOOKUP(A1003,[1]Sheet1!$A$2:$J$1141,10,0)</f>
        <v>Section of Taxation</v>
      </c>
      <c r="M1003" s="2">
        <v>31492</v>
      </c>
      <c r="N1003" s="1" t="s">
        <v>29</v>
      </c>
      <c r="O1003" s="1" t="s">
        <v>30</v>
      </c>
      <c r="P1003" s="1" t="s">
        <v>5247</v>
      </c>
      <c r="Q1003" s="1" t="s">
        <v>5241</v>
      </c>
      <c r="R1003" s="1" t="s">
        <v>5242</v>
      </c>
      <c r="S1003" s="1" t="s">
        <v>5243</v>
      </c>
      <c r="T1003" s="14">
        <v>51957</v>
      </c>
      <c r="U1003" s="1" t="s">
        <v>5248</v>
      </c>
      <c r="V1003" s="1" t="s">
        <v>36</v>
      </c>
      <c r="W1003" s="3" t="str">
        <f t="shared" si="15"/>
        <v>40 tahun</v>
      </c>
      <c r="X1003" s="1" t="s">
        <v>121</v>
      </c>
      <c r="Y1003" s="1" t="s">
        <v>48</v>
      </c>
      <c r="Z1003" s="2">
        <v>41275</v>
      </c>
      <c r="AA1003" s="2">
        <v>41426</v>
      </c>
      <c r="AB1003" s="2" t="s">
        <v>5249</v>
      </c>
    </row>
    <row r="1004" spans="1:28" x14ac:dyDescent="0.35">
      <c r="A1004" s="12">
        <v>5377</v>
      </c>
      <c r="B1004" s="12">
        <v>8608090</v>
      </c>
      <c r="C1004" s="12" t="s">
        <v>25</v>
      </c>
      <c r="D1004" s="12">
        <v>50009100</v>
      </c>
      <c r="E1004" s="15" t="s">
        <v>5250</v>
      </c>
      <c r="F1004" s="1" t="str">
        <f>VLOOKUP(A1004,[1]Sheet1!$A$2:$E$1141,5,0)</f>
        <v>SM of Budgeting &amp; Performance</v>
      </c>
      <c r="G1004" s="15" t="str">
        <f>VLOOKUP(A1004,[1]Sheet1!$A$2:$F$1141,6,0)</f>
        <v>Senior Manager</v>
      </c>
      <c r="H1004" s="1" t="s">
        <v>5251</v>
      </c>
      <c r="I1004" s="1" t="s">
        <v>537</v>
      </c>
      <c r="J1004" s="1" t="str">
        <f>VLOOKUP(A1004,[1]Sheet1!$A$2:$H$1141,8,0)</f>
        <v>Department of Finance &amp; Accounting</v>
      </c>
      <c r="K1004" s="1" t="str">
        <f>VLOOKUP(A1004,[1]Sheet1!$A$2:$I$1141,9,0)</f>
        <v>Unit of Budgeting &amp; Performance</v>
      </c>
      <c r="L1004" s="1" t="e">
        <f>VLOOKUP(A1004,[1]Sheet1!$A$2:$J$1141,10,0)</f>
        <v>#REF!</v>
      </c>
      <c r="M1004" s="2">
        <v>31694</v>
      </c>
      <c r="N1004" s="1" t="s">
        <v>59</v>
      </c>
      <c r="O1004" s="1" t="s">
        <v>30</v>
      </c>
      <c r="P1004" s="1" t="s">
        <v>5252</v>
      </c>
      <c r="Q1004" s="1" t="s">
        <v>5253</v>
      </c>
      <c r="R1004" s="1" t="s">
        <v>5254</v>
      </c>
      <c r="S1004" s="1" t="s">
        <v>5255</v>
      </c>
      <c r="T1004" s="14">
        <v>52171</v>
      </c>
      <c r="U1004" s="1" t="s">
        <v>5256</v>
      </c>
      <c r="V1004" s="1" t="s">
        <v>186</v>
      </c>
      <c r="W1004" s="3" t="str">
        <f t="shared" si="15"/>
        <v>39 tahun</v>
      </c>
      <c r="X1004" s="1" t="s">
        <v>816</v>
      </c>
      <c r="Y1004" s="1" t="s">
        <v>48</v>
      </c>
      <c r="Z1004" s="2">
        <v>39814</v>
      </c>
      <c r="AA1004" s="2">
        <v>39934</v>
      </c>
      <c r="AB1004" s="2" t="s">
        <v>5257</v>
      </c>
    </row>
    <row r="1005" spans="1:28" x14ac:dyDescent="0.35">
      <c r="A1005" s="12">
        <v>8264</v>
      </c>
      <c r="B1005" s="12">
        <v>9923003</v>
      </c>
      <c r="C1005" s="12" t="s">
        <v>158</v>
      </c>
      <c r="D1005" s="12">
        <v>50071165</v>
      </c>
      <c r="E1005" s="1" t="s">
        <v>5258</v>
      </c>
      <c r="F1005" s="1" t="str">
        <f>VLOOKUP(A1005,[1]Sheet1!$A$2:$E$1141,5,0)</f>
        <v>D Budgeting Jr Officer</v>
      </c>
      <c r="G1005" s="17" t="str">
        <f>VLOOKUP(A1005,[1]Sheet1!$A$2:$F$1141,6,0)</f>
        <v>Supervisor</v>
      </c>
      <c r="H1005" s="1" t="s">
        <v>5259</v>
      </c>
      <c r="I1005" s="1" t="s">
        <v>537</v>
      </c>
      <c r="J1005" s="1" t="str">
        <f>VLOOKUP(A1005,[1]Sheet1!$A$2:$H$1141,8,0)</f>
        <v>Department of Finance &amp; Accounting</v>
      </c>
      <c r="K1005" s="1" t="str">
        <f>VLOOKUP(A1005,[1]Sheet1!$A$2:$I$1141,9,0)</f>
        <v>Unit of Budgeting &amp; Performance</v>
      </c>
      <c r="L1005" s="1" t="str">
        <f>VLOOKUP(A1005,[1]Sheet1!$A$2:$J$1141,10,0)</f>
        <v>Staff of Budgeting</v>
      </c>
      <c r="M1005" s="2">
        <v>34188</v>
      </c>
      <c r="N1005" s="1" t="s">
        <v>29</v>
      </c>
      <c r="O1005" s="1" t="s">
        <v>30</v>
      </c>
      <c r="P1005" s="1" t="s">
        <v>5260</v>
      </c>
      <c r="Q1005" s="1" t="s">
        <v>5261</v>
      </c>
      <c r="R1005" s="1" t="s">
        <v>5262</v>
      </c>
      <c r="S1005" s="1" t="s">
        <v>5263</v>
      </c>
      <c r="T1005" s="14">
        <v>54667</v>
      </c>
      <c r="U1005" s="1" t="s">
        <v>5264</v>
      </c>
      <c r="V1005" s="1" t="s">
        <v>36</v>
      </c>
      <c r="W1005" s="3" t="str">
        <f t="shared" si="15"/>
        <v>33 tahun</v>
      </c>
      <c r="X1005" s="1" t="s">
        <v>37</v>
      </c>
      <c r="Y1005" s="1" t="s">
        <v>48</v>
      </c>
      <c r="Z1005" s="2">
        <v>45200</v>
      </c>
      <c r="AA1005" s="2">
        <v>45566</v>
      </c>
      <c r="AB1005" s="2" t="s">
        <v>5265</v>
      </c>
    </row>
    <row r="1006" spans="1:28" x14ac:dyDescent="0.35">
      <c r="A1006" s="12">
        <v>6269</v>
      </c>
      <c r="B1006" s="12">
        <v>9212438</v>
      </c>
      <c r="C1006" s="12" t="s">
        <v>103</v>
      </c>
      <c r="D1006" s="12">
        <v>50055326</v>
      </c>
      <c r="E1006" s="1" t="s">
        <v>5266</v>
      </c>
      <c r="F1006" s="1" t="str">
        <f>VLOOKUP(A1006,[1]Sheet1!$A$2:$E$1141,5,0)</f>
        <v>Budgeting Jr Officer</v>
      </c>
      <c r="G1006" s="17" t="str">
        <f>VLOOKUP(A1006,[1]Sheet1!$A$2:$F$1141,6,0)</f>
        <v>Supervisor</v>
      </c>
      <c r="H1006" s="1" t="s">
        <v>5259</v>
      </c>
      <c r="I1006" s="1" t="s">
        <v>537</v>
      </c>
      <c r="J1006" s="1" t="str">
        <f>VLOOKUP(A1006,[1]Sheet1!$A$2:$H$1141,8,0)</f>
        <v>Department of Finance &amp; Accounting</v>
      </c>
      <c r="K1006" s="1" t="str">
        <f>VLOOKUP(A1006,[1]Sheet1!$A$2:$I$1141,9,0)</f>
        <v>Unit of Budgeting &amp; Performance</v>
      </c>
      <c r="L1006" s="1" t="str">
        <f>VLOOKUP(A1006,[1]Sheet1!$A$2:$J$1141,10,0)</f>
        <v>Staff of Budgeting</v>
      </c>
      <c r="M1006" s="2">
        <v>33878</v>
      </c>
      <c r="N1006" s="1" t="s">
        <v>29</v>
      </c>
      <c r="O1006" s="1" t="s">
        <v>30</v>
      </c>
      <c r="P1006" s="1" t="s">
        <v>5267</v>
      </c>
      <c r="Q1006" s="1" t="s">
        <v>5261</v>
      </c>
      <c r="R1006" s="1" t="s">
        <v>5262</v>
      </c>
      <c r="S1006" s="1" t="s">
        <v>5263</v>
      </c>
      <c r="T1006" s="14">
        <v>54363</v>
      </c>
      <c r="U1006" s="1" t="s">
        <v>5268</v>
      </c>
      <c r="V1006" s="1" t="s">
        <v>36</v>
      </c>
      <c r="W1006" s="3" t="str">
        <f t="shared" si="15"/>
        <v>33 tahun</v>
      </c>
      <c r="X1006" s="1" t="s">
        <v>204</v>
      </c>
      <c r="Y1006" s="1" t="s">
        <v>48</v>
      </c>
      <c r="Z1006" s="2">
        <v>41275</v>
      </c>
      <c r="AA1006" s="2">
        <v>41395</v>
      </c>
      <c r="AB1006" s="2" t="s">
        <v>445</v>
      </c>
    </row>
    <row r="1007" spans="1:28" x14ac:dyDescent="0.35">
      <c r="A1007" s="12">
        <v>5982</v>
      </c>
      <c r="B1007" s="12">
        <v>8812150</v>
      </c>
      <c r="C1007" s="12" t="s">
        <v>103</v>
      </c>
      <c r="D1007" s="12">
        <v>50046423</v>
      </c>
      <c r="E1007" s="16" t="s">
        <v>5269</v>
      </c>
      <c r="F1007" s="1" t="str">
        <f>VLOOKUP(A1007,[1]Sheet1!$A$2:$E$1141,5,0)</f>
        <v>Performance Evaluation Officer</v>
      </c>
      <c r="G1007" s="16" t="str">
        <f>VLOOKUP(A1007,[1]Sheet1!$A$2:$F$1141,6,0)</f>
        <v>Manager</v>
      </c>
      <c r="H1007" s="1" t="s">
        <v>5251</v>
      </c>
      <c r="I1007" s="1" t="s">
        <v>537</v>
      </c>
      <c r="J1007" s="1" t="str">
        <f>VLOOKUP(A1007,[1]Sheet1!$A$2:$H$1141,8,0)</f>
        <v>Department of Finance &amp; Accounting</v>
      </c>
      <c r="K1007" s="1" t="str">
        <f>VLOOKUP(A1007,[1]Sheet1!$A$2:$I$1141,9,0)</f>
        <v>Unit of Budgeting &amp; Performance</v>
      </c>
      <c r="L1007" s="1" t="str">
        <f>VLOOKUP(A1007,[1]Sheet1!$A$2:$J$1141,10,0)</f>
        <v>Staff of Performance Evaluation</v>
      </c>
      <c r="M1007" s="2">
        <v>32425</v>
      </c>
      <c r="N1007" s="1" t="s">
        <v>29</v>
      </c>
      <c r="O1007" s="1" t="s">
        <v>30</v>
      </c>
      <c r="P1007" s="1" t="s">
        <v>5270</v>
      </c>
      <c r="Q1007" s="1" t="s">
        <v>5271</v>
      </c>
      <c r="R1007" s="1" t="s">
        <v>5272</v>
      </c>
      <c r="S1007" s="1" t="s">
        <v>5255</v>
      </c>
      <c r="T1007" s="14">
        <v>52902</v>
      </c>
      <c r="U1007" s="1" t="s">
        <v>5273</v>
      </c>
      <c r="V1007" s="1" t="s">
        <v>36</v>
      </c>
      <c r="W1007" s="3" t="str">
        <f t="shared" si="15"/>
        <v>37 tahun</v>
      </c>
      <c r="X1007" s="1" t="s">
        <v>199</v>
      </c>
      <c r="Y1007" s="1" t="s">
        <v>48</v>
      </c>
      <c r="Z1007" s="2">
        <v>41275</v>
      </c>
      <c r="AA1007" s="2">
        <v>41426</v>
      </c>
      <c r="AB1007" s="2" t="s">
        <v>5274</v>
      </c>
    </row>
    <row r="1008" spans="1:28" x14ac:dyDescent="0.35">
      <c r="A1008" s="12">
        <v>8279</v>
      </c>
      <c r="B1008" s="12">
        <v>9923005</v>
      </c>
      <c r="C1008" s="12" t="s">
        <v>158</v>
      </c>
      <c r="D1008" s="12">
        <v>50055336</v>
      </c>
      <c r="E1008" s="1" t="s">
        <v>5275</v>
      </c>
      <c r="F1008" s="1" t="str">
        <f>VLOOKUP(A1008,[1]Sheet1!$A$2:$E$1141,5,0)</f>
        <v>Performance Evaluation Jr Officer</v>
      </c>
      <c r="G1008" s="17" t="str">
        <f>VLOOKUP(A1008,[1]Sheet1!$A$2:$F$1141,6,0)</f>
        <v>Supervisor</v>
      </c>
      <c r="H1008" s="1" t="s">
        <v>5251</v>
      </c>
      <c r="I1008" s="1" t="s">
        <v>537</v>
      </c>
      <c r="J1008" s="1" t="str">
        <f>VLOOKUP(A1008,[1]Sheet1!$A$2:$H$1141,8,0)</f>
        <v>Department of Finance &amp; Accounting</v>
      </c>
      <c r="K1008" s="1" t="str">
        <f>VLOOKUP(A1008,[1]Sheet1!$A$2:$I$1141,9,0)</f>
        <v>Unit of Budgeting &amp; Performance</v>
      </c>
      <c r="L1008" s="1" t="str">
        <f>VLOOKUP(A1008,[1]Sheet1!$A$2:$J$1141,10,0)</f>
        <v>Staff of Performance Evaluation</v>
      </c>
      <c r="M1008" s="2">
        <v>34620</v>
      </c>
      <c r="N1008" s="1" t="s">
        <v>59</v>
      </c>
      <c r="O1008" s="1" t="s">
        <v>30</v>
      </c>
      <c r="P1008" s="1" t="s">
        <v>5276</v>
      </c>
      <c r="Q1008" s="1" t="s">
        <v>5277</v>
      </c>
      <c r="R1008" s="1" t="s">
        <v>5272</v>
      </c>
      <c r="S1008" s="1" t="s">
        <v>5255</v>
      </c>
      <c r="T1008" s="14">
        <v>55093</v>
      </c>
      <c r="U1008" s="1" t="s">
        <v>5278</v>
      </c>
      <c r="V1008" s="1" t="s">
        <v>36</v>
      </c>
      <c r="W1008" s="3" t="str">
        <f t="shared" si="15"/>
        <v>31 tahun</v>
      </c>
      <c r="X1008" s="1" t="s">
        <v>1246</v>
      </c>
      <c r="Y1008" s="1" t="s">
        <v>48</v>
      </c>
      <c r="Z1008" s="2">
        <v>45200</v>
      </c>
      <c r="AA1008" s="2">
        <v>45566</v>
      </c>
      <c r="AB1008" s="2" t="s">
        <v>5279</v>
      </c>
    </row>
    <row r="1009" spans="1:28" x14ac:dyDescent="0.35">
      <c r="A1009" s="12">
        <v>7637</v>
      </c>
      <c r="B1009" s="12">
        <v>9618005</v>
      </c>
      <c r="C1009" s="12" t="s">
        <v>916</v>
      </c>
      <c r="D1009" s="12">
        <v>50055588</v>
      </c>
      <c r="E1009" s="16" t="s">
        <v>5280</v>
      </c>
      <c r="F1009" s="1" t="str">
        <f>VLOOKUP(A1009,[1]Sheet1!$A$2:$E$1141,5,0)</f>
        <v>Mgr of Cost Accounting</v>
      </c>
      <c r="G1009" s="16" t="str">
        <f>VLOOKUP(A1009,[1]Sheet1!$A$2:$F$1141,6,0)</f>
        <v>Manager</v>
      </c>
      <c r="H1009" s="1" t="s">
        <v>5251</v>
      </c>
      <c r="I1009" s="1" t="s">
        <v>537</v>
      </c>
      <c r="J1009" s="1" t="str">
        <f>VLOOKUP(A1009,[1]Sheet1!$A$2:$H$1141,8,0)</f>
        <v>Department of Finance &amp; Accounting</v>
      </c>
      <c r="K1009" s="1" t="str">
        <f>VLOOKUP(A1009,[1]Sheet1!$A$2:$I$1141,9,0)</f>
        <v>Unit of Budgeting &amp; Performance</v>
      </c>
      <c r="L1009" s="1" t="str">
        <f>VLOOKUP(A1009,[1]Sheet1!$A$2:$J$1141,10,0)</f>
        <v>Section of Cost Accounting</v>
      </c>
      <c r="M1009" s="2">
        <v>35412</v>
      </c>
      <c r="N1009" s="1" t="s">
        <v>29</v>
      </c>
      <c r="O1009" s="1" t="s">
        <v>30</v>
      </c>
      <c r="P1009" s="1" t="s">
        <v>5281</v>
      </c>
      <c r="Q1009" s="1" t="s">
        <v>5277</v>
      </c>
      <c r="R1009" s="1" t="s">
        <v>5282</v>
      </c>
      <c r="S1009" s="1" t="s">
        <v>5255</v>
      </c>
      <c r="T1009" s="14">
        <v>55885</v>
      </c>
      <c r="U1009" s="1" t="s">
        <v>5283</v>
      </c>
      <c r="V1009" s="1" t="s">
        <v>36</v>
      </c>
      <c r="W1009" s="3" t="str">
        <f t="shared" si="15"/>
        <v>29 tahun</v>
      </c>
      <c r="X1009" s="1" t="s">
        <v>2475</v>
      </c>
      <c r="Y1009" s="1" t="s">
        <v>48</v>
      </c>
      <c r="Z1009" s="2">
        <v>43709</v>
      </c>
      <c r="AA1009" s="2">
        <v>43831</v>
      </c>
      <c r="AB1009" s="2" t="s">
        <v>5284</v>
      </c>
    </row>
    <row r="1010" spans="1:28" x14ac:dyDescent="0.35">
      <c r="A1010" s="12">
        <v>6200</v>
      </c>
      <c r="B1010" s="12">
        <v>9112366</v>
      </c>
      <c r="C1010" s="12" t="s">
        <v>103</v>
      </c>
      <c r="D1010" s="12">
        <v>50055591</v>
      </c>
      <c r="E1010" s="1" t="s">
        <v>5285</v>
      </c>
      <c r="F1010" s="1" t="str">
        <f>VLOOKUP(A1010,[1]Sheet1!$A$2:$E$1141,5,0)</f>
        <v>Cost Accounting Jr Officer</v>
      </c>
      <c r="G1010" s="17" t="str">
        <f>VLOOKUP(A1010,[1]Sheet1!$A$2:$F$1141,6,0)</f>
        <v>Supervisor</v>
      </c>
      <c r="H1010" s="1" t="s">
        <v>5251</v>
      </c>
      <c r="I1010" s="1" t="s">
        <v>537</v>
      </c>
      <c r="J1010" s="1" t="str">
        <f>VLOOKUP(A1010,[1]Sheet1!$A$2:$H$1141,8,0)</f>
        <v>Department of Finance &amp; Accounting</v>
      </c>
      <c r="K1010" s="1" t="str">
        <f>VLOOKUP(A1010,[1]Sheet1!$A$2:$I$1141,9,0)</f>
        <v>Unit of Budgeting &amp; Performance</v>
      </c>
      <c r="L1010" s="1" t="str">
        <f>VLOOKUP(A1010,[1]Sheet1!$A$2:$J$1141,10,0)</f>
        <v>Section of Cost Accounting</v>
      </c>
      <c r="M1010" s="2">
        <v>33463</v>
      </c>
      <c r="N1010" s="1" t="s">
        <v>29</v>
      </c>
      <c r="O1010" s="1" t="s">
        <v>30</v>
      </c>
      <c r="P1010" s="1" t="s">
        <v>5286</v>
      </c>
      <c r="Q1010" s="1" t="s">
        <v>5287</v>
      </c>
      <c r="R1010" s="1" t="s">
        <v>5282</v>
      </c>
      <c r="S1010" s="1" t="s">
        <v>5255</v>
      </c>
      <c r="T1010" s="14">
        <v>53936</v>
      </c>
      <c r="U1010" s="1" t="s">
        <v>5288</v>
      </c>
      <c r="V1010" s="1" t="s">
        <v>36</v>
      </c>
      <c r="W1010" s="3" t="str">
        <f t="shared" si="15"/>
        <v>35 tahun</v>
      </c>
      <c r="X1010" s="1" t="s">
        <v>121</v>
      </c>
      <c r="Y1010" s="1" t="s">
        <v>48</v>
      </c>
      <c r="Z1010" s="2">
        <v>41275</v>
      </c>
      <c r="AA1010" s="2">
        <v>41426</v>
      </c>
      <c r="AB1010" s="2" t="s">
        <v>5289</v>
      </c>
    </row>
    <row r="1011" spans="1:28" x14ac:dyDescent="0.35">
      <c r="A1011" s="12">
        <v>6074</v>
      </c>
      <c r="B1011" s="12">
        <v>9012241</v>
      </c>
      <c r="C1011" s="12" t="s">
        <v>103</v>
      </c>
      <c r="D1011" s="12">
        <v>50071426</v>
      </c>
      <c r="E1011" s="1" t="s">
        <v>5290</v>
      </c>
      <c r="F1011" s="1" t="str">
        <f>VLOOKUP(A1011,[1]Sheet1!$A$2:$E$1141,5,0)</f>
        <v>Taxation Jr Officer</v>
      </c>
      <c r="G1011" s="17" t="str">
        <f>VLOOKUP(A1011,[1]Sheet1!$A$2:$F$1141,6,0)</f>
        <v>Supervisor</v>
      </c>
      <c r="H1011" s="1" t="s">
        <v>5204</v>
      </c>
      <c r="I1011" s="1" t="s">
        <v>537</v>
      </c>
      <c r="J1011" s="1" t="str">
        <f>VLOOKUP(A1011,[1]Sheet1!$A$2:$H$1141,8,0)</f>
        <v>Department of Finance &amp; Accounting</v>
      </c>
      <c r="K1011" s="1" t="str">
        <f>VLOOKUP(A1011,[1]Sheet1!$A$2:$I$1141,9,0)</f>
        <v>Unit of Finance</v>
      </c>
      <c r="L1011" s="1" t="str">
        <f>VLOOKUP(A1011,[1]Sheet1!$A$2:$J$1141,10,0)</f>
        <v>Section of Taxation</v>
      </c>
      <c r="M1011" s="2">
        <v>32923</v>
      </c>
      <c r="N1011" s="1" t="s">
        <v>29</v>
      </c>
      <c r="O1011" s="1" t="s">
        <v>30</v>
      </c>
      <c r="P1011" s="1" t="s">
        <v>5291</v>
      </c>
      <c r="Q1011" s="1" t="s">
        <v>5271</v>
      </c>
      <c r="R1011" s="1" t="s">
        <v>5292</v>
      </c>
      <c r="S1011" s="1" t="s">
        <v>5208</v>
      </c>
      <c r="T1011" s="14">
        <v>53387</v>
      </c>
      <c r="U1011" s="1" t="s">
        <v>5293</v>
      </c>
      <c r="V1011" s="1" t="s">
        <v>36</v>
      </c>
      <c r="W1011" s="3" t="str">
        <f t="shared" si="15"/>
        <v>36 tahun</v>
      </c>
      <c r="X1011" s="1" t="s">
        <v>112</v>
      </c>
      <c r="Y1011" s="1" t="s">
        <v>56</v>
      </c>
      <c r="Z1011" s="2">
        <v>41275</v>
      </c>
      <c r="AA1011" s="2">
        <v>41426</v>
      </c>
      <c r="AB1011" s="2" t="s">
        <v>5294</v>
      </c>
    </row>
    <row r="1012" spans="1:28" x14ac:dyDescent="0.35">
      <c r="A1012" s="12">
        <v>5178</v>
      </c>
      <c r="B1012" s="12">
        <v>7595297</v>
      </c>
      <c r="C1012" s="12" t="s">
        <v>50</v>
      </c>
      <c r="D1012" s="12">
        <v>50009118</v>
      </c>
      <c r="E1012" s="15" t="s">
        <v>5295</v>
      </c>
      <c r="F1012" s="1" t="str">
        <f>VLOOKUP(A1012,[1]Sheet1!$A$2:$E$1141,5,0)</f>
        <v>SM of Accounting</v>
      </c>
      <c r="G1012" s="15" t="str">
        <f>VLOOKUP(A1012,[1]Sheet1!$A$2:$F$1141,6,0)</f>
        <v>Senior Manager</v>
      </c>
      <c r="H1012" s="1" t="s">
        <v>5296</v>
      </c>
      <c r="I1012" s="1" t="s">
        <v>537</v>
      </c>
      <c r="J1012" s="1" t="str">
        <f>VLOOKUP(A1012,[1]Sheet1!$A$2:$H$1141,8,0)</f>
        <v>Department of Finance &amp; Accounting</v>
      </c>
      <c r="K1012" s="1" t="str">
        <f>VLOOKUP(A1012,[1]Sheet1!$A$2:$I$1141,9,0)</f>
        <v>Unit of Accounting</v>
      </c>
      <c r="L1012" s="1" t="e">
        <f>VLOOKUP(A1012,[1]Sheet1!$A$2:$J$1141,10,0)</f>
        <v>#REF!</v>
      </c>
      <c r="M1012" s="2">
        <v>27739</v>
      </c>
      <c r="N1012" s="1" t="s">
        <v>29</v>
      </c>
      <c r="O1012" s="1" t="s">
        <v>30</v>
      </c>
      <c r="P1012" s="1" t="s">
        <v>5297</v>
      </c>
      <c r="Q1012" s="1" t="s">
        <v>5298</v>
      </c>
      <c r="R1012" s="1" t="s">
        <v>5299</v>
      </c>
      <c r="S1012" s="1" t="s">
        <v>5300</v>
      </c>
      <c r="T1012" s="14">
        <v>48214</v>
      </c>
      <c r="U1012" s="1" t="s">
        <v>5301</v>
      </c>
      <c r="V1012" s="1" t="s">
        <v>36</v>
      </c>
      <c r="W1012" s="3" t="str">
        <f t="shared" si="15"/>
        <v>50 tahun</v>
      </c>
      <c r="X1012" s="1" t="s">
        <v>96</v>
      </c>
      <c r="Y1012" s="1" t="s">
        <v>48</v>
      </c>
      <c r="Z1012" s="2">
        <v>35034</v>
      </c>
      <c r="AA1012" s="2">
        <v>35400</v>
      </c>
      <c r="AB1012" s="2" t="s">
        <v>5302</v>
      </c>
    </row>
    <row r="1013" spans="1:28" x14ac:dyDescent="0.35">
      <c r="A1013" s="12">
        <v>5855</v>
      </c>
      <c r="B1013" s="12">
        <v>8512021</v>
      </c>
      <c r="C1013" s="12" t="s">
        <v>103</v>
      </c>
      <c r="D1013" s="12">
        <v>50009101</v>
      </c>
      <c r="E1013" s="16" t="s">
        <v>5303</v>
      </c>
      <c r="F1013" s="1" t="str">
        <f>VLOOKUP(A1013,[1]Sheet1!$A$2:$E$1141,5,0)</f>
        <v>Financial Accounting Officer</v>
      </c>
      <c r="G1013" s="16" t="str">
        <f>VLOOKUP(A1013,[1]Sheet1!$A$2:$F$1141,6,0)</f>
        <v>Manager</v>
      </c>
      <c r="H1013" s="1" t="s">
        <v>5304</v>
      </c>
      <c r="I1013" s="1" t="s">
        <v>537</v>
      </c>
      <c r="J1013" s="1" t="str">
        <f>VLOOKUP(A1013,[1]Sheet1!$A$2:$H$1141,8,0)</f>
        <v>Department of Finance &amp; Accounting</v>
      </c>
      <c r="K1013" s="1" t="str">
        <f>VLOOKUP(A1013,[1]Sheet1!$A$2:$I$1141,9,0)</f>
        <v>Unit of Accounting</v>
      </c>
      <c r="L1013" s="1" t="str">
        <f>VLOOKUP(A1013,[1]Sheet1!$A$2:$J$1141,10,0)</f>
        <v>Section of Financial Accounting</v>
      </c>
      <c r="M1013" s="2">
        <v>31346</v>
      </c>
      <c r="N1013" s="1" t="s">
        <v>29</v>
      </c>
      <c r="O1013" s="1" t="s">
        <v>30</v>
      </c>
      <c r="P1013" s="1" t="s">
        <v>5305</v>
      </c>
      <c r="Q1013" s="1" t="s">
        <v>5287</v>
      </c>
      <c r="R1013" s="1" t="s">
        <v>5306</v>
      </c>
      <c r="S1013" s="1" t="s">
        <v>5307</v>
      </c>
      <c r="T1013" s="14">
        <v>51806</v>
      </c>
      <c r="U1013" s="1" t="s">
        <v>5308</v>
      </c>
      <c r="V1013" s="1" t="s">
        <v>36</v>
      </c>
      <c r="W1013" s="3" t="str">
        <f t="shared" si="15"/>
        <v>40 tahun</v>
      </c>
      <c r="X1013" s="1" t="s">
        <v>121</v>
      </c>
      <c r="Y1013" s="1" t="s">
        <v>48</v>
      </c>
      <c r="Z1013" s="2">
        <v>41275</v>
      </c>
      <c r="AA1013" s="2">
        <v>41426</v>
      </c>
      <c r="AB1013" s="2" t="s">
        <v>5309</v>
      </c>
    </row>
    <row r="1014" spans="1:28" x14ac:dyDescent="0.35">
      <c r="A1014" s="12">
        <v>6199</v>
      </c>
      <c r="B1014" s="12">
        <v>9112365</v>
      </c>
      <c r="C1014" s="12" t="s">
        <v>103</v>
      </c>
      <c r="D1014" s="12">
        <v>50009102</v>
      </c>
      <c r="E1014" s="1" t="s">
        <v>5310</v>
      </c>
      <c r="F1014" s="1" t="str">
        <f>VLOOKUP(A1014,[1]Sheet1!$A$2:$E$1141,5,0)</f>
        <v>Financial Accounting Jr Officer</v>
      </c>
      <c r="G1014" s="17" t="str">
        <f>VLOOKUP(A1014,[1]Sheet1!$A$2:$F$1141,6,0)</f>
        <v>Supervisor</v>
      </c>
      <c r="H1014" s="1" t="s">
        <v>5304</v>
      </c>
      <c r="I1014" s="1" t="s">
        <v>537</v>
      </c>
      <c r="J1014" s="1" t="str">
        <f>VLOOKUP(A1014,[1]Sheet1!$A$2:$H$1141,8,0)</f>
        <v>Department of Finance &amp; Accounting</v>
      </c>
      <c r="K1014" s="1" t="str">
        <f>VLOOKUP(A1014,[1]Sheet1!$A$2:$I$1141,9,0)</f>
        <v>Unit of Accounting</v>
      </c>
      <c r="L1014" s="1" t="str">
        <f>VLOOKUP(A1014,[1]Sheet1!$A$2:$J$1141,10,0)</f>
        <v>Section of Financial Accounting</v>
      </c>
      <c r="M1014" s="2">
        <v>33447</v>
      </c>
      <c r="N1014" s="1" t="s">
        <v>29</v>
      </c>
      <c r="O1014" s="1" t="s">
        <v>30</v>
      </c>
      <c r="P1014" s="1" t="s">
        <v>5311</v>
      </c>
      <c r="Q1014" s="1" t="s">
        <v>5241</v>
      </c>
      <c r="R1014" s="1" t="s">
        <v>5312</v>
      </c>
      <c r="S1014" s="1" t="s">
        <v>5307</v>
      </c>
      <c r="T1014" s="14">
        <v>53905</v>
      </c>
      <c r="U1014" s="1" t="s">
        <v>5313</v>
      </c>
      <c r="V1014" s="1" t="s">
        <v>36</v>
      </c>
      <c r="W1014" s="3" t="str">
        <f t="shared" si="15"/>
        <v>35 tahun</v>
      </c>
      <c r="X1014" s="1" t="s">
        <v>204</v>
      </c>
      <c r="Y1014" s="1" t="s">
        <v>38</v>
      </c>
      <c r="Z1014" s="2">
        <v>41275</v>
      </c>
      <c r="AA1014" s="2">
        <v>41426</v>
      </c>
      <c r="AB1014" s="2" t="s">
        <v>5314</v>
      </c>
    </row>
    <row r="1015" spans="1:28" x14ac:dyDescent="0.35">
      <c r="A1015" s="12">
        <v>7635</v>
      </c>
      <c r="B1015" s="12">
        <v>9618001</v>
      </c>
      <c r="C1015" s="12" t="s">
        <v>916</v>
      </c>
      <c r="D1015" s="12">
        <v>50071457</v>
      </c>
      <c r="E1015" s="16" t="s">
        <v>5315</v>
      </c>
      <c r="F1015" s="1" t="str">
        <f>VLOOKUP(A1015,[1]Sheet1!$A$2:$E$1141,5,0)</f>
        <v>AP/AR Management Officer</v>
      </c>
      <c r="G1015" s="16" t="str">
        <f>VLOOKUP(A1015,[1]Sheet1!$A$2:$F$1141,6,0)</f>
        <v>Manager</v>
      </c>
      <c r="H1015" s="1" t="s">
        <v>5316</v>
      </c>
      <c r="I1015" s="1" t="s">
        <v>537</v>
      </c>
      <c r="J1015" s="1" t="str">
        <f>VLOOKUP(A1015,[1]Sheet1!$A$2:$H$1141,8,0)</f>
        <v>Department of Finance &amp; Accounting</v>
      </c>
      <c r="K1015" s="1" t="str">
        <f>VLOOKUP(A1015,[1]Sheet1!$A$2:$I$1141,9,0)</f>
        <v>Unit of Accounting</v>
      </c>
      <c r="L1015" s="1" t="str">
        <f>VLOOKUP(A1015,[1]Sheet1!$A$2:$J$1141,10,0)</f>
        <v>Staff of AP/AR Management</v>
      </c>
      <c r="M1015" s="2">
        <v>35325</v>
      </c>
      <c r="N1015" s="1" t="s">
        <v>29</v>
      </c>
      <c r="O1015" s="1" t="s">
        <v>30</v>
      </c>
      <c r="P1015" s="1" t="s">
        <v>5317</v>
      </c>
      <c r="Q1015" s="1" t="s">
        <v>5318</v>
      </c>
      <c r="R1015" s="1" t="s">
        <v>5319</v>
      </c>
      <c r="S1015" s="1" t="s">
        <v>5320</v>
      </c>
      <c r="T1015" s="14">
        <v>55793</v>
      </c>
      <c r="U1015" s="1" t="s">
        <v>5321</v>
      </c>
      <c r="V1015" s="1" t="s">
        <v>36</v>
      </c>
      <c r="W1015" s="3" t="str">
        <f t="shared" si="15"/>
        <v>29 tahun</v>
      </c>
      <c r="X1015" s="1" t="s">
        <v>121</v>
      </c>
      <c r="Y1015" s="1" t="s">
        <v>48</v>
      </c>
      <c r="Z1015" s="2">
        <v>43709</v>
      </c>
      <c r="AA1015" s="2">
        <v>43831</v>
      </c>
      <c r="AB1015" s="2" t="s">
        <v>5322</v>
      </c>
    </row>
    <row r="1016" spans="1:28" x14ac:dyDescent="0.35">
      <c r="A1016" s="12">
        <v>4869</v>
      </c>
      <c r="B1016" s="12">
        <v>7306406</v>
      </c>
      <c r="C1016" s="12" t="s">
        <v>219</v>
      </c>
      <c r="D1016" s="12">
        <v>50071529</v>
      </c>
      <c r="E1016" s="1" t="s">
        <v>5323</v>
      </c>
      <c r="F1016" s="1" t="str">
        <f>VLOOKUP(A1016,[1]Sheet1!$A$2:$E$1141,5,0)</f>
        <v>E AP/AR Management Adm Officer</v>
      </c>
      <c r="G1016" s="17" t="str">
        <f>VLOOKUP(A1016,[1]Sheet1!$A$2:$F$1141,6,0)</f>
        <v>Associate</v>
      </c>
      <c r="H1016" s="1" t="s">
        <v>5316</v>
      </c>
      <c r="I1016" s="1" t="s">
        <v>537</v>
      </c>
      <c r="J1016" s="1" t="str">
        <f>VLOOKUP(A1016,[1]Sheet1!$A$2:$H$1141,8,0)</f>
        <v>Department of Finance &amp; Accounting</v>
      </c>
      <c r="K1016" s="1" t="str">
        <f>VLOOKUP(A1016,[1]Sheet1!$A$2:$I$1141,9,0)</f>
        <v>Unit of Accounting</v>
      </c>
      <c r="L1016" s="1" t="str">
        <f>VLOOKUP(A1016,[1]Sheet1!$A$2:$J$1141,10,0)</f>
        <v>Staff of AP/AR Management</v>
      </c>
      <c r="M1016" s="2">
        <v>26887</v>
      </c>
      <c r="N1016" s="1" t="s">
        <v>59</v>
      </c>
      <c r="O1016" s="1" t="s">
        <v>30</v>
      </c>
      <c r="P1016" s="1" t="s">
        <v>5324</v>
      </c>
      <c r="Q1016" s="1" t="s">
        <v>5318</v>
      </c>
      <c r="R1016" s="1" t="s">
        <v>5325</v>
      </c>
      <c r="S1016" s="1" t="s">
        <v>5320</v>
      </c>
      <c r="T1016" s="14">
        <v>47362</v>
      </c>
      <c r="U1016" s="1" t="s">
        <v>5326</v>
      </c>
      <c r="V1016" s="1" t="s">
        <v>36</v>
      </c>
      <c r="W1016" s="3" t="str">
        <f t="shared" si="15"/>
        <v>53 tahun</v>
      </c>
      <c r="X1016" s="1" t="s">
        <v>5327</v>
      </c>
      <c r="Y1016" s="1" t="s">
        <v>56</v>
      </c>
      <c r="Z1016" s="2">
        <v>38718</v>
      </c>
      <c r="AA1016" s="2">
        <v>41030</v>
      </c>
      <c r="AB1016" s="2" t="s">
        <v>5328</v>
      </c>
    </row>
    <row r="1017" spans="1:28" x14ac:dyDescent="0.35">
      <c r="A1017" s="12">
        <v>6001</v>
      </c>
      <c r="B1017" s="12">
        <v>8912168</v>
      </c>
      <c r="C1017" s="12" t="s">
        <v>103</v>
      </c>
      <c r="D1017" s="12">
        <v>50009113</v>
      </c>
      <c r="E1017" s="16" t="s">
        <v>2683</v>
      </c>
      <c r="F1017" s="1" t="str">
        <f>VLOOKUP(A1017,[1]Sheet1!$A$2:$E$1141,5,0)</f>
        <v>Mgr of Verification</v>
      </c>
      <c r="G1017" s="16" t="str">
        <f>VLOOKUP(A1017,[1]Sheet1!$A$2:$F$1141,6,0)</f>
        <v>Manager</v>
      </c>
      <c r="H1017" s="1" t="s">
        <v>5329</v>
      </c>
      <c r="I1017" s="1" t="s">
        <v>537</v>
      </c>
      <c r="J1017" s="1" t="str">
        <f>VLOOKUP(A1017,[1]Sheet1!$A$2:$H$1141,8,0)</f>
        <v>Department of Finance &amp; Accounting</v>
      </c>
      <c r="K1017" s="1" t="str">
        <f>VLOOKUP(A1017,[1]Sheet1!$A$2:$I$1141,9,0)</f>
        <v>Unit of Accounting</v>
      </c>
      <c r="L1017" s="1" t="str">
        <f>VLOOKUP(A1017,[1]Sheet1!$A$2:$J$1141,10,0)</f>
        <v>Section of Verification</v>
      </c>
      <c r="M1017" s="2">
        <v>32553</v>
      </c>
      <c r="N1017" s="1" t="s">
        <v>29</v>
      </c>
      <c r="O1017" s="1" t="s">
        <v>30</v>
      </c>
      <c r="P1017" s="1" t="s">
        <v>5330</v>
      </c>
      <c r="Q1017" s="1" t="s">
        <v>5287</v>
      </c>
      <c r="R1017" s="1" t="s">
        <v>5331</v>
      </c>
      <c r="S1017" s="1" t="s">
        <v>5332</v>
      </c>
      <c r="T1017" s="14">
        <v>53022</v>
      </c>
      <c r="U1017" s="1" t="s">
        <v>5333</v>
      </c>
      <c r="V1017" s="1" t="s">
        <v>36</v>
      </c>
      <c r="W1017" s="3" t="str">
        <f t="shared" si="15"/>
        <v>37 tahun</v>
      </c>
      <c r="X1017" s="1" t="s">
        <v>1274</v>
      </c>
      <c r="Y1017" s="1" t="s">
        <v>56</v>
      </c>
      <c r="Z1017" s="2">
        <v>41275</v>
      </c>
      <c r="AA1017" s="2">
        <v>41395</v>
      </c>
      <c r="AB1017" s="2" t="s">
        <v>5334</v>
      </c>
    </row>
    <row r="1018" spans="1:28" x14ac:dyDescent="0.35">
      <c r="A1018" s="12">
        <v>5102</v>
      </c>
      <c r="B1018" s="12">
        <v>7498020</v>
      </c>
      <c r="C1018" s="12" t="s">
        <v>986</v>
      </c>
      <c r="D1018" s="12">
        <v>50009114</v>
      </c>
      <c r="E1018" s="1" t="s">
        <v>5335</v>
      </c>
      <c r="F1018" s="1" t="str">
        <f>VLOOKUP(A1018,[1]Sheet1!$A$2:$E$1141,5,0)</f>
        <v>Verification Jr Officer</v>
      </c>
      <c r="G1018" s="17" t="str">
        <f>VLOOKUP(A1018,[1]Sheet1!$A$2:$F$1141,6,0)</f>
        <v>Supervisor</v>
      </c>
      <c r="H1018" s="1" t="s">
        <v>5329</v>
      </c>
      <c r="I1018" s="1" t="s">
        <v>537</v>
      </c>
      <c r="J1018" s="1" t="str">
        <f>VLOOKUP(A1018,[1]Sheet1!$A$2:$H$1141,8,0)</f>
        <v>Department of Finance &amp; Accounting</v>
      </c>
      <c r="K1018" s="1" t="str">
        <f>VLOOKUP(A1018,[1]Sheet1!$A$2:$I$1141,9,0)</f>
        <v>Unit of Accounting</v>
      </c>
      <c r="L1018" s="1" t="str">
        <f>VLOOKUP(A1018,[1]Sheet1!$A$2:$J$1141,10,0)</f>
        <v>Section of Verification</v>
      </c>
      <c r="M1018" s="2">
        <v>27392</v>
      </c>
      <c r="N1018" s="1" t="s">
        <v>59</v>
      </c>
      <c r="O1018" s="1" t="s">
        <v>30</v>
      </c>
      <c r="P1018" s="1" t="s">
        <v>5336</v>
      </c>
      <c r="Q1018" s="1" t="s">
        <v>5337</v>
      </c>
      <c r="R1018" s="1" t="s">
        <v>5338</v>
      </c>
      <c r="S1018" s="1" t="s">
        <v>5332</v>
      </c>
      <c r="T1018" s="14">
        <v>47849</v>
      </c>
      <c r="U1018" s="1" t="s">
        <v>5339</v>
      </c>
      <c r="V1018" s="1" t="s">
        <v>36</v>
      </c>
      <c r="W1018" s="3" t="str">
        <f t="shared" si="15"/>
        <v>51 tahun</v>
      </c>
      <c r="X1018" s="1" t="s">
        <v>994</v>
      </c>
      <c r="Y1018" s="1" t="s">
        <v>48</v>
      </c>
      <c r="Z1018" s="2">
        <v>35835</v>
      </c>
      <c r="AA1018" s="2">
        <v>36220</v>
      </c>
      <c r="AB1018" s="2" t="s">
        <v>84</v>
      </c>
    </row>
    <row r="1019" spans="1:28" x14ac:dyDescent="0.35">
      <c r="A1019" s="12">
        <v>6030</v>
      </c>
      <c r="B1019" s="12">
        <v>8912197</v>
      </c>
      <c r="C1019" s="12" t="s">
        <v>103</v>
      </c>
      <c r="D1019" s="12">
        <v>50009115</v>
      </c>
      <c r="E1019" s="1" t="s">
        <v>5340</v>
      </c>
      <c r="F1019" s="1" t="str">
        <f>VLOOKUP(A1019,[1]Sheet1!$A$2:$E$1141,5,0)</f>
        <v>Verification Jr Officer</v>
      </c>
      <c r="G1019" s="17" t="str">
        <f>VLOOKUP(A1019,[1]Sheet1!$A$2:$F$1141,6,0)</f>
        <v>Supervisor</v>
      </c>
      <c r="H1019" s="1" t="s">
        <v>5329</v>
      </c>
      <c r="I1019" s="1" t="s">
        <v>537</v>
      </c>
      <c r="J1019" s="1" t="str">
        <f>VLOOKUP(A1019,[1]Sheet1!$A$2:$H$1141,8,0)</f>
        <v>Department of Finance &amp; Accounting</v>
      </c>
      <c r="K1019" s="1" t="str">
        <f>VLOOKUP(A1019,[1]Sheet1!$A$2:$I$1141,9,0)</f>
        <v>Unit of Accounting</v>
      </c>
      <c r="L1019" s="1" t="str">
        <f>VLOOKUP(A1019,[1]Sheet1!$A$2:$J$1141,10,0)</f>
        <v>Section of Verification</v>
      </c>
      <c r="M1019" s="2">
        <v>32675</v>
      </c>
      <c r="N1019" s="1" t="s">
        <v>59</v>
      </c>
      <c r="O1019" s="1" t="s">
        <v>30</v>
      </c>
      <c r="P1019" s="1" t="s">
        <v>5341</v>
      </c>
      <c r="Q1019" s="1" t="s">
        <v>5337</v>
      </c>
      <c r="R1019" s="1" t="s">
        <v>5338</v>
      </c>
      <c r="S1019" s="1" t="s">
        <v>5332</v>
      </c>
      <c r="T1019" s="14">
        <v>53144</v>
      </c>
      <c r="U1019" s="1" t="s">
        <v>5342</v>
      </c>
      <c r="V1019" s="1" t="s">
        <v>36</v>
      </c>
      <c r="W1019" s="3" t="str">
        <f t="shared" si="15"/>
        <v>37 tahun</v>
      </c>
      <c r="X1019" s="1" t="s">
        <v>121</v>
      </c>
      <c r="Y1019" s="1" t="s">
        <v>48</v>
      </c>
      <c r="Z1019" s="2">
        <v>41275</v>
      </c>
      <c r="AA1019" s="2">
        <v>41395</v>
      </c>
      <c r="AB1019" s="2" t="s">
        <v>5343</v>
      </c>
    </row>
    <row r="1020" spans="1:28" x14ac:dyDescent="0.35">
      <c r="A1020" s="12">
        <v>4975</v>
      </c>
      <c r="B1020" s="12">
        <v>7302230</v>
      </c>
      <c r="C1020" s="12" t="s">
        <v>164</v>
      </c>
      <c r="D1020" s="12">
        <v>50065983</v>
      </c>
      <c r="E1020" s="1" t="s">
        <v>5344</v>
      </c>
      <c r="F1020" s="1" t="str">
        <f>VLOOKUP(A1020,[1]Sheet1!$A$2:$E$1141,5,0)</f>
        <v>Verification Jr Officer</v>
      </c>
      <c r="G1020" s="17" t="str">
        <f>VLOOKUP(A1020,[1]Sheet1!$A$2:$F$1141,6,0)</f>
        <v>Supervisor</v>
      </c>
      <c r="H1020" s="1" t="s">
        <v>5329</v>
      </c>
      <c r="I1020" s="1" t="s">
        <v>537</v>
      </c>
      <c r="J1020" s="1" t="str">
        <f>VLOOKUP(A1020,[1]Sheet1!$A$2:$H$1141,8,0)</f>
        <v>Department of Finance &amp; Accounting</v>
      </c>
      <c r="K1020" s="1" t="str">
        <f>VLOOKUP(A1020,[1]Sheet1!$A$2:$I$1141,9,0)</f>
        <v>Unit of Accounting</v>
      </c>
      <c r="L1020" s="1" t="str">
        <f>VLOOKUP(A1020,[1]Sheet1!$A$2:$J$1141,10,0)</f>
        <v>Section of Verification</v>
      </c>
      <c r="M1020" s="2">
        <v>26969</v>
      </c>
      <c r="N1020" s="1" t="s">
        <v>29</v>
      </c>
      <c r="O1020" s="1" t="s">
        <v>30</v>
      </c>
      <c r="P1020" s="1" t="s">
        <v>5345</v>
      </c>
      <c r="Q1020" s="1" t="s">
        <v>5337</v>
      </c>
      <c r="R1020" s="1" t="s">
        <v>5338</v>
      </c>
      <c r="S1020" s="1" t="s">
        <v>5332</v>
      </c>
      <c r="T1020" s="14">
        <v>47453</v>
      </c>
      <c r="U1020" s="1" t="s">
        <v>5346</v>
      </c>
      <c r="V1020" s="1" t="s">
        <v>36</v>
      </c>
      <c r="W1020" s="3" t="str">
        <f t="shared" si="15"/>
        <v>52 tahun</v>
      </c>
      <c r="X1020" s="1" t="s">
        <v>248</v>
      </c>
      <c r="Y1020" s="1" t="s">
        <v>56</v>
      </c>
      <c r="Z1020" s="2">
        <v>37469</v>
      </c>
      <c r="AA1020" s="2">
        <v>38718</v>
      </c>
      <c r="AB1020" s="2" t="s">
        <v>5347</v>
      </c>
    </row>
    <row r="1021" spans="1:28" x14ac:dyDescent="0.35">
      <c r="A1021" s="12">
        <v>5359</v>
      </c>
      <c r="B1021" s="12">
        <v>8508088</v>
      </c>
      <c r="C1021" s="12" t="s">
        <v>25</v>
      </c>
      <c r="D1021" s="12">
        <v>50071455</v>
      </c>
      <c r="E1021" s="16" t="s">
        <v>5348</v>
      </c>
      <c r="F1021" s="1" t="str">
        <f>VLOOKUP(A1021,[1]Sheet1!$A$2:$E$1141,5,0)</f>
        <v>Fin. Policy &amp; Standardization Officer</v>
      </c>
      <c r="G1021" s="16" t="str">
        <f>VLOOKUP(A1021,[1]Sheet1!$A$2:$F$1141,6,0)</f>
        <v>Manager</v>
      </c>
      <c r="H1021" s="1" t="s">
        <v>5296</v>
      </c>
      <c r="I1021" s="1" t="s">
        <v>537</v>
      </c>
      <c r="J1021" s="1" t="str">
        <f>VLOOKUP(A1021,[1]Sheet1!$A$2:$H$1141,8,0)</f>
        <v>Department of Finance &amp; Accounting</v>
      </c>
      <c r="K1021" s="1" t="str">
        <f>VLOOKUP(A1021,[1]Sheet1!$A$2:$I$1141,9,0)</f>
        <v>Unit of Accounting</v>
      </c>
      <c r="L1021" s="1" t="str">
        <f>VLOOKUP(A1021,[1]Sheet1!$A$2:$J$1141,10,0)</f>
        <v>Staff of Fin. Policy &amp; Standardization</v>
      </c>
      <c r="M1021" s="2">
        <v>31360</v>
      </c>
      <c r="N1021" s="1" t="s">
        <v>29</v>
      </c>
      <c r="O1021" s="1" t="s">
        <v>30</v>
      </c>
      <c r="P1021" s="1" t="s">
        <v>5349</v>
      </c>
      <c r="Q1021" s="1" t="s">
        <v>3364</v>
      </c>
      <c r="R1021" s="1" t="s">
        <v>5350</v>
      </c>
      <c r="S1021" s="1" t="s">
        <v>5300</v>
      </c>
      <c r="T1021" s="14">
        <v>51836</v>
      </c>
      <c r="U1021" s="1" t="s">
        <v>5351</v>
      </c>
      <c r="V1021" s="1" t="s">
        <v>36</v>
      </c>
      <c r="W1021" s="3" t="str">
        <f t="shared" si="15"/>
        <v>40 tahun</v>
      </c>
      <c r="X1021" s="1" t="s">
        <v>994</v>
      </c>
      <c r="Y1021" s="1" t="s">
        <v>48</v>
      </c>
      <c r="Z1021" s="2">
        <v>39814</v>
      </c>
      <c r="AA1021" s="2">
        <v>39934</v>
      </c>
      <c r="AB1021" s="2" t="s">
        <v>84</v>
      </c>
    </row>
    <row r="1022" spans="1:28" x14ac:dyDescent="0.35">
      <c r="A1022" s="12">
        <v>4992</v>
      </c>
      <c r="B1022" s="12">
        <v>7395206</v>
      </c>
      <c r="C1022" s="12" t="s">
        <v>50</v>
      </c>
      <c r="D1022" s="12">
        <v>50009158</v>
      </c>
      <c r="E1022" s="13" t="s">
        <v>5352</v>
      </c>
      <c r="F1022" s="1" t="str">
        <f>VLOOKUP(A1022,[1]Sheet1!$A$2:$E$1141,5,0)</f>
        <v>GM of Human Capital &amp; GRC</v>
      </c>
      <c r="G1022" s="13" t="str">
        <f>VLOOKUP(A1022,[1]Sheet1!$A$2:$F$1141,6,0)</f>
        <v>General Manager</v>
      </c>
      <c r="H1022" s="1" t="s">
        <v>536</v>
      </c>
      <c r="I1022" s="1" t="s">
        <v>537</v>
      </c>
      <c r="J1022" s="1" t="str">
        <f>VLOOKUP(A1022,[1]Sheet1!$A$2:$H$1141,8,0)</f>
        <v>Department of Human Capital &amp; GRC</v>
      </c>
      <c r="K1022" s="1" t="e">
        <f>VLOOKUP(A1022,[1]Sheet1!$A$2:$I$1141,9,0)</f>
        <v>#REF!</v>
      </c>
      <c r="L1022" s="1" t="e">
        <f>VLOOKUP(A1022,[1]Sheet1!$A$2:$J$1141,10,0)</f>
        <v>#REF!</v>
      </c>
      <c r="M1022" s="2">
        <v>27027</v>
      </c>
      <c r="N1022" s="1" t="s">
        <v>29</v>
      </c>
      <c r="O1022" s="1" t="s">
        <v>30</v>
      </c>
      <c r="P1022" s="1" t="s">
        <v>5353</v>
      </c>
      <c r="Q1022" s="1" t="s">
        <v>5354</v>
      </c>
      <c r="R1022" s="1" t="s">
        <v>3365</v>
      </c>
      <c r="S1022" s="1" t="s">
        <v>541</v>
      </c>
      <c r="T1022" s="14">
        <v>47484</v>
      </c>
      <c r="U1022" s="1" t="s">
        <v>5355</v>
      </c>
      <c r="V1022" s="1" t="s">
        <v>36</v>
      </c>
      <c r="W1022" s="3" t="str">
        <f t="shared" si="15"/>
        <v>52 tahun</v>
      </c>
      <c r="X1022" s="1" t="s">
        <v>5356</v>
      </c>
      <c r="Y1022" s="1" t="s">
        <v>5357</v>
      </c>
      <c r="Z1022" s="2">
        <v>35002</v>
      </c>
      <c r="AA1022" s="2">
        <v>35370</v>
      </c>
      <c r="AB1022" s="2" t="s">
        <v>84</v>
      </c>
    </row>
    <row r="1023" spans="1:28" x14ac:dyDescent="0.35">
      <c r="A1023" s="12">
        <v>5101</v>
      </c>
      <c r="B1023" s="12">
        <v>7498019</v>
      </c>
      <c r="C1023" s="12" t="s">
        <v>986</v>
      </c>
      <c r="D1023" s="12">
        <v>50070062</v>
      </c>
      <c r="E1023" s="16" t="s">
        <v>5358</v>
      </c>
      <c r="F1023" s="1" t="str">
        <f>VLOOKUP(A1023,[1]Sheet1!$A$2:$E$1141,5,0)</f>
        <v>C Human Capital Officer</v>
      </c>
      <c r="G1023" s="16" t="str">
        <f>VLOOKUP(A1023,[1]Sheet1!$A$2:$F$1141,6,0)</f>
        <v>Manager</v>
      </c>
      <c r="H1023" s="1" t="s">
        <v>536</v>
      </c>
      <c r="I1023" s="1" t="s">
        <v>537</v>
      </c>
      <c r="J1023" s="1" t="str">
        <f>VLOOKUP(A1023,[1]Sheet1!$A$2:$H$1141,8,0)</f>
        <v>Department of Human Capital &amp; GRC</v>
      </c>
      <c r="K1023" s="1" t="e">
        <f>VLOOKUP(A1023,[1]Sheet1!$A$2:$I$1141,9,0)</f>
        <v>#REF!</v>
      </c>
      <c r="L1023" s="1" t="e">
        <f>VLOOKUP(A1023,[1]Sheet1!$A$2:$J$1141,10,0)</f>
        <v>#REF!</v>
      </c>
      <c r="M1023" s="2">
        <v>27391</v>
      </c>
      <c r="N1023" s="1" t="s">
        <v>59</v>
      </c>
      <c r="O1023" s="1" t="s">
        <v>30</v>
      </c>
      <c r="P1023" s="1" t="s">
        <v>5359</v>
      </c>
      <c r="Q1023" s="1" t="s">
        <v>5354</v>
      </c>
      <c r="R1023" s="1" t="s">
        <v>3365</v>
      </c>
      <c r="S1023" s="1" t="s">
        <v>541</v>
      </c>
      <c r="T1023" s="14">
        <v>47849</v>
      </c>
      <c r="U1023" s="1" t="s">
        <v>5360</v>
      </c>
      <c r="V1023" s="1" t="s">
        <v>36</v>
      </c>
      <c r="W1023" s="3" t="str">
        <f t="shared" si="15"/>
        <v>51 tahun</v>
      </c>
      <c r="X1023" s="1" t="s">
        <v>5361</v>
      </c>
      <c r="Y1023" s="1" t="s">
        <v>68</v>
      </c>
      <c r="Z1023" s="2">
        <v>35842</v>
      </c>
      <c r="AA1023" s="2">
        <v>36220</v>
      </c>
      <c r="AB1023" s="2" t="s">
        <v>5362</v>
      </c>
    </row>
    <row r="1024" spans="1:28" x14ac:dyDescent="0.35">
      <c r="A1024" s="12">
        <v>4887</v>
      </c>
      <c r="B1024" s="12">
        <v>7295093</v>
      </c>
      <c r="C1024" s="12" t="s">
        <v>50</v>
      </c>
      <c r="D1024" s="12">
        <v>50070913</v>
      </c>
      <c r="E1024" s="16" t="s">
        <v>5363</v>
      </c>
      <c r="F1024" s="1" t="str">
        <f>VLOOKUP(A1024,[1]Sheet1!$A$2:$E$1141,5,0)</f>
        <v>C Human Capital Officer</v>
      </c>
      <c r="G1024" s="16" t="str">
        <f>VLOOKUP(A1024,[1]Sheet1!$A$2:$F$1141,6,0)</f>
        <v>Manager</v>
      </c>
      <c r="H1024" s="1" t="s">
        <v>536</v>
      </c>
      <c r="I1024" s="1" t="s">
        <v>537</v>
      </c>
      <c r="J1024" s="1" t="str">
        <f>VLOOKUP(A1024,[1]Sheet1!$A$2:$H$1141,8,0)</f>
        <v>Department of Human Capital &amp; GRC</v>
      </c>
      <c r="K1024" s="1" t="e">
        <f>VLOOKUP(A1024,[1]Sheet1!$A$2:$I$1141,9,0)</f>
        <v>#REF!</v>
      </c>
      <c r="L1024" s="1" t="e">
        <f>VLOOKUP(A1024,[1]Sheet1!$A$2:$J$1141,10,0)</f>
        <v>#REF!</v>
      </c>
      <c r="M1024" s="2">
        <v>26660</v>
      </c>
      <c r="N1024" s="1" t="s">
        <v>29</v>
      </c>
      <c r="O1024" s="1" t="s">
        <v>30</v>
      </c>
      <c r="P1024" s="1" t="s">
        <v>5364</v>
      </c>
      <c r="Q1024" s="1" t="s">
        <v>5354</v>
      </c>
      <c r="R1024" s="1" t="s">
        <v>3365</v>
      </c>
      <c r="S1024" s="1" t="s">
        <v>541</v>
      </c>
      <c r="T1024" s="14">
        <v>47119</v>
      </c>
      <c r="U1024" s="1" t="s">
        <v>5365</v>
      </c>
      <c r="V1024" s="1" t="s">
        <v>36</v>
      </c>
      <c r="W1024" s="3" t="str">
        <f t="shared" si="15"/>
        <v>53 tahun</v>
      </c>
      <c r="X1024" s="1" t="s">
        <v>5366</v>
      </c>
      <c r="Y1024" s="1" t="s">
        <v>48</v>
      </c>
      <c r="Z1024" s="2">
        <v>34932</v>
      </c>
      <c r="AA1024" s="2">
        <v>35309</v>
      </c>
      <c r="AB1024" s="2" t="s">
        <v>5367</v>
      </c>
    </row>
    <row r="1025" spans="1:28" x14ac:dyDescent="0.35">
      <c r="A1025" s="12">
        <v>6060</v>
      </c>
      <c r="B1025" s="12">
        <v>8912227</v>
      </c>
      <c r="C1025" s="12" t="s">
        <v>103</v>
      </c>
      <c r="D1025" s="12">
        <v>50070845</v>
      </c>
      <c r="E1025" s="1" t="s">
        <v>5368</v>
      </c>
      <c r="F1025" s="1" t="str">
        <f>VLOOKUP(A1025,[1]Sheet1!$A$2:$E$1141,5,0)</f>
        <v>D Human Capital Jr Officer</v>
      </c>
      <c r="G1025" s="17" t="str">
        <f>VLOOKUP(A1025,[1]Sheet1!$A$2:$F$1141,6,0)</f>
        <v>Supervisor</v>
      </c>
      <c r="H1025" s="1" t="s">
        <v>536</v>
      </c>
      <c r="I1025" s="1" t="s">
        <v>537</v>
      </c>
      <c r="J1025" s="1" t="str">
        <f>VLOOKUP(A1025,[1]Sheet1!$A$2:$H$1141,8,0)</f>
        <v>Department of Human Capital &amp; GRC</v>
      </c>
      <c r="K1025" s="1" t="e">
        <f>VLOOKUP(A1025,[1]Sheet1!$A$2:$I$1141,9,0)</f>
        <v>#REF!</v>
      </c>
      <c r="L1025" s="1" t="e">
        <f>VLOOKUP(A1025,[1]Sheet1!$A$2:$J$1141,10,0)</f>
        <v>#REF!</v>
      </c>
      <c r="M1025" s="2">
        <v>32829</v>
      </c>
      <c r="N1025" s="1" t="s">
        <v>29</v>
      </c>
      <c r="O1025" s="1" t="s">
        <v>30</v>
      </c>
      <c r="P1025" s="1" t="s">
        <v>5369</v>
      </c>
      <c r="Q1025" s="1" t="s">
        <v>5354</v>
      </c>
      <c r="R1025" s="1" t="s">
        <v>3365</v>
      </c>
      <c r="S1025" s="1" t="s">
        <v>541</v>
      </c>
      <c r="T1025" s="14">
        <v>53297</v>
      </c>
      <c r="U1025" s="1" t="s">
        <v>5370</v>
      </c>
      <c r="V1025" s="1" t="s">
        <v>36</v>
      </c>
      <c r="W1025" s="3" t="str">
        <f t="shared" si="15"/>
        <v>36 tahun</v>
      </c>
      <c r="X1025" s="1" t="s">
        <v>807</v>
      </c>
      <c r="Y1025" s="1" t="s">
        <v>48</v>
      </c>
      <c r="Z1025" s="2">
        <v>41365</v>
      </c>
      <c r="AA1025" s="2">
        <v>41730</v>
      </c>
      <c r="AB1025" s="2" t="s">
        <v>5371</v>
      </c>
    </row>
    <row r="1026" spans="1:28" x14ac:dyDescent="0.35">
      <c r="A1026" s="12">
        <v>5244</v>
      </c>
      <c r="B1026" s="12">
        <v>8010001</v>
      </c>
      <c r="C1026" s="12" t="s">
        <v>139</v>
      </c>
      <c r="D1026" s="12">
        <v>50052276</v>
      </c>
      <c r="E1026" s="1" t="s">
        <v>5372</v>
      </c>
      <c r="F1026" s="1" t="str">
        <f>VLOOKUP(A1026,[1]Sheet1!$A$2:$E$1141,5,0)</f>
        <v>Jr of Human Capital</v>
      </c>
      <c r="G1026" s="17" t="str">
        <f>VLOOKUP(A1026,[1]Sheet1!$A$2:$F$1141,6,0)</f>
        <v>Supervisor</v>
      </c>
      <c r="H1026" s="1" t="s">
        <v>536</v>
      </c>
      <c r="I1026" s="1" t="s">
        <v>537</v>
      </c>
      <c r="J1026" s="1" t="str">
        <f>VLOOKUP(A1026,[1]Sheet1!$A$2:$H$1141,8,0)</f>
        <v>Department of Human Capital &amp; GRC</v>
      </c>
      <c r="K1026" s="1" t="e">
        <f>VLOOKUP(A1026,[1]Sheet1!$A$2:$I$1141,9,0)</f>
        <v>#REF!</v>
      </c>
      <c r="L1026" s="1" t="e">
        <f>VLOOKUP(A1026,[1]Sheet1!$A$2:$J$1141,10,0)</f>
        <v>#REF!</v>
      </c>
      <c r="M1026" s="2">
        <v>29317</v>
      </c>
      <c r="N1026" s="1" t="s">
        <v>29</v>
      </c>
      <c r="O1026" s="1" t="s">
        <v>30</v>
      </c>
      <c r="P1026" s="1" t="s">
        <v>5373</v>
      </c>
      <c r="Q1026" s="1" t="s">
        <v>5374</v>
      </c>
      <c r="R1026" s="1" t="s">
        <v>5375</v>
      </c>
      <c r="S1026" s="1" t="s">
        <v>541</v>
      </c>
      <c r="T1026" s="14">
        <v>49796</v>
      </c>
      <c r="U1026" s="1" t="s">
        <v>5376</v>
      </c>
      <c r="V1026" s="1" t="s">
        <v>36</v>
      </c>
      <c r="W1026" s="3" t="str">
        <f t="shared" si="15"/>
        <v>46 tahun</v>
      </c>
      <c r="X1026" s="1" t="s">
        <v>37</v>
      </c>
      <c r="Y1026" s="1" t="s">
        <v>48</v>
      </c>
      <c r="Z1026" s="2">
        <v>40544</v>
      </c>
      <c r="AA1026" s="2">
        <v>40909</v>
      </c>
      <c r="AB1026" s="2" t="s">
        <v>121</v>
      </c>
    </row>
    <row r="1027" spans="1:28" x14ac:dyDescent="0.35">
      <c r="A1027" s="12">
        <v>8457</v>
      </c>
      <c r="B1027" s="12">
        <v>9925001</v>
      </c>
      <c r="C1027" s="12" t="s">
        <v>5377</v>
      </c>
      <c r="D1027" s="12">
        <v>50048504</v>
      </c>
      <c r="E1027" s="1" t="s">
        <v>5378</v>
      </c>
      <c r="F1027" s="1" t="str">
        <f>VLOOKUP(A1027,[1]Sheet1!$A$2:$E$1141,5,0)</f>
        <v>Management Trainee</v>
      </c>
      <c r="G1027" s="17" t="str">
        <f>VLOOKUP(A1027,[1]Sheet1!$A$2:$F$1141,6,0)</f>
        <v>Non-Eselon</v>
      </c>
      <c r="H1027" s="1" t="s">
        <v>536</v>
      </c>
      <c r="I1027" s="1" t="s">
        <v>537</v>
      </c>
      <c r="J1027" s="1" t="str">
        <f>VLOOKUP(A1027,[1]Sheet1!$A$2:$H$1141,8,0)</f>
        <v>Department of Human Capital &amp; GRC</v>
      </c>
      <c r="K1027" s="1" t="e">
        <f>VLOOKUP(A1027,[1]Sheet1!$A$2:$I$1141,9,0)</f>
        <v>#REF!</v>
      </c>
      <c r="L1027" s="1" t="e">
        <f>VLOOKUP(A1027,[1]Sheet1!$A$2:$J$1141,10,0)</f>
        <v>#REF!</v>
      </c>
      <c r="M1027" s="2">
        <v>36676</v>
      </c>
      <c r="N1027" s="1" t="s">
        <v>29</v>
      </c>
      <c r="O1027" s="1" t="s">
        <v>30</v>
      </c>
      <c r="P1027" s="1" t="s">
        <v>5379</v>
      </c>
      <c r="Q1027" s="1" t="s">
        <v>5380</v>
      </c>
      <c r="R1027" s="1" t="s">
        <v>5381</v>
      </c>
      <c r="S1027" s="1" t="s">
        <v>541</v>
      </c>
      <c r="T1027" s="14">
        <v>46266</v>
      </c>
      <c r="U1027" s="1" t="s">
        <v>5382</v>
      </c>
      <c r="V1027" s="1" t="s">
        <v>36</v>
      </c>
      <c r="W1027" s="3" t="str">
        <f t="shared" ref="W1027:W1074" si="16">DATEDIF(M1027,$W$1,"Y")&amp;" "&amp;"tahun"</f>
        <v>26 tahun</v>
      </c>
      <c r="X1027" s="1" t="s">
        <v>1774</v>
      </c>
      <c r="Y1027" s="1" t="s">
        <v>48</v>
      </c>
      <c r="Z1027" s="2">
        <v>45901</v>
      </c>
      <c r="AA1027" s="2" t="s">
        <v>5383</v>
      </c>
      <c r="AB1027" s="2" t="s">
        <v>5384</v>
      </c>
    </row>
    <row r="1028" spans="1:28" x14ac:dyDescent="0.35">
      <c r="A1028" s="12">
        <v>8590</v>
      </c>
      <c r="B1028" s="12">
        <v>9926003</v>
      </c>
      <c r="C1028" s="12" t="s">
        <v>921</v>
      </c>
      <c r="D1028" s="12">
        <v>50048504</v>
      </c>
      <c r="E1028" s="1" t="s">
        <v>5385</v>
      </c>
      <c r="F1028" s="1" t="str">
        <f>VLOOKUP(A1028,[1]Sheet1!$A$2:$E$1141,5,0)</f>
        <v>Management Trainee</v>
      </c>
      <c r="G1028" s="17" t="str">
        <f>VLOOKUP(A1028,[1]Sheet1!$A$2:$F$1141,6,0)</f>
        <v>Non-Eselon</v>
      </c>
      <c r="H1028" s="1" t="s">
        <v>536</v>
      </c>
      <c r="I1028" s="1" t="s">
        <v>537</v>
      </c>
      <c r="J1028" s="1" t="str">
        <f>VLOOKUP(A1028,[1]Sheet1!$A$2:$H$1141,8,0)</f>
        <v>Department of Human Capital &amp; GRC</v>
      </c>
      <c r="K1028" s="1" t="e">
        <f>VLOOKUP(A1028,[1]Sheet1!$A$2:$I$1141,9,0)</f>
        <v>#REF!</v>
      </c>
      <c r="L1028" s="1" t="e">
        <f>VLOOKUP(A1028,[1]Sheet1!$A$2:$J$1141,10,0)</f>
        <v>#REF!</v>
      </c>
      <c r="M1028" s="2">
        <v>37710</v>
      </c>
      <c r="N1028" s="1" t="s">
        <v>59</v>
      </c>
      <c r="O1028" s="1" t="s">
        <v>30</v>
      </c>
      <c r="P1028" s="1" t="s">
        <v>5379</v>
      </c>
      <c r="Q1028" s="1" t="s">
        <v>5380</v>
      </c>
      <c r="R1028" s="1" t="s">
        <v>5381</v>
      </c>
      <c r="S1028" s="1" t="s">
        <v>541</v>
      </c>
      <c r="T1028" s="14">
        <v>46426</v>
      </c>
      <c r="U1028" s="20" t="s">
        <v>5386</v>
      </c>
      <c r="V1028" s="1" t="s">
        <v>36</v>
      </c>
      <c r="W1028" s="3" t="str">
        <f t="shared" si="16"/>
        <v>23 tahun</v>
      </c>
      <c r="X1028" s="1" t="s">
        <v>5387</v>
      </c>
      <c r="Y1028" s="1" t="s">
        <v>48</v>
      </c>
      <c r="Z1028" s="2">
        <v>46150</v>
      </c>
      <c r="AA1028" s="2" t="s">
        <v>5383</v>
      </c>
      <c r="AB1028" s="2" t="s">
        <v>5388</v>
      </c>
    </row>
    <row r="1029" spans="1:28" x14ac:dyDescent="0.35">
      <c r="A1029" s="12">
        <v>7476</v>
      </c>
      <c r="B1029" s="12">
        <v>8618001</v>
      </c>
      <c r="C1029" s="12" t="s">
        <v>916</v>
      </c>
      <c r="D1029" s="12">
        <v>50009898</v>
      </c>
      <c r="E1029" s="15" t="s">
        <v>5389</v>
      </c>
      <c r="F1029" s="1" t="str">
        <f>VLOOKUP(A1029,[1]Sheet1!$A$2:$E$1141,5,0)</f>
        <v>SM of Health Serv. &amp; Industrial Hygiene</v>
      </c>
      <c r="G1029" s="15" t="str">
        <f>VLOOKUP(A1029,[1]Sheet1!$A$2:$F$1141,6,0)</f>
        <v>Senior Manager</v>
      </c>
      <c r="H1029" s="1" t="s">
        <v>5390</v>
      </c>
      <c r="I1029" s="1" t="s">
        <v>537</v>
      </c>
      <c r="J1029" s="1" t="str">
        <f>VLOOKUP(A1029,[1]Sheet1!$A$2:$H$1141,8,0)</f>
        <v>Department of Human Capital &amp; GRC</v>
      </c>
      <c r="K1029" s="1" t="str">
        <f>VLOOKUP(A1029,[1]Sheet1!$A$2:$I$1141,9,0)</f>
        <v>Unit of Health Serv &amp; Industrial Hygiene</v>
      </c>
      <c r="L1029" s="1" t="e">
        <f>VLOOKUP(A1029,[1]Sheet1!$A$2:$J$1141,10,0)</f>
        <v>#REF!</v>
      </c>
      <c r="M1029" s="2">
        <v>31626</v>
      </c>
      <c r="N1029" s="1" t="s">
        <v>29</v>
      </c>
      <c r="O1029" s="1" t="s">
        <v>30</v>
      </c>
      <c r="P1029" s="1" t="s">
        <v>5391</v>
      </c>
      <c r="Q1029" s="1" t="s">
        <v>5392</v>
      </c>
      <c r="R1029" s="1" t="s">
        <v>5393</v>
      </c>
      <c r="S1029" s="1" t="s">
        <v>5394</v>
      </c>
      <c r="T1029" s="14">
        <v>52110</v>
      </c>
      <c r="U1029" s="1" t="s">
        <v>5395</v>
      </c>
      <c r="V1029" s="1" t="s">
        <v>36</v>
      </c>
      <c r="W1029" s="3" t="str">
        <f t="shared" si="16"/>
        <v>40 tahun</v>
      </c>
      <c r="X1029" s="1" t="s">
        <v>551</v>
      </c>
      <c r="Y1029" s="1" t="s">
        <v>48</v>
      </c>
      <c r="Z1029" s="2">
        <v>43191</v>
      </c>
      <c r="AA1029" s="2">
        <v>43191</v>
      </c>
      <c r="AB1029" s="2" t="s">
        <v>5396</v>
      </c>
    </row>
    <row r="1030" spans="1:28" x14ac:dyDescent="0.35">
      <c r="A1030" s="12">
        <v>5233</v>
      </c>
      <c r="B1030" s="12">
        <v>7803001</v>
      </c>
      <c r="C1030" s="12" t="s">
        <v>5397</v>
      </c>
      <c r="D1030" s="12">
        <v>50024075</v>
      </c>
      <c r="E1030" s="16" t="s">
        <v>5398</v>
      </c>
      <c r="F1030" s="1" t="str">
        <f>VLOOKUP(A1030,[1]Sheet1!$A$2:$E$1141,5,0)</f>
        <v>Med. Support &amp; Ind. Hygiene Officer</v>
      </c>
      <c r="G1030" s="16" t="str">
        <f>VLOOKUP(A1030,[1]Sheet1!$A$2:$F$1141,6,0)</f>
        <v>Manager</v>
      </c>
      <c r="H1030" s="1" t="s">
        <v>5399</v>
      </c>
      <c r="I1030" s="1" t="s">
        <v>537</v>
      </c>
      <c r="J1030" s="1" t="str">
        <f>VLOOKUP(A1030,[1]Sheet1!$A$2:$H$1141,8,0)</f>
        <v>Department of Human Capital &amp; GRC</v>
      </c>
      <c r="K1030" s="1" t="str">
        <f>VLOOKUP(A1030,[1]Sheet1!$A$2:$I$1141,9,0)</f>
        <v>Unit of Health Serv &amp; Industrial Hygiene</v>
      </c>
      <c r="L1030" s="1" t="str">
        <f>VLOOKUP(A1030,[1]Sheet1!$A$2:$J$1141,10,0)</f>
        <v>Staff of Med. Support &amp; Industrial Hygie</v>
      </c>
      <c r="M1030" s="2">
        <v>28508</v>
      </c>
      <c r="N1030" s="1" t="s">
        <v>29</v>
      </c>
      <c r="O1030" s="1" t="s">
        <v>30</v>
      </c>
      <c r="P1030" s="1" t="s">
        <v>5400</v>
      </c>
      <c r="Q1030" s="1" t="s">
        <v>5401</v>
      </c>
      <c r="R1030" s="1" t="s">
        <v>5402</v>
      </c>
      <c r="S1030" s="1" t="s">
        <v>5403</v>
      </c>
      <c r="T1030" s="14">
        <v>48976</v>
      </c>
      <c r="U1030" s="1" t="s">
        <v>5404</v>
      </c>
      <c r="V1030" s="1" t="s">
        <v>36</v>
      </c>
      <c r="W1030" s="3" t="str">
        <f t="shared" si="16"/>
        <v>48 tahun</v>
      </c>
      <c r="X1030" s="1" t="s">
        <v>96</v>
      </c>
      <c r="Y1030" s="1" t="s">
        <v>48</v>
      </c>
      <c r="Z1030" s="2">
        <v>37817</v>
      </c>
      <c r="AA1030" s="2">
        <v>38718</v>
      </c>
      <c r="AB1030" s="2" t="s">
        <v>5405</v>
      </c>
    </row>
    <row r="1031" spans="1:28" x14ac:dyDescent="0.35">
      <c r="A1031" s="12">
        <v>5236</v>
      </c>
      <c r="B1031" s="12">
        <v>7803004</v>
      </c>
      <c r="C1031" s="12" t="s">
        <v>5397</v>
      </c>
      <c r="D1031" s="12">
        <v>50009941</v>
      </c>
      <c r="E1031" s="1" t="s">
        <v>5406</v>
      </c>
      <c r="F1031" s="1" t="str">
        <f>VLOOKUP(A1031,[1]Sheet1!$A$2:$E$1141,5,0)</f>
        <v>Med. Support &amp; Ind. Hygiene Jr Officer</v>
      </c>
      <c r="G1031" s="17" t="str">
        <f>VLOOKUP(A1031,[1]Sheet1!$A$2:$F$1141,6,0)</f>
        <v>Supervisor</v>
      </c>
      <c r="H1031" s="1" t="s">
        <v>5399</v>
      </c>
      <c r="I1031" s="1" t="s">
        <v>537</v>
      </c>
      <c r="J1031" s="1" t="str">
        <f>VLOOKUP(A1031,[1]Sheet1!$A$2:$H$1141,8,0)</f>
        <v>Department of Human Capital &amp; GRC</v>
      </c>
      <c r="K1031" s="1" t="str">
        <f>VLOOKUP(A1031,[1]Sheet1!$A$2:$I$1141,9,0)</f>
        <v>Unit of Health Serv &amp; Industrial Hygiene</v>
      </c>
      <c r="L1031" s="1" t="str">
        <f>VLOOKUP(A1031,[1]Sheet1!$A$2:$J$1141,10,0)</f>
        <v>Staff of Med. Support &amp; Industrial Hygie</v>
      </c>
      <c r="M1031" s="2">
        <v>28819</v>
      </c>
      <c r="N1031" s="1" t="s">
        <v>59</v>
      </c>
      <c r="O1031" s="1" t="s">
        <v>30</v>
      </c>
      <c r="P1031" s="1" t="s">
        <v>5407</v>
      </c>
      <c r="Q1031" s="1" t="s">
        <v>5401</v>
      </c>
      <c r="R1031" s="1" t="s">
        <v>5402</v>
      </c>
      <c r="S1031" s="1" t="s">
        <v>5403</v>
      </c>
      <c r="T1031" s="14">
        <v>49279</v>
      </c>
      <c r="U1031" s="1" t="s">
        <v>5408</v>
      </c>
      <c r="V1031" s="1" t="s">
        <v>36</v>
      </c>
      <c r="W1031" s="3" t="str">
        <f t="shared" si="16"/>
        <v>47 tahun</v>
      </c>
      <c r="X1031" s="1" t="s">
        <v>807</v>
      </c>
      <c r="Y1031" s="1" t="s">
        <v>56</v>
      </c>
      <c r="Z1031" s="2">
        <v>37817</v>
      </c>
      <c r="AA1031" s="2">
        <v>38718</v>
      </c>
      <c r="AB1031" s="2" t="s">
        <v>5409</v>
      </c>
    </row>
    <row r="1032" spans="1:28" x14ac:dyDescent="0.35">
      <c r="A1032" s="12">
        <v>5250</v>
      </c>
      <c r="B1032" s="12">
        <v>8003006</v>
      </c>
      <c r="C1032" s="12" t="s">
        <v>5397</v>
      </c>
      <c r="D1032" s="12">
        <v>50024068</v>
      </c>
      <c r="E1032" s="1" t="s">
        <v>5410</v>
      </c>
      <c r="F1032" s="1" t="str">
        <f>VLOOKUP(A1032,[1]Sheet1!$A$2:$E$1141,5,0)</f>
        <v>Med. Support &amp; Ind. Hygiene Jr Officer</v>
      </c>
      <c r="G1032" s="17" t="str">
        <f>VLOOKUP(A1032,[1]Sheet1!$A$2:$F$1141,6,0)</f>
        <v>Supervisor</v>
      </c>
      <c r="H1032" s="1" t="s">
        <v>536</v>
      </c>
      <c r="I1032" s="1" t="s">
        <v>537</v>
      </c>
      <c r="J1032" s="1" t="str">
        <f>VLOOKUP(A1032,[1]Sheet1!$A$2:$H$1141,8,0)</f>
        <v>Department of Human Capital &amp; GRC</v>
      </c>
      <c r="K1032" s="1" t="str">
        <f>VLOOKUP(A1032,[1]Sheet1!$A$2:$I$1141,9,0)</f>
        <v>Unit of Health Serv &amp; Industrial Hygiene</v>
      </c>
      <c r="L1032" s="1" t="str">
        <f>VLOOKUP(A1032,[1]Sheet1!$A$2:$J$1141,10,0)</f>
        <v>Staff of Med. Support &amp; Industrial Hygie</v>
      </c>
      <c r="M1032" s="2">
        <v>29470</v>
      </c>
      <c r="N1032" s="1" t="s">
        <v>59</v>
      </c>
      <c r="O1032" s="1" t="s">
        <v>30</v>
      </c>
      <c r="P1032" s="1" t="s">
        <v>5411</v>
      </c>
      <c r="Q1032" s="1" t="s">
        <v>5374</v>
      </c>
      <c r="R1032" s="1" t="s">
        <v>5375</v>
      </c>
      <c r="S1032" s="1" t="s">
        <v>541</v>
      </c>
      <c r="T1032" s="14">
        <v>49949</v>
      </c>
      <c r="U1032" s="1" t="s">
        <v>5412</v>
      </c>
      <c r="V1032" s="1" t="s">
        <v>36</v>
      </c>
      <c r="W1032" s="3" t="str">
        <f t="shared" si="16"/>
        <v>45 tahun</v>
      </c>
      <c r="X1032" s="1" t="s">
        <v>137</v>
      </c>
      <c r="Y1032" s="1" t="s">
        <v>56</v>
      </c>
      <c r="Z1032" s="2">
        <v>37817</v>
      </c>
      <c r="AA1032" s="2">
        <v>38718</v>
      </c>
      <c r="AB1032" s="2" t="s">
        <v>5413</v>
      </c>
    </row>
    <row r="1033" spans="1:28" x14ac:dyDescent="0.35">
      <c r="A1033" s="12">
        <v>5186</v>
      </c>
      <c r="B1033" s="12">
        <v>7695299</v>
      </c>
      <c r="C1033" s="12" t="s">
        <v>50</v>
      </c>
      <c r="D1033" s="12">
        <v>50024071</v>
      </c>
      <c r="E1033" s="1" t="s">
        <v>5414</v>
      </c>
      <c r="F1033" s="1" t="str">
        <f>VLOOKUP(A1033,[1]Sheet1!$A$2:$E$1141,5,0)</f>
        <v>Med. Support &amp; Ind. Hygiene Jr Officer</v>
      </c>
      <c r="G1033" s="17" t="str">
        <f>VLOOKUP(A1033,[1]Sheet1!$A$2:$F$1141,6,0)</f>
        <v>Supervisor</v>
      </c>
      <c r="H1033" s="1" t="s">
        <v>5399</v>
      </c>
      <c r="I1033" s="1" t="s">
        <v>537</v>
      </c>
      <c r="J1033" s="1" t="str">
        <f>VLOOKUP(A1033,[1]Sheet1!$A$2:$H$1141,8,0)</f>
        <v>Department of Human Capital &amp; GRC</v>
      </c>
      <c r="K1033" s="1" t="str">
        <f>VLOOKUP(A1033,[1]Sheet1!$A$2:$I$1141,9,0)</f>
        <v>Unit of Health Serv &amp; Industrial Hygiene</v>
      </c>
      <c r="L1033" s="1" t="str">
        <f>VLOOKUP(A1033,[1]Sheet1!$A$2:$J$1141,10,0)</f>
        <v>Staff of Med. Support &amp; Industrial Hygie</v>
      </c>
      <c r="M1033" s="2">
        <v>27808</v>
      </c>
      <c r="N1033" s="1" t="s">
        <v>59</v>
      </c>
      <c r="O1033" s="1" t="s">
        <v>30</v>
      </c>
      <c r="P1033" s="1" t="s">
        <v>5415</v>
      </c>
      <c r="Q1033" s="1" t="s">
        <v>5401</v>
      </c>
      <c r="R1033" s="1" t="s">
        <v>5402</v>
      </c>
      <c r="S1033" s="1" t="s">
        <v>5403</v>
      </c>
      <c r="T1033" s="14">
        <v>48274</v>
      </c>
      <c r="U1033" s="1" t="s">
        <v>5416</v>
      </c>
      <c r="V1033" s="1" t="s">
        <v>36</v>
      </c>
      <c r="W1033" s="3" t="str">
        <f t="shared" si="16"/>
        <v>50 tahun</v>
      </c>
      <c r="X1033" s="1" t="s">
        <v>1274</v>
      </c>
      <c r="Y1033" s="1" t="s">
        <v>48</v>
      </c>
      <c r="Z1033" s="2">
        <v>35034</v>
      </c>
      <c r="AA1033" s="2">
        <v>35400</v>
      </c>
      <c r="AB1033" s="2" t="s">
        <v>5417</v>
      </c>
    </row>
    <row r="1034" spans="1:28" x14ac:dyDescent="0.35">
      <c r="A1034" s="12">
        <v>5241</v>
      </c>
      <c r="B1034" s="12">
        <v>7903002</v>
      </c>
      <c r="C1034" s="12" t="s">
        <v>5397</v>
      </c>
      <c r="D1034" s="12">
        <v>50047324</v>
      </c>
      <c r="E1034" s="1" t="s">
        <v>5418</v>
      </c>
      <c r="F1034" s="1" t="str">
        <f>VLOOKUP(A1034,[1]Sheet1!$A$2:$E$1141,5,0)</f>
        <v>Med. Support &amp; Ind. Hygiene Jr Officer</v>
      </c>
      <c r="G1034" s="17" t="str">
        <f>VLOOKUP(A1034,[1]Sheet1!$A$2:$F$1141,6,0)</f>
        <v>Supervisor</v>
      </c>
      <c r="H1034" s="1" t="s">
        <v>5399</v>
      </c>
      <c r="I1034" s="1" t="s">
        <v>537</v>
      </c>
      <c r="J1034" s="1" t="str">
        <f>VLOOKUP(A1034,[1]Sheet1!$A$2:$H$1141,8,0)</f>
        <v>Department of Human Capital &amp; GRC</v>
      </c>
      <c r="K1034" s="1" t="str">
        <f>VLOOKUP(A1034,[1]Sheet1!$A$2:$I$1141,9,0)</f>
        <v>Unit of Health Serv &amp; Industrial Hygiene</v>
      </c>
      <c r="L1034" s="1" t="str">
        <f>VLOOKUP(A1034,[1]Sheet1!$A$2:$J$1141,10,0)</f>
        <v>Staff of Med. Support &amp; Industrial Hygie</v>
      </c>
      <c r="M1034" s="2">
        <v>29142</v>
      </c>
      <c r="N1034" s="1" t="s">
        <v>59</v>
      </c>
      <c r="O1034" s="1" t="s">
        <v>30</v>
      </c>
      <c r="P1034" s="1" t="s">
        <v>5419</v>
      </c>
      <c r="Q1034" s="1" t="s">
        <v>5401</v>
      </c>
      <c r="R1034" s="1" t="s">
        <v>5402</v>
      </c>
      <c r="S1034" s="1" t="s">
        <v>5403</v>
      </c>
      <c r="T1034" s="14">
        <v>49614</v>
      </c>
      <c r="U1034" s="1" t="s">
        <v>5420</v>
      </c>
      <c r="V1034" s="1" t="s">
        <v>36</v>
      </c>
      <c r="W1034" s="3" t="str">
        <f t="shared" si="16"/>
        <v>46 tahun</v>
      </c>
      <c r="X1034" s="1" t="s">
        <v>37</v>
      </c>
      <c r="Y1034" s="1" t="s">
        <v>68</v>
      </c>
      <c r="Z1034" s="2">
        <v>37817</v>
      </c>
      <c r="AA1034" s="2">
        <v>38718</v>
      </c>
      <c r="AB1034" s="2" t="s">
        <v>84</v>
      </c>
    </row>
    <row r="1035" spans="1:28" x14ac:dyDescent="0.35">
      <c r="A1035" s="12">
        <v>4888</v>
      </c>
      <c r="B1035" s="12">
        <v>7295153</v>
      </c>
      <c r="C1035" s="12" t="s">
        <v>50</v>
      </c>
      <c r="D1035" s="12">
        <v>50065590</v>
      </c>
      <c r="E1035" s="1" t="s">
        <v>5421</v>
      </c>
      <c r="F1035" s="1" t="str">
        <f>VLOOKUP(A1035,[1]Sheet1!$A$2:$E$1141,5,0)</f>
        <v>Med. Support &amp; Ind. Hygiene Jr Officer</v>
      </c>
      <c r="G1035" s="17" t="str">
        <f>VLOOKUP(A1035,[1]Sheet1!$A$2:$F$1141,6,0)</f>
        <v>Supervisor</v>
      </c>
      <c r="H1035" s="1" t="s">
        <v>5399</v>
      </c>
      <c r="I1035" s="1" t="s">
        <v>537</v>
      </c>
      <c r="J1035" s="1" t="str">
        <f>VLOOKUP(A1035,[1]Sheet1!$A$2:$H$1141,8,0)</f>
        <v>Department of Human Capital &amp; GRC</v>
      </c>
      <c r="K1035" s="1" t="str">
        <f>VLOOKUP(A1035,[1]Sheet1!$A$2:$I$1141,9,0)</f>
        <v>Unit of Health Serv &amp; Industrial Hygiene</v>
      </c>
      <c r="L1035" s="1" t="str">
        <f>VLOOKUP(A1035,[1]Sheet1!$A$2:$J$1141,10,0)</f>
        <v>Staff of Med. Support &amp; Industrial Hygie</v>
      </c>
      <c r="M1035" s="2">
        <v>26652</v>
      </c>
      <c r="N1035" s="1" t="s">
        <v>29</v>
      </c>
      <c r="O1035" s="1" t="s">
        <v>30</v>
      </c>
      <c r="P1035" s="1" t="s">
        <v>5422</v>
      </c>
      <c r="Q1035" s="1" t="s">
        <v>5401</v>
      </c>
      <c r="R1035" s="1" t="s">
        <v>5402</v>
      </c>
      <c r="S1035" s="1" t="s">
        <v>5403</v>
      </c>
      <c r="T1035" s="14">
        <v>47119</v>
      </c>
      <c r="U1035" s="1" t="s">
        <v>5423</v>
      </c>
      <c r="V1035" s="1" t="s">
        <v>36</v>
      </c>
      <c r="W1035" s="3" t="str">
        <f t="shared" si="16"/>
        <v>53 tahun</v>
      </c>
      <c r="X1035" s="1" t="s">
        <v>248</v>
      </c>
      <c r="Y1035" s="1" t="s">
        <v>56</v>
      </c>
      <c r="Z1035" s="2">
        <v>34943</v>
      </c>
      <c r="AA1035" s="2">
        <v>35490</v>
      </c>
      <c r="AB1035" s="2" t="s">
        <v>5424</v>
      </c>
    </row>
    <row r="1036" spans="1:28" x14ac:dyDescent="0.35">
      <c r="A1036" s="12">
        <v>5122</v>
      </c>
      <c r="B1036" s="12">
        <v>7595161</v>
      </c>
      <c r="C1036" s="12" t="s">
        <v>50</v>
      </c>
      <c r="D1036" s="12">
        <v>50023632</v>
      </c>
      <c r="E1036" s="16" t="s">
        <v>5425</v>
      </c>
      <c r="F1036" s="1" t="str">
        <f>VLOOKUP(A1036,[1]Sheet1!$A$2:$E$1141,5,0)</f>
        <v>Service &amp; Nursing Officer</v>
      </c>
      <c r="G1036" s="16" t="str">
        <f>VLOOKUP(A1036,[1]Sheet1!$A$2:$F$1141,6,0)</f>
        <v>Manager</v>
      </c>
      <c r="H1036" s="1" t="s">
        <v>5399</v>
      </c>
      <c r="I1036" s="1" t="s">
        <v>537</v>
      </c>
      <c r="J1036" s="1" t="str">
        <f>VLOOKUP(A1036,[1]Sheet1!$A$2:$H$1141,8,0)</f>
        <v>Department of Human Capital &amp; GRC</v>
      </c>
      <c r="K1036" s="1" t="str">
        <f>VLOOKUP(A1036,[1]Sheet1!$A$2:$I$1141,9,0)</f>
        <v>Unit of Health Serv &amp; Industrial Hygiene</v>
      </c>
      <c r="L1036" s="1" t="str">
        <f>VLOOKUP(A1036,[1]Sheet1!$A$2:$J$1141,10,0)</f>
        <v>Staff of Service &amp; Nursing</v>
      </c>
      <c r="M1036" s="2">
        <v>27475</v>
      </c>
      <c r="N1036" s="1" t="s">
        <v>59</v>
      </c>
      <c r="O1036" s="1" t="s">
        <v>30</v>
      </c>
      <c r="P1036" s="1" t="s">
        <v>5426</v>
      </c>
      <c r="Q1036" s="1" t="s">
        <v>5427</v>
      </c>
      <c r="R1036" s="1" t="s">
        <v>5428</v>
      </c>
      <c r="S1036" s="1" t="s">
        <v>5403</v>
      </c>
      <c r="T1036" s="14">
        <v>47939</v>
      </c>
      <c r="U1036" s="1" t="s">
        <v>5429</v>
      </c>
      <c r="V1036" s="1" t="s">
        <v>410</v>
      </c>
      <c r="W1036" s="3" t="str">
        <f t="shared" si="16"/>
        <v>51 tahun</v>
      </c>
      <c r="X1036" s="1" t="s">
        <v>248</v>
      </c>
      <c r="Y1036" s="1" t="s">
        <v>68</v>
      </c>
      <c r="Z1036" s="2">
        <v>34943</v>
      </c>
      <c r="AA1036" s="2">
        <v>35309</v>
      </c>
      <c r="AB1036" s="2" t="s">
        <v>5430</v>
      </c>
    </row>
    <row r="1037" spans="1:28" x14ac:dyDescent="0.35">
      <c r="A1037" s="12">
        <v>5252</v>
      </c>
      <c r="B1037" s="12">
        <v>8003007</v>
      </c>
      <c r="C1037" s="12" t="s">
        <v>5397</v>
      </c>
      <c r="D1037" s="12">
        <v>50009925</v>
      </c>
      <c r="E1037" s="1" t="s">
        <v>5431</v>
      </c>
      <c r="F1037" s="1" t="str">
        <f>VLOOKUP(A1037,[1]Sheet1!$A$2:$E$1141,5,0)</f>
        <v>Services &amp; Nursing Jr Officer</v>
      </c>
      <c r="G1037" s="17" t="str">
        <f>VLOOKUP(A1037,[1]Sheet1!$A$2:$F$1141,6,0)</f>
        <v>Supervisor</v>
      </c>
      <c r="H1037" s="1" t="s">
        <v>5399</v>
      </c>
      <c r="I1037" s="1" t="s">
        <v>537</v>
      </c>
      <c r="J1037" s="1" t="str">
        <f>VLOOKUP(A1037,[1]Sheet1!$A$2:$H$1141,8,0)</f>
        <v>Department of Human Capital &amp; GRC</v>
      </c>
      <c r="K1037" s="1" t="str">
        <f>VLOOKUP(A1037,[1]Sheet1!$A$2:$I$1141,9,0)</f>
        <v>Unit of Health Serv &amp; Industrial Hygiene</v>
      </c>
      <c r="L1037" s="1" t="str">
        <f>VLOOKUP(A1037,[1]Sheet1!$A$2:$J$1141,10,0)</f>
        <v>Staff of Service &amp; Nursing</v>
      </c>
      <c r="M1037" s="2">
        <v>29509</v>
      </c>
      <c r="N1037" s="1" t="s">
        <v>59</v>
      </c>
      <c r="O1037" s="1" t="s">
        <v>30</v>
      </c>
      <c r="P1037" s="1" t="s">
        <v>5432</v>
      </c>
      <c r="Q1037" s="1" t="s">
        <v>5427</v>
      </c>
      <c r="R1037" s="1" t="s">
        <v>5428</v>
      </c>
      <c r="S1037" s="1" t="s">
        <v>5403</v>
      </c>
      <c r="T1037" s="14">
        <v>49980</v>
      </c>
      <c r="U1037" s="1" t="s">
        <v>5433</v>
      </c>
      <c r="V1037" s="1" t="s">
        <v>36</v>
      </c>
      <c r="W1037" s="3" t="str">
        <f t="shared" si="16"/>
        <v>45 tahun</v>
      </c>
      <c r="X1037" s="1" t="s">
        <v>356</v>
      </c>
      <c r="Y1037" s="1" t="s">
        <v>56</v>
      </c>
      <c r="Z1037" s="2">
        <v>37817</v>
      </c>
      <c r="AA1037" s="2">
        <v>38718</v>
      </c>
      <c r="AB1037" s="2" t="s">
        <v>5434</v>
      </c>
    </row>
    <row r="1038" spans="1:28" x14ac:dyDescent="0.35">
      <c r="A1038" s="12">
        <v>5240</v>
      </c>
      <c r="B1038" s="12">
        <v>7903005</v>
      </c>
      <c r="C1038" s="12" t="s">
        <v>5397</v>
      </c>
      <c r="D1038" s="12">
        <v>50009937</v>
      </c>
      <c r="E1038" s="1" t="s">
        <v>5435</v>
      </c>
      <c r="F1038" s="1" t="str">
        <f>VLOOKUP(A1038,[1]Sheet1!$A$2:$E$1141,5,0)</f>
        <v>Services &amp; Nursing Jr Officer</v>
      </c>
      <c r="G1038" s="17" t="str">
        <f>VLOOKUP(A1038,[1]Sheet1!$A$2:$F$1141,6,0)</f>
        <v>Supervisor</v>
      </c>
      <c r="H1038" s="1" t="s">
        <v>5399</v>
      </c>
      <c r="I1038" s="1" t="s">
        <v>537</v>
      </c>
      <c r="J1038" s="1" t="str">
        <f>VLOOKUP(A1038,[1]Sheet1!$A$2:$H$1141,8,0)</f>
        <v>Department of Human Capital &amp; GRC</v>
      </c>
      <c r="K1038" s="1" t="str">
        <f>VLOOKUP(A1038,[1]Sheet1!$A$2:$I$1141,9,0)</f>
        <v>Unit of Health Serv &amp; Industrial Hygiene</v>
      </c>
      <c r="L1038" s="1" t="str">
        <f>VLOOKUP(A1038,[1]Sheet1!$A$2:$J$1141,10,0)</f>
        <v>Staff of Service &amp; Nursing</v>
      </c>
      <c r="M1038" s="2">
        <v>29047</v>
      </c>
      <c r="N1038" s="1" t="s">
        <v>59</v>
      </c>
      <c r="O1038" s="1" t="s">
        <v>30</v>
      </c>
      <c r="P1038" s="1" t="s">
        <v>5436</v>
      </c>
      <c r="Q1038" s="1" t="s">
        <v>5427</v>
      </c>
      <c r="R1038" s="1" t="s">
        <v>5428</v>
      </c>
      <c r="S1038" s="1" t="s">
        <v>5403</v>
      </c>
      <c r="T1038" s="14">
        <v>49522</v>
      </c>
      <c r="U1038" s="1" t="s">
        <v>5437</v>
      </c>
      <c r="V1038" s="1" t="s">
        <v>36</v>
      </c>
      <c r="W1038" s="3" t="str">
        <f t="shared" si="16"/>
        <v>47 tahun</v>
      </c>
      <c r="X1038" s="1" t="s">
        <v>96</v>
      </c>
      <c r="Y1038" s="1" t="s">
        <v>56</v>
      </c>
      <c r="Z1038" s="2">
        <v>37817</v>
      </c>
      <c r="AA1038" s="2">
        <v>38718</v>
      </c>
      <c r="AB1038" s="2" t="s">
        <v>5438</v>
      </c>
    </row>
    <row r="1039" spans="1:28" x14ac:dyDescent="0.35">
      <c r="A1039" s="12">
        <v>4812</v>
      </c>
      <c r="B1039" s="12">
        <v>7292094</v>
      </c>
      <c r="C1039" s="12" t="s">
        <v>5439</v>
      </c>
      <c r="D1039" s="12">
        <v>50035550</v>
      </c>
      <c r="E1039" s="1" t="s">
        <v>5440</v>
      </c>
      <c r="F1039" s="1" t="str">
        <f>VLOOKUP(A1039,[1]Sheet1!$A$2:$E$1141,5,0)</f>
        <v>Services &amp; Nursing Jr Officer</v>
      </c>
      <c r="G1039" s="17" t="str">
        <f>VLOOKUP(A1039,[1]Sheet1!$A$2:$F$1141,6,0)</f>
        <v>Supervisor</v>
      </c>
      <c r="H1039" s="1" t="s">
        <v>5399</v>
      </c>
      <c r="I1039" s="1" t="s">
        <v>537</v>
      </c>
      <c r="J1039" s="1" t="str">
        <f>VLOOKUP(A1039,[1]Sheet1!$A$2:$H$1141,8,0)</f>
        <v>Department of Human Capital &amp; GRC</v>
      </c>
      <c r="K1039" s="1" t="str">
        <f>VLOOKUP(A1039,[1]Sheet1!$A$2:$I$1141,9,0)</f>
        <v>Unit of Health Serv &amp; Industrial Hygiene</v>
      </c>
      <c r="L1039" s="1" t="str">
        <f>VLOOKUP(A1039,[1]Sheet1!$A$2:$J$1141,10,0)</f>
        <v>Staff of Service &amp; Nursing</v>
      </c>
      <c r="M1039" s="2">
        <v>26374</v>
      </c>
      <c r="N1039" s="1" t="s">
        <v>29</v>
      </c>
      <c r="O1039" s="1" t="s">
        <v>30</v>
      </c>
      <c r="P1039" s="1" t="s">
        <v>5441</v>
      </c>
      <c r="Q1039" s="1" t="s">
        <v>5427</v>
      </c>
      <c r="R1039" s="1" t="s">
        <v>5428</v>
      </c>
      <c r="S1039" s="1" t="s">
        <v>5403</v>
      </c>
      <c r="T1039" s="14">
        <v>46844</v>
      </c>
      <c r="U1039" s="1" t="s">
        <v>5442</v>
      </c>
      <c r="V1039" s="1" t="s">
        <v>36</v>
      </c>
      <c r="W1039" s="3" t="str">
        <f t="shared" si="16"/>
        <v>54 tahun</v>
      </c>
      <c r="X1039" s="1" t="s">
        <v>361</v>
      </c>
      <c r="Y1039" s="1" t="s">
        <v>56</v>
      </c>
      <c r="Z1039" s="2">
        <v>33817</v>
      </c>
      <c r="AA1039" s="2">
        <v>34425</v>
      </c>
      <c r="AB1039" s="2" t="s">
        <v>5443</v>
      </c>
    </row>
    <row r="1040" spans="1:28" x14ac:dyDescent="0.35">
      <c r="A1040" s="12">
        <v>4809</v>
      </c>
      <c r="B1040" s="12">
        <v>7298016</v>
      </c>
      <c r="C1040" s="12" t="s">
        <v>986</v>
      </c>
      <c r="D1040" s="12">
        <v>50065392</v>
      </c>
      <c r="E1040" s="15" t="s">
        <v>5444</v>
      </c>
      <c r="F1040" s="1" t="str">
        <f>VLOOKUP(A1040,[1]Sheet1!$A$2:$E$1141,5,0)</f>
        <v>SM of HC Planning &amp; Development</v>
      </c>
      <c r="G1040" s="15" t="str">
        <f>VLOOKUP(A1040,[1]Sheet1!$A$2:$F$1141,6,0)</f>
        <v>Senior Manager</v>
      </c>
      <c r="H1040" s="1" t="s">
        <v>536</v>
      </c>
      <c r="I1040" s="1" t="s">
        <v>537</v>
      </c>
      <c r="J1040" s="1" t="str">
        <f>VLOOKUP(A1040,[1]Sheet1!$A$2:$H$1141,8,0)</f>
        <v>Department of Human Capital &amp; GRC</v>
      </c>
      <c r="K1040" s="1" t="str">
        <f>VLOOKUP(A1040,[1]Sheet1!$A$2:$I$1141,9,0)</f>
        <v>Unit of HC Planning &amp; Development</v>
      </c>
      <c r="L1040" s="1" t="e">
        <f>VLOOKUP(A1040,[1]Sheet1!$A$2:$J$1141,10,0)</f>
        <v>#REF!</v>
      </c>
      <c r="M1040" s="2">
        <v>26332</v>
      </c>
      <c r="N1040" s="1" t="s">
        <v>59</v>
      </c>
      <c r="O1040" s="1" t="s">
        <v>30</v>
      </c>
      <c r="P1040" s="1" t="s">
        <v>5445</v>
      </c>
      <c r="Q1040" s="1" t="s">
        <v>5446</v>
      </c>
      <c r="R1040" s="1" t="s">
        <v>5447</v>
      </c>
      <c r="S1040" s="1" t="s">
        <v>541</v>
      </c>
      <c r="T1040" s="14">
        <v>46813</v>
      </c>
      <c r="U1040" s="1" t="s">
        <v>5448</v>
      </c>
      <c r="V1040" s="1" t="s">
        <v>36</v>
      </c>
      <c r="W1040" s="3" t="str">
        <f t="shared" si="16"/>
        <v>54 tahun</v>
      </c>
      <c r="X1040" s="1" t="s">
        <v>55</v>
      </c>
      <c r="Y1040" s="1" t="s">
        <v>48</v>
      </c>
      <c r="Z1040" s="2">
        <v>35842</v>
      </c>
      <c r="AA1040" s="2">
        <v>36220</v>
      </c>
      <c r="AB1040" s="2" t="s">
        <v>5449</v>
      </c>
    </row>
    <row r="1041" spans="1:28" x14ac:dyDescent="0.35">
      <c r="A1041" s="12">
        <v>5936</v>
      </c>
      <c r="B1041" s="12">
        <v>8712102</v>
      </c>
      <c r="C1041" s="12" t="s">
        <v>103</v>
      </c>
      <c r="D1041" s="12">
        <v>50071475</v>
      </c>
      <c r="E1041" s="16" t="s">
        <v>5450</v>
      </c>
      <c r="F1041" s="1" t="str">
        <f>VLOOKUP(A1041,[1]Sheet1!$A$2:$E$1141,5,0)</f>
        <v>Mgr of HC OD &amp; Career Management</v>
      </c>
      <c r="G1041" s="16" t="str">
        <f>VLOOKUP(A1041,[1]Sheet1!$A$2:$F$1141,6,0)</f>
        <v>Manager</v>
      </c>
      <c r="H1041" s="1" t="s">
        <v>536</v>
      </c>
      <c r="I1041" s="1" t="s">
        <v>537</v>
      </c>
      <c r="J1041" s="1" t="str">
        <f>VLOOKUP(A1041,[1]Sheet1!$A$2:$H$1141,8,0)</f>
        <v>Department of Human Capital &amp; GRC</v>
      </c>
      <c r="K1041" s="1" t="str">
        <f>VLOOKUP(A1041,[1]Sheet1!$A$2:$I$1141,9,0)</f>
        <v>Unit of HC Planning &amp; Development</v>
      </c>
      <c r="L1041" s="1" t="str">
        <f>VLOOKUP(A1041,[1]Sheet1!$A$2:$J$1141,10,0)</f>
        <v>Section of HC OD &amp; Career Management</v>
      </c>
      <c r="M1041" s="2">
        <v>32055</v>
      </c>
      <c r="N1041" s="1" t="s">
        <v>29</v>
      </c>
      <c r="O1041" s="1" t="s">
        <v>30</v>
      </c>
      <c r="P1041" s="1" t="s">
        <v>5451</v>
      </c>
      <c r="Q1041" s="1" t="s">
        <v>5452</v>
      </c>
      <c r="R1041" s="1" t="s">
        <v>5453</v>
      </c>
      <c r="S1041" s="1" t="s">
        <v>541</v>
      </c>
      <c r="T1041" s="14">
        <v>52536</v>
      </c>
      <c r="U1041" s="1" t="s">
        <v>5454</v>
      </c>
      <c r="V1041" s="1" t="s">
        <v>36</v>
      </c>
      <c r="W1041" s="3" t="str">
        <f t="shared" si="16"/>
        <v>38 tahun</v>
      </c>
      <c r="X1041" s="1" t="s">
        <v>361</v>
      </c>
      <c r="Y1041" s="1" t="s">
        <v>48</v>
      </c>
      <c r="Z1041" s="2">
        <v>41275</v>
      </c>
      <c r="AA1041" s="2">
        <v>41395</v>
      </c>
      <c r="AB1041" s="2" t="s">
        <v>5455</v>
      </c>
    </row>
    <row r="1042" spans="1:28" x14ac:dyDescent="0.35">
      <c r="A1042" s="12">
        <v>6235</v>
      </c>
      <c r="B1042" s="12">
        <v>9212403</v>
      </c>
      <c r="C1042" s="12" t="s">
        <v>103</v>
      </c>
      <c r="D1042" s="12">
        <v>50071476</v>
      </c>
      <c r="E1042" s="1" t="s">
        <v>5456</v>
      </c>
      <c r="F1042" s="1" t="str">
        <f>VLOOKUP(A1042,[1]Sheet1!$A$2:$E$1141,5,0)</f>
        <v>HC OD &amp; Career Management Jr Officer</v>
      </c>
      <c r="G1042" s="17" t="str">
        <f>VLOOKUP(A1042,[1]Sheet1!$A$2:$F$1141,6,0)</f>
        <v>Supervisor</v>
      </c>
      <c r="H1042" s="1" t="s">
        <v>536</v>
      </c>
      <c r="I1042" s="1" t="s">
        <v>537</v>
      </c>
      <c r="J1042" s="1" t="str">
        <f>VLOOKUP(A1042,[1]Sheet1!$A$2:$H$1141,8,0)</f>
        <v>Department of Human Capital &amp; GRC</v>
      </c>
      <c r="K1042" s="1" t="str">
        <f>VLOOKUP(A1042,[1]Sheet1!$A$2:$I$1141,9,0)</f>
        <v>Unit of HC Planning &amp; Development</v>
      </c>
      <c r="L1042" s="1" t="str">
        <f>VLOOKUP(A1042,[1]Sheet1!$A$2:$J$1141,10,0)</f>
        <v>Section of HC OD &amp; Career Management</v>
      </c>
      <c r="M1042" s="2">
        <v>33638</v>
      </c>
      <c r="N1042" s="1" t="s">
        <v>29</v>
      </c>
      <c r="O1042" s="1" t="s">
        <v>30</v>
      </c>
      <c r="P1042" s="1" t="s">
        <v>5457</v>
      </c>
      <c r="Q1042" s="1" t="s">
        <v>5458</v>
      </c>
      <c r="R1042" s="1" t="s">
        <v>5453</v>
      </c>
      <c r="S1042" s="1" t="s">
        <v>541</v>
      </c>
      <c r="T1042" s="14">
        <v>54118</v>
      </c>
      <c r="U1042" s="1" t="s">
        <v>5459</v>
      </c>
      <c r="V1042" s="1" t="s">
        <v>36</v>
      </c>
      <c r="W1042" s="3" t="str">
        <f t="shared" si="16"/>
        <v>34 tahun</v>
      </c>
      <c r="X1042" s="1" t="s">
        <v>204</v>
      </c>
      <c r="Y1042" s="1" t="s">
        <v>56</v>
      </c>
      <c r="Z1042" s="2">
        <v>41275</v>
      </c>
      <c r="AA1042" s="2">
        <v>41395</v>
      </c>
      <c r="AB1042" s="2" t="s">
        <v>5460</v>
      </c>
    </row>
    <row r="1043" spans="1:28" x14ac:dyDescent="0.35">
      <c r="A1043" s="12">
        <v>4960</v>
      </c>
      <c r="B1043" s="12">
        <v>7302224</v>
      </c>
      <c r="C1043" s="12" t="s">
        <v>164</v>
      </c>
      <c r="D1043" s="12">
        <v>50071477</v>
      </c>
      <c r="E1043" s="1" t="s">
        <v>5461</v>
      </c>
      <c r="F1043" s="1" t="str">
        <f>VLOOKUP(A1043,[1]Sheet1!$A$2:$E$1141,5,0)</f>
        <v>HC OD &amp; Career Management Jr Officer</v>
      </c>
      <c r="G1043" s="17" t="str">
        <f>VLOOKUP(A1043,[1]Sheet1!$A$2:$F$1141,6,0)</f>
        <v>Supervisor</v>
      </c>
      <c r="H1043" s="1" t="s">
        <v>536</v>
      </c>
      <c r="I1043" s="1" t="s">
        <v>537</v>
      </c>
      <c r="J1043" s="1" t="str">
        <f>VLOOKUP(A1043,[1]Sheet1!$A$2:$H$1141,8,0)</f>
        <v>Department of Human Capital &amp; GRC</v>
      </c>
      <c r="K1043" s="1" t="str">
        <f>VLOOKUP(A1043,[1]Sheet1!$A$2:$I$1141,9,0)</f>
        <v>Unit of HC Planning &amp; Development</v>
      </c>
      <c r="L1043" s="1" t="str">
        <f>VLOOKUP(A1043,[1]Sheet1!$A$2:$J$1141,10,0)</f>
        <v>Section of HC OD &amp; Career Management</v>
      </c>
      <c r="M1043" s="2">
        <v>26938</v>
      </c>
      <c r="N1043" s="1" t="s">
        <v>29</v>
      </c>
      <c r="O1043" s="1" t="s">
        <v>30</v>
      </c>
      <c r="P1043" s="1" t="s">
        <v>5462</v>
      </c>
      <c r="Q1043" s="1" t="s">
        <v>5463</v>
      </c>
      <c r="R1043" s="1" t="s">
        <v>5453</v>
      </c>
      <c r="S1043" s="1" t="s">
        <v>541</v>
      </c>
      <c r="T1043" s="14">
        <v>47423</v>
      </c>
      <c r="U1043" s="1" t="s">
        <v>5464</v>
      </c>
      <c r="V1043" s="1" t="s">
        <v>36</v>
      </c>
      <c r="W1043" s="3" t="str">
        <f t="shared" si="16"/>
        <v>52 tahun</v>
      </c>
      <c r="X1043" s="1" t="s">
        <v>5465</v>
      </c>
      <c r="Y1043" s="1" t="s">
        <v>56</v>
      </c>
      <c r="Z1043" s="2">
        <v>37469</v>
      </c>
      <c r="AA1043" s="2">
        <v>38718</v>
      </c>
      <c r="AB1043" s="2" t="s">
        <v>5466</v>
      </c>
    </row>
    <row r="1044" spans="1:28" x14ac:dyDescent="0.35">
      <c r="A1044" s="12">
        <v>5355</v>
      </c>
      <c r="B1044" s="12">
        <v>8508085</v>
      </c>
      <c r="C1044" s="12" t="s">
        <v>25</v>
      </c>
      <c r="D1044" s="12">
        <v>50071433</v>
      </c>
      <c r="E1044" s="16" t="s">
        <v>5467</v>
      </c>
      <c r="F1044" s="1" t="str">
        <f>VLOOKUP(A1044,[1]Sheet1!$A$2:$E$1141,5,0)</f>
        <v>Mgr of Performance &amp; Talent Mgmt</v>
      </c>
      <c r="G1044" s="16" t="str">
        <f>VLOOKUP(A1044,[1]Sheet1!$A$2:$F$1141,6,0)</f>
        <v>Manager</v>
      </c>
      <c r="H1044" s="1" t="s">
        <v>536</v>
      </c>
      <c r="I1044" s="1" t="s">
        <v>537</v>
      </c>
      <c r="J1044" s="1" t="str">
        <f>VLOOKUP(A1044,[1]Sheet1!$A$2:$H$1141,8,0)</f>
        <v>Department of Human Capital &amp; GRC</v>
      </c>
      <c r="K1044" s="1" t="str">
        <f>VLOOKUP(A1044,[1]Sheet1!$A$2:$I$1141,9,0)</f>
        <v>Unit of HC Planning &amp; Development</v>
      </c>
      <c r="L1044" s="1" t="str">
        <f>VLOOKUP(A1044,[1]Sheet1!$A$2:$J$1141,10,0)</f>
        <v>Section of Performance &amp; Talent Mgmt</v>
      </c>
      <c r="M1044" s="2">
        <v>31323</v>
      </c>
      <c r="N1044" s="1" t="s">
        <v>29</v>
      </c>
      <c r="O1044" s="1" t="s">
        <v>30</v>
      </c>
      <c r="P1044" s="1" t="s">
        <v>5468</v>
      </c>
      <c r="Q1044" s="1" t="s">
        <v>5469</v>
      </c>
      <c r="R1044" s="1" t="s">
        <v>5470</v>
      </c>
      <c r="S1044" s="1" t="s">
        <v>541</v>
      </c>
      <c r="T1044" s="14">
        <v>51806</v>
      </c>
      <c r="U1044" s="1" t="s">
        <v>5471</v>
      </c>
      <c r="V1044" s="1" t="s">
        <v>36</v>
      </c>
      <c r="W1044" s="3" t="str">
        <f t="shared" si="16"/>
        <v>40 tahun</v>
      </c>
      <c r="X1044" s="1" t="s">
        <v>580</v>
      </c>
      <c r="Y1044" s="1" t="s">
        <v>48</v>
      </c>
      <c r="Z1044" s="2">
        <v>39814</v>
      </c>
      <c r="AA1044" s="2">
        <v>39934</v>
      </c>
      <c r="AB1044" s="2" t="s">
        <v>5472</v>
      </c>
    </row>
    <row r="1045" spans="1:28" x14ac:dyDescent="0.35">
      <c r="A1045" s="12">
        <v>5918</v>
      </c>
      <c r="B1045" s="12">
        <v>8712085</v>
      </c>
      <c r="C1045" s="12" t="s">
        <v>103</v>
      </c>
      <c r="D1045" s="12">
        <v>50071434</v>
      </c>
      <c r="E1045" s="1" t="s">
        <v>5473</v>
      </c>
      <c r="F1045" s="1" t="str">
        <f>VLOOKUP(A1045,[1]Sheet1!$A$2:$E$1141,5,0)</f>
        <v>Performance &amp; Talent Mgmt Jr Officer</v>
      </c>
      <c r="G1045" s="17" t="str">
        <f>VLOOKUP(A1045,[1]Sheet1!$A$2:$F$1141,6,0)</f>
        <v>Supervisor</v>
      </c>
      <c r="H1045" s="1" t="s">
        <v>536</v>
      </c>
      <c r="I1045" s="1" t="s">
        <v>537</v>
      </c>
      <c r="J1045" s="1" t="str">
        <f>VLOOKUP(A1045,[1]Sheet1!$A$2:$H$1141,8,0)</f>
        <v>Department of Human Capital &amp; GRC</v>
      </c>
      <c r="K1045" s="1" t="str">
        <f>VLOOKUP(A1045,[1]Sheet1!$A$2:$I$1141,9,0)</f>
        <v>Unit of HC Planning &amp; Development</v>
      </c>
      <c r="L1045" s="1" t="str">
        <f>VLOOKUP(A1045,[1]Sheet1!$A$2:$J$1141,10,0)</f>
        <v>Section of Performance &amp; Talent Mgmt</v>
      </c>
      <c r="M1045" s="2">
        <v>31924</v>
      </c>
      <c r="N1045" s="1" t="s">
        <v>59</v>
      </c>
      <c r="O1045" s="1" t="s">
        <v>30</v>
      </c>
      <c r="P1045" s="1" t="s">
        <v>5474</v>
      </c>
      <c r="Q1045" s="1" t="s">
        <v>5458</v>
      </c>
      <c r="R1045" s="1" t="s">
        <v>5470</v>
      </c>
      <c r="S1045" s="1" t="s">
        <v>541</v>
      </c>
      <c r="T1045" s="14">
        <v>52383</v>
      </c>
      <c r="U1045" s="1" t="s">
        <v>5475</v>
      </c>
      <c r="V1045" s="1" t="s">
        <v>36</v>
      </c>
      <c r="W1045" s="3" t="str">
        <f t="shared" si="16"/>
        <v>39 tahun</v>
      </c>
      <c r="X1045" s="1" t="s">
        <v>199</v>
      </c>
      <c r="Y1045" s="1" t="s">
        <v>56</v>
      </c>
      <c r="Z1045" s="2">
        <v>41275</v>
      </c>
      <c r="AA1045" s="2">
        <v>41426</v>
      </c>
      <c r="AB1045" s="2" t="s">
        <v>5476</v>
      </c>
    </row>
    <row r="1046" spans="1:28" x14ac:dyDescent="0.35">
      <c r="A1046" s="12">
        <v>5841</v>
      </c>
      <c r="B1046" s="12">
        <v>8512008</v>
      </c>
      <c r="C1046" s="12" t="s">
        <v>103</v>
      </c>
      <c r="D1046" s="12">
        <v>50071435</v>
      </c>
      <c r="E1046" s="1" t="s">
        <v>5477</v>
      </c>
      <c r="F1046" s="1" t="str">
        <f>VLOOKUP(A1046,[1]Sheet1!$A$2:$E$1141,5,0)</f>
        <v>Performance &amp; Talent Mgmt Jr Officer</v>
      </c>
      <c r="G1046" s="17" t="str">
        <f>VLOOKUP(A1046,[1]Sheet1!$A$2:$F$1141,6,0)</f>
        <v>Supervisor</v>
      </c>
      <c r="H1046" s="1" t="s">
        <v>536</v>
      </c>
      <c r="I1046" s="1" t="s">
        <v>537</v>
      </c>
      <c r="J1046" s="1" t="str">
        <f>VLOOKUP(A1046,[1]Sheet1!$A$2:$H$1141,8,0)</f>
        <v>Department of Human Capital &amp; GRC</v>
      </c>
      <c r="K1046" s="1" t="str">
        <f>VLOOKUP(A1046,[1]Sheet1!$A$2:$I$1141,9,0)</f>
        <v>Unit of HC Planning &amp; Development</v>
      </c>
      <c r="L1046" s="1" t="str">
        <f>VLOOKUP(A1046,[1]Sheet1!$A$2:$J$1141,10,0)</f>
        <v>Section of Performance &amp; Talent Mgmt</v>
      </c>
      <c r="M1046" s="2">
        <v>31153</v>
      </c>
      <c r="N1046" s="1" t="s">
        <v>59</v>
      </c>
      <c r="O1046" s="1" t="s">
        <v>30</v>
      </c>
      <c r="P1046" s="1" t="s">
        <v>5478</v>
      </c>
      <c r="Q1046" s="1" t="s">
        <v>5214</v>
      </c>
      <c r="R1046" s="1" t="s">
        <v>5470</v>
      </c>
      <c r="S1046" s="1" t="s">
        <v>541</v>
      </c>
      <c r="T1046" s="14">
        <v>51622</v>
      </c>
      <c r="U1046" s="1" t="s">
        <v>5479</v>
      </c>
      <c r="V1046" s="1" t="s">
        <v>36</v>
      </c>
      <c r="W1046" s="3" t="str">
        <f t="shared" si="16"/>
        <v>41 tahun</v>
      </c>
      <c r="X1046" s="1" t="s">
        <v>121</v>
      </c>
      <c r="Y1046" s="1" t="s">
        <v>56</v>
      </c>
      <c r="Z1046" s="2">
        <v>41275</v>
      </c>
      <c r="AA1046" s="2">
        <v>41426</v>
      </c>
      <c r="AB1046" s="2" t="s">
        <v>5480</v>
      </c>
    </row>
    <row r="1047" spans="1:28" x14ac:dyDescent="0.35">
      <c r="A1047" s="12">
        <v>5202</v>
      </c>
      <c r="B1047" s="12">
        <v>7695250</v>
      </c>
      <c r="C1047" s="12" t="s">
        <v>50</v>
      </c>
      <c r="D1047" s="12">
        <v>50065635</v>
      </c>
      <c r="E1047" s="16" t="s">
        <v>5481</v>
      </c>
      <c r="F1047" s="1" t="str">
        <f>VLOOKUP(A1047,[1]Sheet1!$A$2:$E$1141,5,0)</f>
        <v>Mgr of Learning &amp; Development</v>
      </c>
      <c r="G1047" s="16" t="str">
        <f>VLOOKUP(A1047,[1]Sheet1!$A$2:$F$1141,6,0)</f>
        <v>Manager</v>
      </c>
      <c r="H1047" s="1" t="s">
        <v>536</v>
      </c>
      <c r="I1047" s="1" t="s">
        <v>537</v>
      </c>
      <c r="J1047" s="1" t="str">
        <f>VLOOKUP(A1047,[1]Sheet1!$A$2:$H$1141,8,0)</f>
        <v>Department of Human Capital &amp; GRC</v>
      </c>
      <c r="K1047" s="1" t="str">
        <f>VLOOKUP(A1047,[1]Sheet1!$A$2:$I$1141,9,0)</f>
        <v>Unit of HC Planning &amp; Development</v>
      </c>
      <c r="L1047" s="1" t="str">
        <f>VLOOKUP(A1047,[1]Sheet1!$A$2:$J$1141,10,0)</f>
        <v>Section of Learning &amp; Development</v>
      </c>
      <c r="M1047" s="2">
        <v>27907</v>
      </c>
      <c r="N1047" s="1" t="s">
        <v>29</v>
      </c>
      <c r="O1047" s="1" t="s">
        <v>30</v>
      </c>
      <c r="P1047" s="1" t="s">
        <v>5482</v>
      </c>
      <c r="Q1047" s="1" t="s">
        <v>5354</v>
      </c>
      <c r="R1047" s="1" t="s">
        <v>5483</v>
      </c>
      <c r="S1047" s="1" t="s">
        <v>541</v>
      </c>
      <c r="T1047" s="14">
        <v>48366</v>
      </c>
      <c r="U1047" s="1" t="s">
        <v>5484</v>
      </c>
      <c r="V1047" s="1" t="s">
        <v>36</v>
      </c>
      <c r="W1047" s="3" t="str">
        <f t="shared" si="16"/>
        <v>50 tahun</v>
      </c>
      <c r="X1047" s="1" t="s">
        <v>1151</v>
      </c>
      <c r="Y1047" s="1" t="s">
        <v>48</v>
      </c>
      <c r="Z1047" s="2">
        <v>35002</v>
      </c>
      <c r="AA1047" s="2">
        <v>35370</v>
      </c>
      <c r="AB1047" s="2" t="s">
        <v>84</v>
      </c>
    </row>
    <row r="1048" spans="1:28" x14ac:dyDescent="0.35">
      <c r="A1048" s="12">
        <v>5230</v>
      </c>
      <c r="B1048" s="12">
        <v>7702291</v>
      </c>
      <c r="C1048" s="12" t="s">
        <v>164</v>
      </c>
      <c r="D1048" s="12">
        <v>50069189</v>
      </c>
      <c r="E1048" s="1" t="s">
        <v>5485</v>
      </c>
      <c r="F1048" s="1" t="str">
        <f>VLOOKUP(A1048,[1]Sheet1!$A$2:$E$1141,5,0)</f>
        <v>L &amp; D Design &amp; Evaluation Jr Officer</v>
      </c>
      <c r="G1048" s="17" t="str">
        <f>VLOOKUP(A1048,[1]Sheet1!$A$2:$F$1141,6,0)</f>
        <v>Supervisor</v>
      </c>
      <c r="H1048" s="1" t="s">
        <v>536</v>
      </c>
      <c r="I1048" s="1" t="s">
        <v>537</v>
      </c>
      <c r="J1048" s="1" t="str">
        <f>VLOOKUP(A1048,[1]Sheet1!$A$2:$H$1141,8,0)</f>
        <v>Department of Human Capital &amp; GRC</v>
      </c>
      <c r="K1048" s="1" t="str">
        <f>VLOOKUP(A1048,[1]Sheet1!$A$2:$I$1141,9,0)</f>
        <v>Unit of HC Planning &amp; Development</v>
      </c>
      <c r="L1048" s="1" t="str">
        <f>VLOOKUP(A1048,[1]Sheet1!$A$2:$J$1141,10,0)</f>
        <v>Section of Learning &amp; Development</v>
      </c>
      <c r="M1048" s="2">
        <v>28351</v>
      </c>
      <c r="N1048" s="1" t="s">
        <v>29</v>
      </c>
      <c r="O1048" s="1" t="s">
        <v>30</v>
      </c>
      <c r="P1048" s="1" t="s">
        <v>5486</v>
      </c>
      <c r="Q1048" s="1" t="s">
        <v>5487</v>
      </c>
      <c r="R1048" s="1" t="s">
        <v>5488</v>
      </c>
      <c r="S1048" s="1" t="s">
        <v>541</v>
      </c>
      <c r="T1048" s="14">
        <v>48823</v>
      </c>
      <c r="U1048" s="1" t="s">
        <v>5489</v>
      </c>
      <c r="V1048" s="1" t="s">
        <v>36</v>
      </c>
      <c r="W1048" s="3" t="str">
        <f t="shared" si="16"/>
        <v>49 tahun</v>
      </c>
      <c r="X1048" s="1" t="s">
        <v>96</v>
      </c>
      <c r="Y1048" s="1" t="s">
        <v>48</v>
      </c>
      <c r="Z1048" s="2">
        <v>37469</v>
      </c>
      <c r="AA1048" s="2">
        <v>38718</v>
      </c>
      <c r="AB1048" s="2" t="s">
        <v>5490</v>
      </c>
    </row>
    <row r="1049" spans="1:28" x14ac:dyDescent="0.35">
      <c r="A1049" s="12">
        <v>7700</v>
      </c>
      <c r="B1049" s="12">
        <v>9907700</v>
      </c>
      <c r="C1049" s="12" t="s">
        <v>232</v>
      </c>
      <c r="D1049" s="12">
        <v>50071444</v>
      </c>
      <c r="E1049" s="1" t="s">
        <v>5491</v>
      </c>
      <c r="F1049" s="1" t="str">
        <f>VLOOKUP(A1049,[1]Sheet1!$A$2:$E$1141,5,0)</f>
        <v>E Learning Operation &amp; KM Adm Officer</v>
      </c>
      <c r="G1049" s="17" t="str">
        <f>VLOOKUP(A1049,[1]Sheet1!$A$2:$F$1141,6,0)</f>
        <v>Associate</v>
      </c>
      <c r="H1049" s="1" t="s">
        <v>536</v>
      </c>
      <c r="I1049" s="1" t="s">
        <v>537</v>
      </c>
      <c r="J1049" s="1" t="str">
        <f>VLOOKUP(A1049,[1]Sheet1!$A$2:$H$1141,8,0)</f>
        <v>Department of Human Capital &amp; GRC</v>
      </c>
      <c r="K1049" s="1" t="str">
        <f>VLOOKUP(A1049,[1]Sheet1!$A$2:$I$1141,9,0)</f>
        <v>Unit of HC Planning &amp; Development</v>
      </c>
      <c r="L1049" s="1" t="str">
        <f>VLOOKUP(A1049,[1]Sheet1!$A$2:$J$1141,10,0)</f>
        <v>Section of Learning &amp; Development</v>
      </c>
      <c r="M1049" s="2">
        <v>34594</v>
      </c>
      <c r="N1049" s="1" t="s">
        <v>29</v>
      </c>
      <c r="O1049" s="1" t="s">
        <v>30</v>
      </c>
      <c r="P1049" s="1" t="s">
        <v>5492</v>
      </c>
      <c r="Q1049" s="1" t="s">
        <v>5469</v>
      </c>
      <c r="R1049" s="1" t="s">
        <v>5493</v>
      </c>
      <c r="S1049" s="1" t="s">
        <v>541</v>
      </c>
      <c r="T1049" s="14">
        <v>55062</v>
      </c>
      <c r="U1049" s="1" t="s">
        <v>5494</v>
      </c>
      <c r="V1049" s="1" t="s">
        <v>36</v>
      </c>
      <c r="W1049" s="3" t="str">
        <f t="shared" si="16"/>
        <v>31 tahun</v>
      </c>
      <c r="X1049" s="1" t="s">
        <v>101</v>
      </c>
      <c r="Y1049" s="1" t="s">
        <v>48</v>
      </c>
      <c r="Z1049" s="2">
        <v>43709</v>
      </c>
      <c r="AA1049" s="2">
        <v>45536</v>
      </c>
      <c r="AB1049" s="2" t="e">
        <v>#N/A</v>
      </c>
    </row>
    <row r="1050" spans="1:28" x14ac:dyDescent="0.35">
      <c r="A1050" s="12">
        <v>5347</v>
      </c>
      <c r="B1050" s="12">
        <v>8508051</v>
      </c>
      <c r="C1050" s="12" t="s">
        <v>25</v>
      </c>
      <c r="D1050" s="12">
        <v>50009869</v>
      </c>
      <c r="E1050" s="15" t="s">
        <v>5495</v>
      </c>
      <c r="F1050" s="1" t="str">
        <f>VLOOKUP(A1050,[1]Sheet1!$A$2:$E$1141,5,0)</f>
        <v>SM of HC Operational</v>
      </c>
      <c r="G1050" s="15" t="str">
        <f>VLOOKUP(A1050,[1]Sheet1!$A$2:$F$1141,6,0)</f>
        <v>Senior Manager</v>
      </c>
      <c r="H1050" s="1" t="s">
        <v>5496</v>
      </c>
      <c r="I1050" s="1" t="s">
        <v>537</v>
      </c>
      <c r="J1050" s="1" t="str">
        <f>VLOOKUP(A1050,[1]Sheet1!$A$2:$H$1141,8,0)</f>
        <v>Department of Human Capital &amp; GRC</v>
      </c>
      <c r="K1050" s="1" t="str">
        <f>VLOOKUP(A1050,[1]Sheet1!$A$2:$I$1141,9,0)</f>
        <v>Unit of HC Operational</v>
      </c>
      <c r="L1050" s="1" t="e">
        <f>VLOOKUP(A1050,[1]Sheet1!$A$2:$J$1141,10,0)</f>
        <v>#REF!</v>
      </c>
      <c r="M1050" s="2">
        <v>31267</v>
      </c>
      <c r="N1050" s="1" t="s">
        <v>59</v>
      </c>
      <c r="O1050" s="1" t="s">
        <v>30</v>
      </c>
      <c r="P1050" s="1" t="s">
        <v>5497</v>
      </c>
      <c r="Q1050" s="1" t="s">
        <v>5498</v>
      </c>
      <c r="R1050" s="1" t="s">
        <v>5499</v>
      </c>
      <c r="S1050" s="1" t="s">
        <v>5500</v>
      </c>
      <c r="T1050" s="14">
        <v>51745</v>
      </c>
      <c r="U1050" s="1" t="s">
        <v>5501</v>
      </c>
      <c r="V1050" s="1" t="s">
        <v>36</v>
      </c>
      <c r="W1050" s="3" t="str">
        <f t="shared" si="16"/>
        <v>41 tahun</v>
      </c>
      <c r="X1050" s="1" t="s">
        <v>37</v>
      </c>
      <c r="Y1050" s="1" t="s">
        <v>48</v>
      </c>
      <c r="Z1050" s="2">
        <v>39814</v>
      </c>
      <c r="AA1050" s="2">
        <v>39934</v>
      </c>
      <c r="AB1050" s="2" t="s">
        <v>5502</v>
      </c>
    </row>
    <row r="1051" spans="1:28" x14ac:dyDescent="0.35">
      <c r="A1051" s="12">
        <v>6266</v>
      </c>
      <c r="B1051" s="12">
        <v>9212435</v>
      </c>
      <c r="C1051" s="12" t="s">
        <v>103</v>
      </c>
      <c r="D1051" s="12">
        <v>50071439</v>
      </c>
      <c r="E1051" s="1" t="s">
        <v>5503</v>
      </c>
      <c r="F1051" s="1" t="str">
        <f>VLOOKUP(A1051,[1]Sheet1!$A$2:$E$1141,5,0)</f>
        <v>HRIS Reporting &amp; Analytical Jr Officer</v>
      </c>
      <c r="G1051" s="17" t="str">
        <f>VLOOKUP(A1051,[1]Sheet1!$A$2:$F$1141,6,0)</f>
        <v>Supervisor</v>
      </c>
      <c r="H1051" s="1" t="s">
        <v>5496</v>
      </c>
      <c r="I1051" s="1" t="s">
        <v>537</v>
      </c>
      <c r="J1051" s="1" t="str">
        <f>VLOOKUP(A1051,[1]Sheet1!$A$2:$H$1141,8,0)</f>
        <v>Department of Human Capital &amp; GRC</v>
      </c>
      <c r="K1051" s="1" t="str">
        <f>VLOOKUP(A1051,[1]Sheet1!$A$2:$I$1141,9,0)</f>
        <v>Unit of HC Operational</v>
      </c>
      <c r="L1051" s="1" t="e">
        <f>VLOOKUP(A1051,[1]Sheet1!$A$2:$J$1141,10,0)</f>
        <v>#REF!</v>
      </c>
      <c r="M1051" s="2">
        <v>33858</v>
      </c>
      <c r="N1051" s="1" t="s">
        <v>59</v>
      </c>
      <c r="O1051" s="1" t="s">
        <v>30</v>
      </c>
      <c r="P1051" s="1" t="s">
        <v>5504</v>
      </c>
      <c r="Q1051" s="1" t="s">
        <v>5458</v>
      </c>
      <c r="R1051" s="1" t="s">
        <v>5499</v>
      </c>
      <c r="S1051" s="1" t="s">
        <v>5500</v>
      </c>
      <c r="T1051" s="14">
        <v>54332</v>
      </c>
      <c r="U1051" s="1" t="s">
        <v>5505</v>
      </c>
      <c r="V1051" s="1" t="s">
        <v>36</v>
      </c>
      <c r="W1051" s="3" t="str">
        <f t="shared" si="16"/>
        <v>33 tahun</v>
      </c>
      <c r="X1051" s="1" t="s">
        <v>121</v>
      </c>
      <c r="Y1051" s="1" t="s">
        <v>48</v>
      </c>
      <c r="Z1051" s="2">
        <v>41275</v>
      </c>
      <c r="AA1051" s="2">
        <v>41395</v>
      </c>
      <c r="AB1051" s="2" t="s">
        <v>5506</v>
      </c>
    </row>
    <row r="1052" spans="1:28" x14ac:dyDescent="0.35">
      <c r="A1052" s="12">
        <v>5888</v>
      </c>
      <c r="B1052" s="12">
        <v>8612055</v>
      </c>
      <c r="C1052" s="12" t="s">
        <v>103</v>
      </c>
      <c r="D1052" s="12">
        <v>50018600</v>
      </c>
      <c r="E1052" s="16" t="s">
        <v>5507</v>
      </c>
      <c r="F1052" s="1" t="str">
        <f>VLOOKUP(A1052,[1]Sheet1!$A$2:$E$1141,5,0)</f>
        <v>Mgr of PA &amp; Comp. Benefit</v>
      </c>
      <c r="G1052" s="16" t="str">
        <f>VLOOKUP(A1052,[1]Sheet1!$A$2:$F$1141,6,0)</f>
        <v>Manager</v>
      </c>
      <c r="H1052" s="1" t="s">
        <v>5508</v>
      </c>
      <c r="I1052" s="1" t="s">
        <v>537</v>
      </c>
      <c r="J1052" s="1" t="str">
        <f>VLOOKUP(A1052,[1]Sheet1!$A$2:$H$1141,8,0)</f>
        <v>Department of Human Capital &amp; GRC</v>
      </c>
      <c r="K1052" s="1" t="str">
        <f>VLOOKUP(A1052,[1]Sheet1!$A$2:$I$1141,9,0)</f>
        <v>Unit of HC Operational</v>
      </c>
      <c r="L1052" s="1" t="str">
        <f>VLOOKUP(A1052,[1]Sheet1!$A$2:$J$1141,10,0)</f>
        <v>Section of PA &amp; Comp. Benefit</v>
      </c>
      <c r="M1052" s="2">
        <v>31692</v>
      </c>
      <c r="N1052" s="1" t="s">
        <v>29</v>
      </c>
      <c r="O1052" s="1" t="s">
        <v>30</v>
      </c>
      <c r="P1052" s="1" t="s">
        <v>5509</v>
      </c>
      <c r="Q1052" s="1" t="s">
        <v>5510</v>
      </c>
      <c r="R1052" s="1" t="s">
        <v>5511</v>
      </c>
      <c r="S1052" s="1" t="s">
        <v>5512</v>
      </c>
      <c r="T1052" s="14">
        <v>52171</v>
      </c>
      <c r="U1052" s="1" t="s">
        <v>5513</v>
      </c>
      <c r="V1052" s="1" t="s">
        <v>36</v>
      </c>
      <c r="W1052" s="3" t="str">
        <f t="shared" si="16"/>
        <v>39 tahun</v>
      </c>
      <c r="X1052" s="1" t="s">
        <v>5514</v>
      </c>
      <c r="Y1052" s="1" t="s">
        <v>56</v>
      </c>
      <c r="Z1052" s="2">
        <v>41275</v>
      </c>
      <c r="AA1052" s="2">
        <v>41395</v>
      </c>
      <c r="AB1052" s="2" t="s">
        <v>5515</v>
      </c>
    </row>
    <row r="1053" spans="1:28" x14ac:dyDescent="0.35">
      <c r="A1053" s="12">
        <v>6144</v>
      </c>
      <c r="B1053" s="12">
        <v>9012313</v>
      </c>
      <c r="C1053" s="12" t="s">
        <v>103</v>
      </c>
      <c r="D1053" s="12">
        <v>50009875</v>
      </c>
      <c r="E1053" s="1" t="s">
        <v>5516</v>
      </c>
      <c r="F1053" s="1" t="str">
        <f>VLOOKUP(A1053,[1]Sheet1!$A$2:$E$1141,5,0)</f>
        <v>PA &amp; Comp. Benefit Jr Officer</v>
      </c>
      <c r="G1053" s="17" t="str">
        <f>VLOOKUP(A1053,[1]Sheet1!$A$2:$F$1141,6,0)</f>
        <v>Supervisor</v>
      </c>
      <c r="H1053" s="1" t="s">
        <v>5508</v>
      </c>
      <c r="I1053" s="1" t="s">
        <v>537</v>
      </c>
      <c r="J1053" s="1" t="str">
        <f>VLOOKUP(A1053,[1]Sheet1!$A$2:$H$1141,8,0)</f>
        <v>Department of Human Capital &amp; GRC</v>
      </c>
      <c r="K1053" s="1" t="str">
        <f>VLOOKUP(A1053,[1]Sheet1!$A$2:$I$1141,9,0)</f>
        <v>Unit of HC Operational</v>
      </c>
      <c r="L1053" s="1" t="str">
        <f>VLOOKUP(A1053,[1]Sheet1!$A$2:$J$1141,10,0)</f>
        <v>Section of PA &amp; Comp. Benefit</v>
      </c>
      <c r="M1053" s="2">
        <v>33225</v>
      </c>
      <c r="N1053" s="1" t="s">
        <v>59</v>
      </c>
      <c r="O1053" s="1" t="s">
        <v>30</v>
      </c>
      <c r="P1053" s="1" t="s">
        <v>5517</v>
      </c>
      <c r="Q1053" s="1" t="s">
        <v>5510</v>
      </c>
      <c r="R1053" s="1" t="s">
        <v>5511</v>
      </c>
      <c r="S1053" s="1" t="s">
        <v>5512</v>
      </c>
      <c r="T1053" s="14">
        <v>53693</v>
      </c>
      <c r="U1053" s="1" t="s">
        <v>5518</v>
      </c>
      <c r="V1053" s="1" t="s">
        <v>36</v>
      </c>
      <c r="W1053" s="3" t="str">
        <f t="shared" si="16"/>
        <v>35 tahun</v>
      </c>
      <c r="X1053" s="1" t="s">
        <v>595</v>
      </c>
      <c r="Y1053" s="1" t="s">
        <v>48</v>
      </c>
      <c r="Z1053" s="2">
        <v>41275</v>
      </c>
      <c r="AA1053" s="2">
        <v>41426</v>
      </c>
      <c r="AB1053" s="2" t="s">
        <v>5519</v>
      </c>
    </row>
    <row r="1054" spans="1:28" x14ac:dyDescent="0.35">
      <c r="A1054" s="12">
        <v>4797</v>
      </c>
      <c r="B1054" s="12">
        <v>7295260</v>
      </c>
      <c r="C1054" s="12" t="s">
        <v>50</v>
      </c>
      <c r="D1054" s="12">
        <v>50069268</v>
      </c>
      <c r="E1054" s="1" t="s">
        <v>5520</v>
      </c>
      <c r="F1054" s="1" t="str">
        <f>VLOOKUP(A1054,[1]Sheet1!$A$2:$E$1141,5,0)</f>
        <v>PA &amp; Comp. Benefit Jr Officer</v>
      </c>
      <c r="G1054" s="17" t="str">
        <f>VLOOKUP(A1054,[1]Sheet1!$A$2:$F$1141,6,0)</f>
        <v>Supervisor</v>
      </c>
      <c r="H1054" s="1" t="s">
        <v>5508</v>
      </c>
      <c r="I1054" s="1" t="s">
        <v>537</v>
      </c>
      <c r="J1054" s="1" t="str">
        <f>VLOOKUP(A1054,[1]Sheet1!$A$2:$H$1141,8,0)</f>
        <v>Department of Human Capital &amp; GRC</v>
      </c>
      <c r="K1054" s="1" t="str">
        <f>VLOOKUP(A1054,[1]Sheet1!$A$2:$I$1141,9,0)</f>
        <v>Unit of HC Operational</v>
      </c>
      <c r="L1054" s="1" t="str">
        <f>VLOOKUP(A1054,[1]Sheet1!$A$2:$J$1141,10,0)</f>
        <v>Section of PA &amp; Comp. Benefit</v>
      </c>
      <c r="M1054" s="2">
        <v>26320</v>
      </c>
      <c r="N1054" s="1" t="s">
        <v>59</v>
      </c>
      <c r="O1054" s="1" t="s">
        <v>30</v>
      </c>
      <c r="P1054" s="1" t="s">
        <v>5521</v>
      </c>
      <c r="Q1054" s="1" t="s">
        <v>5510</v>
      </c>
      <c r="R1054" s="1" t="s">
        <v>5511</v>
      </c>
      <c r="S1054" s="1" t="s">
        <v>5512</v>
      </c>
      <c r="T1054" s="14">
        <v>46784</v>
      </c>
      <c r="U1054" s="1" t="s">
        <v>5522</v>
      </c>
      <c r="V1054" s="1" t="s">
        <v>36</v>
      </c>
      <c r="W1054" s="3" t="str">
        <f t="shared" si="16"/>
        <v>54 tahun</v>
      </c>
      <c r="X1054" s="1" t="s">
        <v>5523</v>
      </c>
      <c r="Y1054" s="1" t="s">
        <v>56</v>
      </c>
      <c r="Z1054" s="2">
        <v>35034</v>
      </c>
      <c r="AA1054" s="2">
        <v>35400</v>
      </c>
      <c r="AB1054" s="2" t="s">
        <v>5524</v>
      </c>
    </row>
    <row r="1055" spans="1:28" x14ac:dyDescent="0.35">
      <c r="A1055" s="12">
        <v>5869</v>
      </c>
      <c r="B1055" s="12">
        <v>8612036</v>
      </c>
      <c r="C1055" s="12" t="s">
        <v>103</v>
      </c>
      <c r="D1055" s="12">
        <v>50066612</v>
      </c>
      <c r="E1055" s="16" t="s">
        <v>5525</v>
      </c>
      <c r="F1055" s="1" t="str">
        <f>VLOOKUP(A1055,[1]Sheet1!$A$2:$E$1141,5,0)</f>
        <v>Mgr of Employee Facility</v>
      </c>
      <c r="G1055" s="16" t="str">
        <f>VLOOKUP(A1055,[1]Sheet1!$A$2:$F$1141,6,0)</f>
        <v>Manager</v>
      </c>
      <c r="H1055" s="1" t="s">
        <v>5496</v>
      </c>
      <c r="I1055" s="1" t="s">
        <v>537</v>
      </c>
      <c r="J1055" s="1" t="str">
        <f>VLOOKUP(A1055,[1]Sheet1!$A$2:$H$1141,8,0)</f>
        <v>Department of Human Capital &amp; GRC</v>
      </c>
      <c r="K1055" s="1" t="str">
        <f>VLOOKUP(A1055,[1]Sheet1!$A$2:$I$1141,9,0)</f>
        <v>Unit of HC Operational</v>
      </c>
      <c r="L1055" s="1" t="str">
        <f>VLOOKUP(A1055,[1]Sheet1!$A$2:$J$1141,10,0)</f>
        <v>Section of Employee Facility</v>
      </c>
      <c r="M1055" s="2">
        <v>31487</v>
      </c>
      <c r="N1055" s="1" t="s">
        <v>29</v>
      </c>
      <c r="O1055" s="1" t="s">
        <v>30</v>
      </c>
      <c r="P1055" s="1" t="s">
        <v>5526</v>
      </c>
      <c r="Q1055" s="1" t="s">
        <v>5527</v>
      </c>
      <c r="R1055" s="1" t="s">
        <v>5528</v>
      </c>
      <c r="S1055" s="1" t="s">
        <v>5500</v>
      </c>
      <c r="T1055" s="14">
        <v>51957</v>
      </c>
      <c r="U1055" s="1" t="s">
        <v>5529</v>
      </c>
      <c r="V1055" s="1" t="s">
        <v>36</v>
      </c>
      <c r="W1055" s="3" t="str">
        <f t="shared" si="16"/>
        <v>40 tahun</v>
      </c>
      <c r="X1055" s="1" t="s">
        <v>1151</v>
      </c>
      <c r="Y1055" s="1" t="s">
        <v>48</v>
      </c>
      <c r="Z1055" s="2">
        <v>41275</v>
      </c>
      <c r="AA1055" s="2">
        <v>41395</v>
      </c>
      <c r="AB1055" s="2" t="s">
        <v>5530</v>
      </c>
    </row>
    <row r="1056" spans="1:28" x14ac:dyDescent="0.35">
      <c r="A1056" s="12">
        <v>5012</v>
      </c>
      <c r="B1056" s="12">
        <v>7495209</v>
      </c>
      <c r="C1056" s="12" t="s">
        <v>50</v>
      </c>
      <c r="D1056" s="12">
        <v>50066614</v>
      </c>
      <c r="E1056" s="1" t="s">
        <v>5531</v>
      </c>
      <c r="F1056" s="1" t="str">
        <f>VLOOKUP(A1056,[1]Sheet1!$A$2:$E$1141,5,0)</f>
        <v>Employee Facility Jr Officer</v>
      </c>
      <c r="G1056" s="17" t="str">
        <f>VLOOKUP(A1056,[1]Sheet1!$A$2:$F$1141,6,0)</f>
        <v>Supervisor</v>
      </c>
      <c r="H1056" s="1" t="s">
        <v>5496</v>
      </c>
      <c r="I1056" s="1" t="s">
        <v>537</v>
      </c>
      <c r="J1056" s="1" t="str">
        <f>VLOOKUP(A1056,[1]Sheet1!$A$2:$H$1141,8,0)</f>
        <v>Department of Human Capital &amp; GRC</v>
      </c>
      <c r="K1056" s="1" t="str">
        <f>VLOOKUP(A1056,[1]Sheet1!$A$2:$I$1141,9,0)</f>
        <v>Unit of HC Operational</v>
      </c>
      <c r="L1056" s="1" t="str">
        <f>VLOOKUP(A1056,[1]Sheet1!$A$2:$J$1141,10,0)</f>
        <v>Section of Employee Facility</v>
      </c>
      <c r="M1056" s="2">
        <v>27087</v>
      </c>
      <c r="N1056" s="1" t="s">
        <v>29</v>
      </c>
      <c r="O1056" s="1" t="s">
        <v>30</v>
      </c>
      <c r="P1056" s="1" t="s">
        <v>5532</v>
      </c>
      <c r="Q1056" s="1" t="s">
        <v>5354</v>
      </c>
      <c r="R1056" s="1" t="s">
        <v>5528</v>
      </c>
      <c r="S1056" s="1" t="s">
        <v>5500</v>
      </c>
      <c r="T1056" s="14">
        <v>47543</v>
      </c>
      <c r="U1056" s="1" t="s">
        <v>5533</v>
      </c>
      <c r="V1056" s="1" t="s">
        <v>186</v>
      </c>
      <c r="W1056" s="3" t="str">
        <f t="shared" si="16"/>
        <v>52 tahun</v>
      </c>
      <c r="X1056" s="1" t="s">
        <v>3215</v>
      </c>
      <c r="Y1056" s="1" t="s">
        <v>56</v>
      </c>
      <c r="Z1056" s="2">
        <v>35002</v>
      </c>
      <c r="AA1056" s="2">
        <v>35370</v>
      </c>
      <c r="AB1056" s="2" t="s">
        <v>5534</v>
      </c>
    </row>
    <row r="1057" spans="1:28" x14ac:dyDescent="0.35">
      <c r="A1057" s="12">
        <v>5955</v>
      </c>
      <c r="B1057" s="12">
        <v>8812120</v>
      </c>
      <c r="C1057" s="12" t="s">
        <v>103</v>
      </c>
      <c r="D1057" s="12">
        <v>50066613</v>
      </c>
      <c r="E1057" s="1" t="s">
        <v>5535</v>
      </c>
      <c r="F1057" s="1" t="str">
        <f>VLOOKUP(A1057,[1]Sheet1!$A$2:$E$1141,5,0)</f>
        <v>Employee Facility Jr Officer</v>
      </c>
      <c r="G1057" s="17" t="str">
        <f>VLOOKUP(A1057,[1]Sheet1!$A$2:$F$1141,6,0)</f>
        <v>Supervisor</v>
      </c>
      <c r="H1057" s="1" t="s">
        <v>5496</v>
      </c>
      <c r="I1057" s="1" t="s">
        <v>537</v>
      </c>
      <c r="J1057" s="1" t="str">
        <f>VLOOKUP(A1057,[1]Sheet1!$A$2:$H$1141,8,0)</f>
        <v>Department of Human Capital &amp; GRC</v>
      </c>
      <c r="K1057" s="1" t="str">
        <f>VLOOKUP(A1057,[1]Sheet1!$A$2:$I$1141,9,0)</f>
        <v>Unit of HC Operational</v>
      </c>
      <c r="L1057" s="1" t="str">
        <f>VLOOKUP(A1057,[1]Sheet1!$A$2:$J$1141,10,0)</f>
        <v>Section of Employee Facility</v>
      </c>
      <c r="M1057" s="2">
        <v>32232</v>
      </c>
      <c r="N1057" s="1" t="s">
        <v>29</v>
      </c>
      <c r="O1057" s="1" t="s">
        <v>30</v>
      </c>
      <c r="P1057" s="1" t="s">
        <v>5536</v>
      </c>
      <c r="Q1057" s="1" t="s">
        <v>5527</v>
      </c>
      <c r="R1057" s="1" t="s">
        <v>5528</v>
      </c>
      <c r="S1057" s="1" t="s">
        <v>5500</v>
      </c>
      <c r="T1057" s="14">
        <v>52688</v>
      </c>
      <c r="U1057" s="1" t="s">
        <v>5537</v>
      </c>
      <c r="V1057" s="1" t="s">
        <v>36</v>
      </c>
      <c r="W1057" s="3" t="str">
        <f t="shared" si="16"/>
        <v>38 tahun</v>
      </c>
      <c r="X1057" s="1" t="s">
        <v>112</v>
      </c>
      <c r="Y1057" s="1" t="s">
        <v>48</v>
      </c>
      <c r="Z1057" s="2">
        <v>41275</v>
      </c>
      <c r="AA1057" s="2">
        <v>41395</v>
      </c>
      <c r="AB1057" s="2" t="s">
        <v>5538</v>
      </c>
    </row>
    <row r="1058" spans="1:28" x14ac:dyDescent="0.35">
      <c r="A1058" s="12">
        <v>5033</v>
      </c>
      <c r="B1058" s="12">
        <v>7495032</v>
      </c>
      <c r="C1058" s="12" t="s">
        <v>50</v>
      </c>
      <c r="D1058" s="12">
        <v>50071438</v>
      </c>
      <c r="E1058" s="16" t="s">
        <v>5539</v>
      </c>
      <c r="F1058" s="1" t="str">
        <f>VLOOKUP(A1058,[1]Sheet1!$A$2:$E$1141,5,0)</f>
        <v>HC Partner &amp; Corp Culture Officer</v>
      </c>
      <c r="G1058" s="16" t="str">
        <f>VLOOKUP(A1058,[1]Sheet1!$A$2:$F$1141,6,0)</f>
        <v>Manager</v>
      </c>
      <c r="H1058" s="1" t="s">
        <v>5496</v>
      </c>
      <c r="I1058" s="1" t="s">
        <v>537</v>
      </c>
      <c r="J1058" s="1" t="str">
        <f>VLOOKUP(A1058,[1]Sheet1!$A$2:$H$1141,8,0)</f>
        <v>Department of Human Capital &amp; GRC</v>
      </c>
      <c r="K1058" s="1" t="str">
        <f>VLOOKUP(A1058,[1]Sheet1!$A$2:$I$1141,9,0)</f>
        <v>Unit of HC Operational</v>
      </c>
      <c r="L1058" s="1" t="str">
        <f>VLOOKUP(A1058,[1]Sheet1!$A$2:$J$1141,10,0)</f>
        <v>Staff of HC Partner &amp; Corp Culture</v>
      </c>
      <c r="M1058" s="2">
        <v>27180</v>
      </c>
      <c r="N1058" s="1" t="s">
        <v>29</v>
      </c>
      <c r="O1058" s="1" t="s">
        <v>30</v>
      </c>
      <c r="P1058" s="1" t="s">
        <v>5540</v>
      </c>
      <c r="Q1058" s="1" t="s">
        <v>5452</v>
      </c>
      <c r="R1058" s="1" t="s">
        <v>5541</v>
      </c>
      <c r="S1058" s="1" t="s">
        <v>5500</v>
      </c>
      <c r="T1058" s="14">
        <v>47635</v>
      </c>
      <c r="U1058" s="1" t="s">
        <v>5542</v>
      </c>
      <c r="V1058" s="1" t="s">
        <v>36</v>
      </c>
      <c r="W1058" s="3" t="str">
        <f t="shared" si="16"/>
        <v>52 tahun</v>
      </c>
      <c r="X1058" s="1" t="s">
        <v>55</v>
      </c>
      <c r="Y1058" s="1" t="s">
        <v>56</v>
      </c>
      <c r="Z1058" s="2">
        <v>34897</v>
      </c>
      <c r="AA1058" s="2">
        <v>35278</v>
      </c>
      <c r="AB1058" s="2" t="s">
        <v>84</v>
      </c>
    </row>
    <row r="1059" spans="1:28" x14ac:dyDescent="0.35">
      <c r="A1059" s="12">
        <v>4646</v>
      </c>
      <c r="B1059" s="12">
        <v>7506499</v>
      </c>
      <c r="C1059" s="12" t="s">
        <v>219</v>
      </c>
      <c r="D1059" s="12">
        <v>50071436</v>
      </c>
      <c r="E1059" s="1" t="s">
        <v>5543</v>
      </c>
      <c r="F1059" s="1" t="str">
        <f>VLOOKUP(A1059,[1]Sheet1!$A$2:$E$1141,5,0)</f>
        <v>HC Partner &amp; Corp Culture Jr Officer</v>
      </c>
      <c r="G1059" s="17" t="str">
        <f>VLOOKUP(A1059,[1]Sheet1!$A$2:$F$1141,6,0)</f>
        <v>Supervisor</v>
      </c>
      <c r="H1059" s="1" t="s">
        <v>5496</v>
      </c>
      <c r="I1059" s="1" t="s">
        <v>537</v>
      </c>
      <c r="J1059" s="1" t="str">
        <f>VLOOKUP(A1059,[1]Sheet1!$A$2:$H$1141,8,0)</f>
        <v>Department of Human Capital &amp; GRC</v>
      </c>
      <c r="K1059" s="1" t="str">
        <f>VLOOKUP(A1059,[1]Sheet1!$A$2:$I$1141,9,0)</f>
        <v>Unit of HC Operational</v>
      </c>
      <c r="L1059" s="1" t="str">
        <f>VLOOKUP(A1059,[1]Sheet1!$A$2:$J$1141,10,0)</f>
        <v>Staff of HC Partner &amp; Corp Culture</v>
      </c>
      <c r="M1059" s="2">
        <v>27554</v>
      </c>
      <c r="N1059" s="1" t="s">
        <v>29</v>
      </c>
      <c r="O1059" s="1" t="s">
        <v>30</v>
      </c>
      <c r="P1059" s="1" t="s">
        <v>5544</v>
      </c>
      <c r="Q1059" s="1" t="s">
        <v>5510</v>
      </c>
      <c r="R1059" s="1" t="s">
        <v>5541</v>
      </c>
      <c r="S1059" s="1" t="s">
        <v>5500</v>
      </c>
      <c r="T1059" s="14">
        <v>48030</v>
      </c>
      <c r="U1059" s="1" t="s">
        <v>5545</v>
      </c>
      <c r="V1059" s="1" t="s">
        <v>36</v>
      </c>
      <c r="W1059" s="3" t="str">
        <f t="shared" si="16"/>
        <v>51 tahun</v>
      </c>
      <c r="X1059" s="1" t="s">
        <v>248</v>
      </c>
      <c r="Y1059" s="1" t="s">
        <v>56</v>
      </c>
      <c r="Z1059" s="2">
        <v>38718</v>
      </c>
      <c r="AA1059" s="2">
        <v>41030</v>
      </c>
      <c r="AB1059" s="2" t="s">
        <v>5546</v>
      </c>
    </row>
    <row r="1060" spans="1:28" x14ac:dyDescent="0.35">
      <c r="A1060" s="12">
        <v>5256</v>
      </c>
      <c r="B1060" s="12">
        <v>8108011</v>
      </c>
      <c r="C1060" s="12" t="s">
        <v>25</v>
      </c>
      <c r="D1060" s="12">
        <v>50071460</v>
      </c>
      <c r="E1060" s="15" t="s">
        <v>5547</v>
      </c>
      <c r="F1060" s="1" t="str">
        <f>VLOOKUP(A1060,[1]Sheet1!$A$2:$E$1141,5,0)</f>
        <v>SM of Business &amp; System Development</v>
      </c>
      <c r="G1060" s="15" t="str">
        <f>VLOOKUP(A1060,[1]Sheet1!$A$2:$F$1141,6,0)</f>
        <v>Senior Manager</v>
      </c>
      <c r="H1060" s="1" t="s">
        <v>536</v>
      </c>
      <c r="I1060" s="1" t="s">
        <v>537</v>
      </c>
      <c r="J1060" s="1" t="str">
        <f>VLOOKUP(A1060,[1]Sheet1!$A$2:$H$1141,8,0)</f>
        <v>Department of Human Capital &amp; GRC</v>
      </c>
      <c r="K1060" s="1" t="str">
        <f>VLOOKUP(A1060,[1]Sheet1!$A$2:$I$1141,9,0)</f>
        <v>Unit of Business &amp; System Development</v>
      </c>
      <c r="L1060" s="1" t="e">
        <f>VLOOKUP(A1060,[1]Sheet1!$A$2:$J$1141,10,0)</f>
        <v>#REF!</v>
      </c>
      <c r="M1060" s="2">
        <v>29686</v>
      </c>
      <c r="N1060" s="1" t="s">
        <v>29</v>
      </c>
      <c r="O1060" s="1" t="s">
        <v>30</v>
      </c>
      <c r="P1060" s="1" t="s">
        <v>5548</v>
      </c>
      <c r="Q1060" s="1" t="s">
        <v>977</v>
      </c>
      <c r="R1060" s="1" t="s">
        <v>5549</v>
      </c>
      <c r="S1060" s="1" t="s">
        <v>541</v>
      </c>
      <c r="T1060" s="14">
        <v>50161</v>
      </c>
      <c r="U1060" s="1" t="s">
        <v>5550</v>
      </c>
      <c r="V1060" s="1" t="s">
        <v>36</v>
      </c>
      <c r="W1060" s="3" t="str">
        <f t="shared" si="16"/>
        <v>45 tahun</v>
      </c>
      <c r="X1060" s="1" t="s">
        <v>248</v>
      </c>
      <c r="Y1060" s="1" t="s">
        <v>38</v>
      </c>
      <c r="Z1060" s="2">
        <v>39814</v>
      </c>
      <c r="AA1060" s="2">
        <v>39934</v>
      </c>
      <c r="AB1060" s="2" t="s">
        <v>5551</v>
      </c>
    </row>
    <row r="1061" spans="1:28" x14ac:dyDescent="0.35">
      <c r="A1061" s="12">
        <v>5379</v>
      </c>
      <c r="B1061" s="12">
        <v>8610047</v>
      </c>
      <c r="C1061" s="12" t="s">
        <v>139</v>
      </c>
      <c r="D1061" s="12">
        <v>50071462</v>
      </c>
      <c r="E1061" s="16" t="s">
        <v>5552</v>
      </c>
      <c r="F1061" s="1" t="str">
        <f>VLOOKUP(A1061,[1]Sheet1!$A$2:$E$1141,5,0)</f>
        <v>Bus Dev Bus Process IC &amp; ICOFR Officer</v>
      </c>
      <c r="G1061" s="16" t="str">
        <f>VLOOKUP(A1061,[1]Sheet1!$A$2:$F$1141,6,0)</f>
        <v>Manager</v>
      </c>
      <c r="H1061" s="1" t="s">
        <v>536</v>
      </c>
      <c r="I1061" s="1" t="s">
        <v>537</v>
      </c>
      <c r="J1061" s="1" t="str">
        <f>VLOOKUP(A1061,[1]Sheet1!$A$2:$H$1141,8,0)</f>
        <v>Department of Human Capital &amp; GRC</v>
      </c>
      <c r="K1061" s="1" t="str">
        <f>VLOOKUP(A1061,[1]Sheet1!$A$2:$I$1141,9,0)</f>
        <v>Unit of Business &amp; System Development</v>
      </c>
      <c r="L1061" s="1" t="str">
        <f>VLOOKUP(A1061,[1]Sheet1!$A$2:$J$1141,10,0)</f>
        <v>Staff of Bus Dev Bus Process IC &amp; ICOFR</v>
      </c>
      <c r="M1061" s="2">
        <v>31694</v>
      </c>
      <c r="N1061" s="1" t="s">
        <v>59</v>
      </c>
      <c r="O1061" s="1" t="s">
        <v>30</v>
      </c>
      <c r="P1061" s="1" t="s">
        <v>5553</v>
      </c>
      <c r="Q1061" s="1" t="s">
        <v>5354</v>
      </c>
      <c r="R1061" s="1" t="s">
        <v>5554</v>
      </c>
      <c r="S1061" s="1" t="s">
        <v>541</v>
      </c>
      <c r="T1061" s="14">
        <v>52171</v>
      </c>
      <c r="U1061" s="1" t="s">
        <v>5555</v>
      </c>
      <c r="V1061" s="1" t="s">
        <v>186</v>
      </c>
      <c r="W1061" s="3" t="str">
        <f t="shared" si="16"/>
        <v>39 tahun</v>
      </c>
      <c r="X1061" s="1" t="s">
        <v>575</v>
      </c>
      <c r="Y1061" s="1" t="s">
        <v>68</v>
      </c>
      <c r="Z1061" s="2">
        <v>40544</v>
      </c>
      <c r="AA1061" s="2">
        <v>40664</v>
      </c>
      <c r="AB1061" s="2" t="s">
        <v>1060</v>
      </c>
    </row>
    <row r="1062" spans="1:28" x14ac:dyDescent="0.35">
      <c r="A1062" s="12">
        <v>5282</v>
      </c>
      <c r="B1062" s="12">
        <v>8310013</v>
      </c>
      <c r="C1062" s="12" t="s">
        <v>139</v>
      </c>
      <c r="D1062" s="12">
        <v>50071440</v>
      </c>
      <c r="E1062" s="16" t="s">
        <v>5556</v>
      </c>
      <c r="F1062" s="1" t="str">
        <f>VLOOKUP(A1062,[1]Sheet1!$A$2:$E$1141,5,0)</f>
        <v>C Bus Dev Bus Process IC &amp; ICOFR Officer</v>
      </c>
      <c r="G1062" s="16" t="str">
        <f>VLOOKUP(A1062,[1]Sheet1!$A$2:$F$1141,6,0)</f>
        <v>Manager</v>
      </c>
      <c r="H1062" s="1" t="s">
        <v>536</v>
      </c>
      <c r="I1062" s="1" t="s">
        <v>537</v>
      </c>
      <c r="J1062" s="1" t="str">
        <f>VLOOKUP(A1062,[1]Sheet1!$A$2:$H$1141,8,0)</f>
        <v>Department of Human Capital &amp; GRC</v>
      </c>
      <c r="K1062" s="1" t="str">
        <f>VLOOKUP(A1062,[1]Sheet1!$A$2:$I$1141,9,0)</f>
        <v>Unit of Business &amp; System Development</v>
      </c>
      <c r="L1062" s="1" t="str">
        <f>VLOOKUP(A1062,[1]Sheet1!$A$2:$J$1141,10,0)</f>
        <v>Staff of Bus Dev Bus Process IC &amp; ICOFR</v>
      </c>
      <c r="M1062" s="2">
        <v>30352</v>
      </c>
      <c r="N1062" s="1" t="s">
        <v>29</v>
      </c>
      <c r="O1062" s="1" t="s">
        <v>30</v>
      </c>
      <c r="P1062" s="1" t="s">
        <v>5557</v>
      </c>
      <c r="Q1062" s="1" t="s">
        <v>5558</v>
      </c>
      <c r="R1062" s="1" t="s">
        <v>5554</v>
      </c>
      <c r="S1062" s="1" t="s">
        <v>541</v>
      </c>
      <c r="T1062" s="14">
        <v>50830</v>
      </c>
      <c r="U1062" s="1" t="s">
        <v>5559</v>
      </c>
      <c r="V1062" s="1" t="s">
        <v>36</v>
      </c>
      <c r="W1062" s="3" t="str">
        <f t="shared" si="16"/>
        <v>43 tahun</v>
      </c>
      <c r="X1062" s="1" t="s">
        <v>37</v>
      </c>
      <c r="Y1062" s="1" t="s">
        <v>48</v>
      </c>
      <c r="Z1062" s="2">
        <v>40544</v>
      </c>
      <c r="AA1062" s="2">
        <v>40664</v>
      </c>
      <c r="AB1062" s="2" t="s">
        <v>5560</v>
      </c>
    </row>
    <row r="1063" spans="1:28" x14ac:dyDescent="0.35">
      <c r="A1063" s="12">
        <v>5204</v>
      </c>
      <c r="B1063" s="12">
        <v>7602280</v>
      </c>
      <c r="C1063" s="12" t="s">
        <v>164</v>
      </c>
      <c r="D1063" s="12">
        <v>50071445</v>
      </c>
      <c r="E1063" s="1" t="s">
        <v>5561</v>
      </c>
      <c r="F1063" s="1" t="str">
        <f>VLOOKUP(A1063,[1]Sheet1!$A$2:$E$1141,5,0)</f>
        <v>E Bus Dev Bus Process IC &amp; ICOFR Adm Off</v>
      </c>
      <c r="G1063" s="17" t="str">
        <f>VLOOKUP(A1063,[1]Sheet1!$A$2:$F$1141,6,0)</f>
        <v>Associate</v>
      </c>
      <c r="H1063" s="1" t="s">
        <v>536</v>
      </c>
      <c r="I1063" s="1" t="s">
        <v>537</v>
      </c>
      <c r="J1063" s="1" t="str">
        <f>VLOOKUP(A1063,[1]Sheet1!$A$2:$H$1141,8,0)</f>
        <v>Department of Human Capital &amp; GRC</v>
      </c>
      <c r="K1063" s="1" t="str">
        <f>VLOOKUP(A1063,[1]Sheet1!$A$2:$I$1141,9,0)</f>
        <v>Unit of Business &amp; System Development</v>
      </c>
      <c r="L1063" s="1" t="str">
        <f>VLOOKUP(A1063,[1]Sheet1!$A$2:$J$1141,10,0)</f>
        <v>Staff of Bus Dev Bus Process IC &amp; ICOFR</v>
      </c>
      <c r="M1063" s="2">
        <v>27947</v>
      </c>
      <c r="N1063" s="1" t="s">
        <v>29</v>
      </c>
      <c r="O1063" s="1" t="s">
        <v>30</v>
      </c>
      <c r="P1063" s="1" t="s">
        <v>5562</v>
      </c>
      <c r="Q1063" s="1" t="s">
        <v>5563</v>
      </c>
      <c r="R1063" s="1" t="s">
        <v>5554</v>
      </c>
      <c r="S1063" s="1" t="s">
        <v>541</v>
      </c>
      <c r="T1063" s="14">
        <v>48427</v>
      </c>
      <c r="U1063" s="1" t="s">
        <v>5564</v>
      </c>
      <c r="V1063" s="1" t="s">
        <v>36</v>
      </c>
      <c r="W1063" s="3" t="str">
        <f t="shared" si="16"/>
        <v>50 tahun</v>
      </c>
      <c r="X1063" s="1" t="s">
        <v>4170</v>
      </c>
      <c r="Y1063" s="1" t="s">
        <v>56</v>
      </c>
      <c r="Z1063" s="2">
        <v>37469</v>
      </c>
      <c r="AA1063" s="2">
        <v>38718</v>
      </c>
      <c r="AB1063" s="2" t="s">
        <v>5565</v>
      </c>
    </row>
    <row r="1064" spans="1:28" x14ac:dyDescent="0.35">
      <c r="A1064" s="12">
        <v>5196</v>
      </c>
      <c r="B1064" s="12">
        <v>7695301</v>
      </c>
      <c r="C1064" s="12" t="s">
        <v>50</v>
      </c>
      <c r="D1064" s="12">
        <v>50071466</v>
      </c>
      <c r="E1064" s="16" t="s">
        <v>5566</v>
      </c>
      <c r="F1064" s="1" t="str">
        <f>VLOOKUP(A1064,[1]Sheet1!$A$2:$E$1141,5,0)</f>
        <v>System Development Officer</v>
      </c>
      <c r="G1064" s="16" t="str">
        <f>VLOOKUP(A1064,[1]Sheet1!$A$2:$F$1141,6,0)</f>
        <v>Manager</v>
      </c>
      <c r="H1064" s="1" t="s">
        <v>536</v>
      </c>
      <c r="I1064" s="1" t="s">
        <v>537</v>
      </c>
      <c r="J1064" s="1" t="str">
        <f>VLOOKUP(A1064,[1]Sheet1!$A$2:$H$1141,8,0)</f>
        <v>Department of Human Capital &amp; GRC</v>
      </c>
      <c r="K1064" s="1" t="str">
        <f>VLOOKUP(A1064,[1]Sheet1!$A$2:$I$1141,9,0)</f>
        <v>Unit of Business &amp; System Development</v>
      </c>
      <c r="L1064" s="1" t="str">
        <f>VLOOKUP(A1064,[1]Sheet1!$A$2:$J$1141,10,0)</f>
        <v>Staff of System Development</v>
      </c>
      <c r="M1064" s="2">
        <v>27840</v>
      </c>
      <c r="N1064" s="1" t="s">
        <v>59</v>
      </c>
      <c r="O1064" s="1" t="s">
        <v>30</v>
      </c>
      <c r="P1064" s="1" t="s">
        <v>5567</v>
      </c>
      <c r="Q1064" s="1" t="s">
        <v>5463</v>
      </c>
      <c r="R1064" s="1" t="s">
        <v>5568</v>
      </c>
      <c r="S1064" s="1" t="s">
        <v>541</v>
      </c>
      <c r="T1064" s="14">
        <v>48305</v>
      </c>
      <c r="U1064" s="1" t="s">
        <v>5569</v>
      </c>
      <c r="V1064" s="1" t="s">
        <v>36</v>
      </c>
      <c r="W1064" s="3" t="str">
        <f t="shared" si="16"/>
        <v>50 tahun</v>
      </c>
      <c r="X1064" s="1" t="s">
        <v>91</v>
      </c>
      <c r="Y1064" s="1" t="s">
        <v>48</v>
      </c>
      <c r="Z1064" s="2">
        <v>35034</v>
      </c>
      <c r="AA1064" s="2">
        <v>35400</v>
      </c>
      <c r="AB1064" s="2" t="s">
        <v>5570</v>
      </c>
    </row>
    <row r="1065" spans="1:28" x14ac:dyDescent="0.35">
      <c r="A1065" s="12">
        <v>5192</v>
      </c>
      <c r="B1065" s="12">
        <v>7695136</v>
      </c>
      <c r="C1065" s="12" t="s">
        <v>50</v>
      </c>
      <c r="D1065" s="12">
        <v>50071467</v>
      </c>
      <c r="E1065" s="1" t="s">
        <v>5571</v>
      </c>
      <c r="F1065" s="1" t="str">
        <f>VLOOKUP(A1065,[1]Sheet1!$A$2:$E$1141,5,0)</f>
        <v>System Development Jr Officer</v>
      </c>
      <c r="G1065" s="17" t="str">
        <f>VLOOKUP(A1065,[1]Sheet1!$A$2:$F$1141,6,0)</f>
        <v>Supervisor</v>
      </c>
      <c r="H1065" s="1" t="s">
        <v>536</v>
      </c>
      <c r="I1065" s="1" t="s">
        <v>537</v>
      </c>
      <c r="J1065" s="1" t="str">
        <f>VLOOKUP(A1065,[1]Sheet1!$A$2:$H$1141,8,0)</f>
        <v>Department of Human Capital &amp; GRC</v>
      </c>
      <c r="K1065" s="1" t="str">
        <f>VLOOKUP(A1065,[1]Sheet1!$A$2:$I$1141,9,0)</f>
        <v>Unit of Business &amp; System Development</v>
      </c>
      <c r="L1065" s="1" t="str">
        <f>VLOOKUP(A1065,[1]Sheet1!$A$2:$J$1141,10,0)</f>
        <v>Staff of System Development</v>
      </c>
      <c r="M1065" s="2">
        <v>27826</v>
      </c>
      <c r="N1065" s="1" t="s">
        <v>29</v>
      </c>
      <c r="O1065" s="1" t="s">
        <v>30</v>
      </c>
      <c r="P1065" s="1" t="s">
        <v>5572</v>
      </c>
      <c r="Q1065" s="1" t="s">
        <v>787</v>
      </c>
      <c r="R1065" s="1" t="s">
        <v>5568</v>
      </c>
      <c r="S1065" s="1" t="s">
        <v>541</v>
      </c>
      <c r="T1065" s="14">
        <v>48305</v>
      </c>
      <c r="U1065" s="1" t="s">
        <v>5573</v>
      </c>
      <c r="V1065" s="1" t="s">
        <v>36</v>
      </c>
      <c r="W1065" s="3" t="str">
        <f t="shared" si="16"/>
        <v>50 tahun</v>
      </c>
      <c r="X1065" s="1" t="s">
        <v>3220</v>
      </c>
      <c r="Y1065" s="1" t="s">
        <v>56</v>
      </c>
      <c r="Z1065" s="2">
        <v>34932</v>
      </c>
      <c r="AA1065" s="2">
        <v>35309</v>
      </c>
      <c r="AB1065" s="2" t="s">
        <v>5574</v>
      </c>
    </row>
    <row r="1066" spans="1:28" x14ac:dyDescent="0.35">
      <c r="A1066" s="12">
        <v>5302</v>
      </c>
      <c r="B1066" s="12">
        <v>8410020</v>
      </c>
      <c r="C1066" s="12" t="s">
        <v>139</v>
      </c>
      <c r="D1066" s="12">
        <v>50071469</v>
      </c>
      <c r="E1066" s="16" t="s">
        <v>5575</v>
      </c>
      <c r="F1066" s="1" t="str">
        <f>VLOOKUP(A1066,[1]Sheet1!$A$2:$E$1141,5,0)</f>
        <v>Innovation Officer</v>
      </c>
      <c r="G1066" s="16" t="str">
        <f>VLOOKUP(A1066,[1]Sheet1!$A$2:$F$1141,6,0)</f>
        <v>Manager</v>
      </c>
      <c r="H1066" s="1" t="s">
        <v>536</v>
      </c>
      <c r="I1066" s="1" t="s">
        <v>537</v>
      </c>
      <c r="J1066" s="1" t="str">
        <f>VLOOKUP(A1066,[1]Sheet1!$A$2:$H$1141,8,0)</f>
        <v>Department of Human Capital &amp; GRC</v>
      </c>
      <c r="K1066" s="1" t="str">
        <f>VLOOKUP(A1066,[1]Sheet1!$A$2:$I$1141,9,0)</f>
        <v>Unit of Business &amp; System Development</v>
      </c>
      <c r="L1066" s="1" t="str">
        <f>VLOOKUP(A1066,[1]Sheet1!$A$2:$J$1141,10,0)</f>
        <v>Staff of Innovation</v>
      </c>
      <c r="M1066" s="2">
        <v>30724</v>
      </c>
      <c r="N1066" s="1" t="s">
        <v>29</v>
      </c>
      <c r="O1066" s="1" t="s">
        <v>30</v>
      </c>
      <c r="P1066" s="1" t="s">
        <v>5576</v>
      </c>
      <c r="Q1066" s="1" t="s">
        <v>5354</v>
      </c>
      <c r="R1066" s="1" t="s">
        <v>5577</v>
      </c>
      <c r="S1066" s="1" t="s">
        <v>541</v>
      </c>
      <c r="T1066" s="14">
        <v>51196</v>
      </c>
      <c r="U1066" s="1" t="s">
        <v>5578</v>
      </c>
      <c r="V1066" s="1" t="s">
        <v>36</v>
      </c>
      <c r="W1066" s="3" t="str">
        <f t="shared" si="16"/>
        <v>42 tahun</v>
      </c>
      <c r="X1066" s="1" t="s">
        <v>2475</v>
      </c>
      <c r="Y1066" s="1" t="s">
        <v>48</v>
      </c>
      <c r="Z1066" s="2">
        <v>40544</v>
      </c>
      <c r="AA1066" s="2">
        <v>40664</v>
      </c>
      <c r="AB1066" s="2" t="s">
        <v>5579</v>
      </c>
    </row>
    <row r="1067" spans="1:28" x14ac:dyDescent="0.35">
      <c r="A1067" s="12">
        <v>6158</v>
      </c>
      <c r="B1067" s="12">
        <v>9112325</v>
      </c>
      <c r="C1067" s="12" t="s">
        <v>103</v>
      </c>
      <c r="D1067" s="12">
        <v>50071470</v>
      </c>
      <c r="E1067" s="1" t="s">
        <v>5580</v>
      </c>
      <c r="F1067" s="1" t="str">
        <f>VLOOKUP(A1067,[1]Sheet1!$A$2:$E$1141,5,0)</f>
        <v>Innovation Jr Officer</v>
      </c>
      <c r="G1067" s="17" t="str">
        <f>VLOOKUP(A1067,[1]Sheet1!$A$2:$F$1141,6,0)</f>
        <v>Supervisor</v>
      </c>
      <c r="H1067" s="1" t="s">
        <v>536</v>
      </c>
      <c r="I1067" s="1" t="s">
        <v>537</v>
      </c>
      <c r="J1067" s="1" t="str">
        <f>VLOOKUP(A1067,[1]Sheet1!$A$2:$H$1141,8,0)</f>
        <v>Department of Human Capital &amp; GRC</v>
      </c>
      <c r="K1067" s="1" t="str">
        <f>VLOOKUP(A1067,[1]Sheet1!$A$2:$I$1141,9,0)</f>
        <v>Unit of Business &amp; System Development</v>
      </c>
      <c r="L1067" s="1" t="str">
        <f>VLOOKUP(A1067,[1]Sheet1!$A$2:$J$1141,10,0)</f>
        <v>Staff of Innovation</v>
      </c>
      <c r="M1067" s="2">
        <v>33282</v>
      </c>
      <c r="N1067" s="1" t="s">
        <v>29</v>
      </c>
      <c r="O1067" s="1" t="s">
        <v>30</v>
      </c>
      <c r="P1067" s="1" t="s">
        <v>5581</v>
      </c>
      <c r="Q1067" s="1" t="s">
        <v>5510</v>
      </c>
      <c r="R1067" s="1" t="s">
        <v>5577</v>
      </c>
      <c r="S1067" s="1" t="s">
        <v>541</v>
      </c>
      <c r="T1067" s="14">
        <v>53752</v>
      </c>
      <c r="U1067" s="1" t="s">
        <v>5582</v>
      </c>
      <c r="V1067" s="1" t="s">
        <v>36</v>
      </c>
      <c r="W1067" s="3" t="str">
        <f t="shared" si="16"/>
        <v>35 tahun</v>
      </c>
      <c r="X1067" s="1" t="s">
        <v>2690</v>
      </c>
      <c r="Y1067" s="1" t="s">
        <v>48</v>
      </c>
      <c r="Z1067" s="2">
        <v>41275</v>
      </c>
      <c r="AA1067" s="2">
        <v>41395</v>
      </c>
      <c r="AB1067" s="2" t="s">
        <v>5583</v>
      </c>
    </row>
    <row r="1068" spans="1:28" x14ac:dyDescent="0.35">
      <c r="A1068" s="21">
        <v>5290</v>
      </c>
      <c r="B1068" s="21">
        <v>8308036</v>
      </c>
      <c r="C1068" s="12" t="s">
        <v>25</v>
      </c>
      <c r="D1068" s="21">
        <v>50066616</v>
      </c>
      <c r="E1068" s="22" t="s">
        <v>5584</v>
      </c>
      <c r="F1068" s="1" t="str">
        <f>VLOOKUP(A1068,[1]Sheet1!$A$2:$E$1141,5,0)</f>
        <v>SM of GRC Management</v>
      </c>
      <c r="G1068" s="15" t="str">
        <f>VLOOKUP(A1068,[1]Sheet1!$A$2:$F$1141,6,0)</f>
        <v>Senior Manager</v>
      </c>
      <c r="H1068" s="23"/>
      <c r="I1068" s="23" t="s">
        <v>537</v>
      </c>
      <c r="J1068" s="1" t="str">
        <f>VLOOKUP(A1068,[1]Sheet1!$A$2:$H$1141,8,0)</f>
        <v>Department of Human Capital &amp; GRC</v>
      </c>
      <c r="K1068" s="1" t="str">
        <f>VLOOKUP(A1068,[1]Sheet1!$A$2:$I$1141,9,0)</f>
        <v>Unit of GRC Management</v>
      </c>
      <c r="L1068" s="1" t="e">
        <f>VLOOKUP(A1068,[1]Sheet1!$A$2:$J$1141,10,0)</f>
        <v>#REF!</v>
      </c>
      <c r="M1068" s="24">
        <v>30573</v>
      </c>
      <c r="N1068" s="23" t="s">
        <v>29</v>
      </c>
      <c r="O1068" s="23" t="s">
        <v>30</v>
      </c>
      <c r="P1068" s="23" t="s">
        <v>5445</v>
      </c>
      <c r="Q1068" s="23" t="s">
        <v>5446</v>
      </c>
      <c r="R1068" s="23" t="s">
        <v>5585</v>
      </c>
      <c r="S1068" s="23" t="s">
        <v>541</v>
      </c>
      <c r="T1068" s="25">
        <v>51044</v>
      </c>
      <c r="U1068" s="23" t="s">
        <v>5586</v>
      </c>
      <c r="V1068" s="1" t="s">
        <v>36</v>
      </c>
      <c r="W1068" s="3" t="str">
        <f t="shared" si="16"/>
        <v>42 tahun</v>
      </c>
      <c r="X1068" s="1" t="s">
        <v>5587</v>
      </c>
      <c r="Y1068" s="1" t="s">
        <v>48</v>
      </c>
      <c r="Z1068" s="2">
        <v>39814</v>
      </c>
      <c r="AA1068" s="2">
        <v>39934</v>
      </c>
      <c r="AB1068" s="2" t="s">
        <v>5588</v>
      </c>
    </row>
    <row r="1069" spans="1:28" x14ac:dyDescent="0.35">
      <c r="A1069" s="12">
        <v>5343</v>
      </c>
      <c r="B1069" s="12">
        <v>8510064</v>
      </c>
      <c r="C1069" s="12" t="s">
        <v>139</v>
      </c>
      <c r="D1069" s="12">
        <v>50071441</v>
      </c>
      <c r="E1069" s="16" t="s">
        <v>5589</v>
      </c>
      <c r="F1069" s="1" t="str">
        <f>VLOOKUP(A1069,[1]Sheet1!$A$2:$E$1141,5,0)</f>
        <v>Risk Management &amp; BCM Officer</v>
      </c>
      <c r="G1069" s="16" t="str">
        <f>VLOOKUP(A1069,[1]Sheet1!$A$2:$F$1141,6,0)</f>
        <v>Manager</v>
      </c>
      <c r="H1069" s="1" t="s">
        <v>536</v>
      </c>
      <c r="I1069" s="1" t="s">
        <v>537</v>
      </c>
      <c r="J1069" s="1" t="str">
        <f>VLOOKUP(A1069,[1]Sheet1!$A$2:$H$1141,8,0)</f>
        <v>Department of Human Capital &amp; GRC</v>
      </c>
      <c r="K1069" s="1" t="str">
        <f>VLOOKUP(A1069,[1]Sheet1!$A$2:$I$1141,9,0)</f>
        <v>Unit of GRC Management</v>
      </c>
      <c r="L1069" s="1" t="str">
        <f>VLOOKUP(A1069,[1]Sheet1!$A$2:$J$1141,10,0)</f>
        <v>Staff of Risk Management &amp; BCM</v>
      </c>
      <c r="M1069" s="2">
        <v>31210</v>
      </c>
      <c r="N1069" s="1" t="s">
        <v>29</v>
      </c>
      <c r="O1069" s="1" t="s">
        <v>30</v>
      </c>
      <c r="P1069" s="1" t="s">
        <v>5590</v>
      </c>
      <c r="Q1069" s="1" t="s">
        <v>5558</v>
      </c>
      <c r="R1069" s="1" t="s">
        <v>5591</v>
      </c>
      <c r="S1069" s="1" t="s">
        <v>541</v>
      </c>
      <c r="T1069" s="14">
        <v>51683</v>
      </c>
      <c r="U1069" s="1" t="s">
        <v>5592</v>
      </c>
      <c r="V1069" s="1" t="s">
        <v>36</v>
      </c>
      <c r="W1069" s="3" t="str">
        <f t="shared" si="16"/>
        <v>41 tahun</v>
      </c>
      <c r="X1069" s="1" t="s">
        <v>5182</v>
      </c>
      <c r="Y1069" s="1" t="s">
        <v>48</v>
      </c>
      <c r="Z1069" s="2">
        <v>40544</v>
      </c>
      <c r="AA1069" s="2">
        <v>40695</v>
      </c>
      <c r="AB1069" s="2" t="s">
        <v>5593</v>
      </c>
    </row>
    <row r="1070" spans="1:28" x14ac:dyDescent="0.35">
      <c r="A1070" s="12">
        <v>6154</v>
      </c>
      <c r="B1070" s="12">
        <v>9112322</v>
      </c>
      <c r="C1070" s="12" t="s">
        <v>103</v>
      </c>
      <c r="D1070" s="12">
        <v>50066618</v>
      </c>
      <c r="E1070" s="16" t="s">
        <v>5594</v>
      </c>
      <c r="F1070" s="1" t="str">
        <f>VLOOKUP(A1070,[1]Sheet1!$A$2:$E$1141,5,0)</f>
        <v>Risk Management &amp; BCM Officer</v>
      </c>
      <c r="G1070" s="16" t="str">
        <f>VLOOKUP(A1070,[1]Sheet1!$A$2:$F$1141,6,0)</f>
        <v>Manager</v>
      </c>
      <c r="H1070" s="1" t="s">
        <v>536</v>
      </c>
      <c r="I1070" s="1" t="s">
        <v>537</v>
      </c>
      <c r="J1070" s="1" t="str">
        <f>VLOOKUP(A1070,[1]Sheet1!$A$2:$H$1141,8,0)</f>
        <v>Department of Human Capital &amp; GRC</v>
      </c>
      <c r="K1070" s="1" t="str">
        <f>VLOOKUP(A1070,[1]Sheet1!$A$2:$I$1141,9,0)</f>
        <v>Unit of GRC Management</v>
      </c>
      <c r="L1070" s="1" t="str">
        <f>VLOOKUP(A1070,[1]Sheet1!$A$2:$J$1141,10,0)</f>
        <v>Staff of Risk Management &amp; BCM</v>
      </c>
      <c r="M1070" s="2">
        <v>33262</v>
      </c>
      <c r="N1070" s="1" t="s">
        <v>59</v>
      </c>
      <c r="O1070" s="1" t="s">
        <v>30</v>
      </c>
      <c r="P1070" s="1" t="s">
        <v>5595</v>
      </c>
      <c r="Q1070" s="1" t="s">
        <v>5596</v>
      </c>
      <c r="R1070" s="1" t="s">
        <v>5591</v>
      </c>
      <c r="S1070" s="1" t="s">
        <v>541</v>
      </c>
      <c r="T1070" s="14">
        <v>53724</v>
      </c>
      <c r="U1070" s="1" t="s">
        <v>5597</v>
      </c>
      <c r="V1070" s="1" t="s">
        <v>36</v>
      </c>
      <c r="W1070" s="3" t="str">
        <f t="shared" si="16"/>
        <v>35 tahun</v>
      </c>
      <c r="X1070" s="1" t="s">
        <v>204</v>
      </c>
      <c r="Y1070" s="1" t="s">
        <v>48</v>
      </c>
      <c r="Z1070" s="2">
        <v>41275</v>
      </c>
      <c r="AA1070" s="2">
        <v>41395</v>
      </c>
      <c r="AB1070" s="2" t="s">
        <v>5598</v>
      </c>
    </row>
    <row r="1071" spans="1:28" x14ac:dyDescent="0.35">
      <c r="A1071" s="12">
        <v>5079</v>
      </c>
      <c r="B1071" s="12">
        <v>7495229</v>
      </c>
      <c r="C1071" s="12" t="s">
        <v>50</v>
      </c>
      <c r="D1071" s="12">
        <v>50071442</v>
      </c>
      <c r="E1071" s="16" t="s">
        <v>5599</v>
      </c>
      <c r="F1071" s="1" t="str">
        <f>VLOOKUP(A1071,[1]Sheet1!$A$2:$E$1141,5,0)</f>
        <v>C Risk Management &amp; BCM Officer</v>
      </c>
      <c r="G1071" s="16" t="str">
        <f>VLOOKUP(A1071,[1]Sheet1!$A$2:$F$1141,6,0)</f>
        <v>Manager</v>
      </c>
      <c r="H1071" s="1" t="s">
        <v>536</v>
      </c>
      <c r="I1071" s="1" t="s">
        <v>537</v>
      </c>
      <c r="J1071" s="1" t="str">
        <f>VLOOKUP(A1071,[1]Sheet1!$A$2:$H$1141,8,0)</f>
        <v>Department of Human Capital &amp; GRC</v>
      </c>
      <c r="K1071" s="1" t="str">
        <f>VLOOKUP(A1071,[1]Sheet1!$A$2:$I$1141,9,0)</f>
        <v>Unit of GRC Management</v>
      </c>
      <c r="L1071" s="1" t="str">
        <f>VLOOKUP(A1071,[1]Sheet1!$A$2:$J$1141,10,0)</f>
        <v>Staff of Risk Management &amp; BCM</v>
      </c>
      <c r="M1071" s="2">
        <v>27290</v>
      </c>
      <c r="N1071" s="1" t="s">
        <v>29</v>
      </c>
      <c r="O1071" s="1" t="s">
        <v>30</v>
      </c>
      <c r="P1071" s="1" t="s">
        <v>5600</v>
      </c>
      <c r="Q1071" s="1" t="s">
        <v>5225</v>
      </c>
      <c r="R1071" s="1" t="s">
        <v>5591</v>
      </c>
      <c r="S1071" s="1" t="s">
        <v>541</v>
      </c>
      <c r="T1071" s="14">
        <v>47757</v>
      </c>
      <c r="U1071" s="1" t="s">
        <v>5601</v>
      </c>
      <c r="V1071" s="1" t="s">
        <v>36</v>
      </c>
      <c r="W1071" s="3" t="str">
        <f t="shared" si="16"/>
        <v>51 tahun</v>
      </c>
      <c r="X1071" s="1" t="s">
        <v>37</v>
      </c>
      <c r="Y1071" s="1" t="s">
        <v>38</v>
      </c>
      <c r="Z1071" s="2">
        <v>35002</v>
      </c>
      <c r="AA1071" s="2">
        <v>35370</v>
      </c>
      <c r="AB1071" s="2" t="s">
        <v>5602</v>
      </c>
    </row>
    <row r="1072" spans="1:28" x14ac:dyDescent="0.35">
      <c r="A1072" s="12">
        <v>6089</v>
      </c>
      <c r="B1072" s="12">
        <v>9012257</v>
      </c>
      <c r="C1072" s="12" t="s">
        <v>103</v>
      </c>
      <c r="D1072" s="12">
        <v>50071449</v>
      </c>
      <c r="E1072" s="1" t="s">
        <v>5603</v>
      </c>
      <c r="F1072" s="1" t="str">
        <f>VLOOKUP(A1072,[1]Sheet1!$A$2:$E$1141,5,0)</f>
        <v>D Risk Management &amp; BCM Jr Officer</v>
      </c>
      <c r="G1072" s="17" t="str">
        <f>VLOOKUP(A1072,[1]Sheet1!$A$2:$F$1141,6,0)</f>
        <v>Supervisor</v>
      </c>
      <c r="H1072" s="1" t="s">
        <v>536</v>
      </c>
      <c r="I1072" s="1" t="s">
        <v>537</v>
      </c>
      <c r="J1072" s="1" t="str">
        <f>VLOOKUP(A1072,[1]Sheet1!$A$2:$H$1141,8,0)</f>
        <v>Department of Human Capital &amp; GRC</v>
      </c>
      <c r="K1072" s="1" t="str">
        <f>VLOOKUP(A1072,[1]Sheet1!$A$2:$I$1141,9,0)</f>
        <v>Unit of GRC Management</v>
      </c>
      <c r="L1072" s="1" t="str">
        <f>VLOOKUP(A1072,[1]Sheet1!$A$2:$J$1141,10,0)</f>
        <v>Staff of Risk Management &amp; BCM</v>
      </c>
      <c r="M1072" s="2">
        <v>32990</v>
      </c>
      <c r="N1072" s="1" t="s">
        <v>59</v>
      </c>
      <c r="O1072" s="1" t="s">
        <v>30</v>
      </c>
      <c r="P1072" s="1" t="s">
        <v>5604</v>
      </c>
      <c r="Q1072" s="1" t="s">
        <v>5558</v>
      </c>
      <c r="R1072" s="1" t="s">
        <v>5591</v>
      </c>
      <c r="S1072" s="1" t="s">
        <v>541</v>
      </c>
      <c r="T1072" s="14">
        <v>53448</v>
      </c>
      <c r="U1072" s="1" t="s">
        <v>5605</v>
      </c>
      <c r="V1072" s="1" t="s">
        <v>36</v>
      </c>
      <c r="W1072" s="3" t="str">
        <f t="shared" si="16"/>
        <v>36 tahun</v>
      </c>
      <c r="X1072" s="1" t="s">
        <v>807</v>
      </c>
      <c r="Y1072" s="1" t="s">
        <v>48</v>
      </c>
      <c r="Z1072" s="2">
        <v>41275</v>
      </c>
      <c r="AA1072" s="2">
        <v>41365</v>
      </c>
      <c r="AB1072" s="2" t="s">
        <v>5606</v>
      </c>
    </row>
    <row r="1073" spans="1:28" x14ac:dyDescent="0.35">
      <c r="A1073" s="12">
        <v>5019</v>
      </c>
      <c r="B1073" s="12">
        <v>7495027</v>
      </c>
      <c r="C1073" s="12" t="s">
        <v>50</v>
      </c>
      <c r="D1073" s="12">
        <v>50066675</v>
      </c>
      <c r="E1073" s="16" t="s">
        <v>5607</v>
      </c>
      <c r="F1073" s="1" t="str">
        <f>VLOOKUP(A1073,[1]Sheet1!$A$2:$E$1141,5,0)</f>
        <v>Governance Compliance &amp; ESG Officer</v>
      </c>
      <c r="G1073" s="16" t="str">
        <f>VLOOKUP(A1073,[1]Sheet1!$A$2:$F$1141,6,0)</f>
        <v>Manager</v>
      </c>
      <c r="H1073" s="1" t="s">
        <v>536</v>
      </c>
      <c r="I1073" s="1" t="s">
        <v>537</v>
      </c>
      <c r="J1073" s="1" t="str">
        <f>VLOOKUP(A1073,[1]Sheet1!$A$2:$H$1141,8,0)</f>
        <v>Department of Human Capital &amp; GRC</v>
      </c>
      <c r="K1073" s="1" t="str">
        <f>VLOOKUP(A1073,[1]Sheet1!$A$2:$I$1141,9,0)</f>
        <v>Unit of GRC Management</v>
      </c>
      <c r="L1073" s="1" t="str">
        <f>VLOOKUP(A1073,[1]Sheet1!$A$2:$J$1141,10,0)</f>
        <v>Staff of Governance Compliance &amp; ESG</v>
      </c>
      <c r="M1073" s="2">
        <v>27105</v>
      </c>
      <c r="N1073" s="1" t="s">
        <v>29</v>
      </c>
      <c r="O1073" s="1" t="s">
        <v>30</v>
      </c>
      <c r="P1073" s="1" t="s">
        <v>5608</v>
      </c>
      <c r="Q1073" s="1" t="s">
        <v>5563</v>
      </c>
      <c r="R1073" s="1" t="s">
        <v>5609</v>
      </c>
      <c r="S1073" s="1" t="s">
        <v>541</v>
      </c>
      <c r="T1073" s="14">
        <v>47574</v>
      </c>
      <c r="U1073" s="1" t="s">
        <v>5610</v>
      </c>
      <c r="V1073" s="1" t="s">
        <v>410</v>
      </c>
      <c r="W1073" s="3" t="str">
        <f t="shared" si="16"/>
        <v>52 tahun</v>
      </c>
      <c r="X1073" s="1" t="s">
        <v>55</v>
      </c>
      <c r="Y1073" s="1" t="s">
        <v>48</v>
      </c>
      <c r="Z1073" s="2">
        <v>34897</v>
      </c>
      <c r="AA1073" s="2">
        <v>35278</v>
      </c>
      <c r="AB1073" s="2" t="s">
        <v>5611</v>
      </c>
    </row>
    <row r="1074" spans="1:28" x14ac:dyDescent="0.35">
      <c r="A1074" s="12">
        <v>5238</v>
      </c>
      <c r="B1074" s="12">
        <v>7903003</v>
      </c>
      <c r="C1074" s="12" t="s">
        <v>5397</v>
      </c>
      <c r="D1074" s="12">
        <v>50071443</v>
      </c>
      <c r="E1074" s="16" t="s">
        <v>5612</v>
      </c>
      <c r="F1074" s="1" t="str">
        <f>VLOOKUP(A1074,[1]Sheet1!$A$2:$E$1141,5,0)</f>
        <v>Governance Compliance &amp; ESG Officer</v>
      </c>
      <c r="G1074" s="16" t="str">
        <f>VLOOKUP(A1074,[1]Sheet1!$A$2:$F$1141,6,0)</f>
        <v>Manager</v>
      </c>
      <c r="H1074" s="1" t="s">
        <v>536</v>
      </c>
      <c r="I1074" s="1" t="s">
        <v>537</v>
      </c>
      <c r="J1074" s="1" t="str">
        <f>VLOOKUP(A1074,[1]Sheet1!$A$2:$H$1141,8,0)</f>
        <v>Department of Human Capital &amp; GRC</v>
      </c>
      <c r="K1074" s="1" t="str">
        <f>VLOOKUP(A1074,[1]Sheet1!$A$2:$I$1141,9,0)</f>
        <v>Unit of GRC Management</v>
      </c>
      <c r="L1074" s="1" t="str">
        <f>VLOOKUP(A1074,[1]Sheet1!$A$2:$J$1141,10,0)</f>
        <v>Staff of Governance Compliance &amp; ESG</v>
      </c>
      <c r="M1074" s="2">
        <v>28971</v>
      </c>
      <c r="N1074" s="1" t="s">
        <v>59</v>
      </c>
      <c r="O1074" s="1" t="s">
        <v>30</v>
      </c>
      <c r="P1074" s="1" t="s">
        <v>5613</v>
      </c>
      <c r="Q1074" s="1" t="s">
        <v>5614</v>
      </c>
      <c r="R1074" s="1" t="s">
        <v>5609</v>
      </c>
      <c r="S1074" s="1" t="s">
        <v>541</v>
      </c>
      <c r="T1074" s="14">
        <v>49430</v>
      </c>
      <c r="U1074" s="1" t="s">
        <v>5615</v>
      </c>
      <c r="V1074" s="1" t="s">
        <v>36</v>
      </c>
      <c r="W1074" s="3" t="str">
        <f t="shared" si="16"/>
        <v>47 tahun</v>
      </c>
      <c r="X1074" s="1" t="s">
        <v>3220</v>
      </c>
      <c r="Y1074" s="1" t="s">
        <v>68</v>
      </c>
      <c r="Z1074" s="2">
        <v>37817</v>
      </c>
      <c r="AA1074" s="2">
        <v>38718</v>
      </c>
      <c r="AB1074" s="2" t="s">
        <v>5616</v>
      </c>
    </row>
  </sheetData>
  <conditionalFormatting sqref="A2">
    <cfRule type="duplicateValues" dxfId="2" priority="2"/>
  </conditionalFormatting>
  <conditionalFormatting sqref="A131:A138 A140:A156 A158:A1074 A3:A128">
    <cfRule type="duplicateValues" dxfId="1" priority="3"/>
  </conditionalFormatting>
  <conditionalFormatting sqref="A157 A129:A130 A139">
    <cfRule type="duplicateValues" dxfId="0" priority="1"/>
  </conditionalFormatting>
  <hyperlinks>
    <hyperlink ref="U970" r:id="rId1" xr:uid="{C2AED7F5-5DAE-48D6-B356-05390453DA72}"/>
    <hyperlink ref="U798" r:id="rId2" xr:uid="{0B6BC780-0C17-4447-BB29-BF84A5EB1608}"/>
    <hyperlink ref="R85" r:id="rId3" display="ILYAS.5944@SIG.ID" xr:uid="{86473EAC-2EE6-4C15-9736-5B1ED0946CDB}"/>
    <hyperlink ref="U85" r:id="rId4" xr:uid="{E9F63E3C-A154-47C9-B263-40FBCE6E666B}"/>
    <hyperlink ref="U664" r:id="rId5" xr:uid="{0420A991-593B-4F74-93A1-62BC2293F0B7}"/>
    <hyperlink ref="U49" r:id="rId6" xr:uid="{508FCFE2-CB45-4DCD-993B-B5BDB23D5903}"/>
    <hyperlink ref="U908" r:id="rId7" xr:uid="{49C867D5-5233-4198-A600-F3852DFE9BB4}"/>
    <hyperlink ref="U591" r:id="rId8" xr:uid="{25A615EF-AFCC-4C69-A1A3-8B4CD09B3332}"/>
    <hyperlink ref="U556" r:id="rId9" xr:uid="{1FD22A51-42B6-44CC-916D-A96FE5B7E696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 Slim 3</dc:creator>
  <cp:lastModifiedBy>Lenovo Ideapad Slim 3</cp:lastModifiedBy>
  <dcterms:created xsi:type="dcterms:W3CDTF">2026-09-29T01:48:52Z</dcterms:created>
  <dcterms:modified xsi:type="dcterms:W3CDTF">2026-09-30T03:23:57Z</dcterms:modified>
</cp:coreProperties>
</file>