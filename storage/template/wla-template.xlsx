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SUS\OneDrive\Documents\HC OD &amp; TALENT MANAGEMENT\WLA\"/>
    </mc:Choice>
  </mc:AlternateContent>
  <xr:revisionPtr revIDLastSave="0" documentId="13_ncr:1_{038A09EF-3D79-43F2-B24C-B379C327D344}" xr6:coauthVersionLast="47" xr6:coauthVersionMax="47" xr10:uidLastSave="{00000000-0000-0000-0000-000000000000}"/>
  <bookViews>
    <workbookView xWindow="-110" yWindow="-110" windowWidth="19420" windowHeight="10300" xr2:uid="{00000000-000D-0000-FFFF-FFFF00000000}"/>
  </bookViews>
  <sheets>
    <sheet name="A. Form WLA" sheetId="7" r:id="rId1"/>
    <sheet name="Tabel Posisi" sheetId="8" r:id="rId2"/>
  </sheets>
  <definedNames>
    <definedName name="_xlnm.Print_Area" localSheetId="0">'A. Form WLA'!$A$12:$N$69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7" i="7" l="1"/>
  <c r="C26" i="7"/>
  <c r="H14" i="7"/>
  <c r="C24" i="7"/>
  <c r="C28" i="7" l="1"/>
  <c r="C29" i="7" s="1"/>
  <c r="C31" i="7" s="1"/>
  <c r="B36" i="7"/>
  <c r="G24" i="7"/>
  <c r="H25" i="7" s="1"/>
  <c r="G19" i="7"/>
  <c r="H19" i="7" l="1"/>
  <c r="C20" i="7" a="1"/>
  <c r="C20" i="7" s="1"/>
  <c r="C34" i="7"/>
  <c r="C33" i="7"/>
  <c r="H20" i="7"/>
  <c r="H24" i="7"/>
  <c r="C3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J61" authorId="0" shapeId="0" xr:uid="{5C9C7635-6B9E-FD48-9EE2-9D21A34D9534}">
      <text>
        <r>
          <rPr>
            <b/>
            <sz val="11"/>
            <color rgb="FF000000"/>
            <rFont val="Tahoma"/>
            <family val="2"/>
          </rPr>
          <t xml:space="preserve">Ini dikalikan 12 agar satuannya menjadi setahun. Begitu juga dengan yang periodik tapi belum satuan tahun. Setelah semua satuan menjadi sama, silahkan dibandingkan dengan jam kerja efektif / tahun
</t>
        </r>
        <r>
          <rPr>
            <b/>
            <sz val="11"/>
            <color rgb="FF000000"/>
            <rFont val="Tahoma"/>
            <family val="2"/>
          </rPr>
          <t xml:space="preserve">
</t>
        </r>
        <r>
          <rPr>
            <b/>
            <sz val="11"/>
            <color rgb="FF000000"/>
            <rFont val="Tahoma"/>
            <family val="2"/>
          </rPr>
          <t xml:space="preserve">Catatan :
</t>
        </r>
        <r>
          <rPr>
            <b/>
            <sz val="11"/>
            <color rgb="FF000000"/>
            <rFont val="Tahoma"/>
            <family val="2"/>
          </rPr>
          <t xml:space="preserve">Agar diverifikasi terlebih dulu apakah waktu yang ditulis adalah waktu yang sudah optimal
</t>
        </r>
        <r>
          <rPr>
            <b/>
            <sz val="11"/>
            <color rgb="FF000000"/>
            <rFont val="Tahoma"/>
            <family val="2"/>
          </rPr>
          <t>Mungkin bisa dilakukan klarifikasi dengan rekan sejawat atau pejabat yang pernah menjalankan fungsi itu</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<sst xmlns="http://schemas.openxmlformats.org/spreadsheetml/2006/main" count="874" uniqueCount="363">
  <si>
    <t>Petunjuk Pengisian :</t>
  </si>
  <si>
    <t>1. Anda diminta untuk mengisi Kolom yang berwarna merah muda saja.</t>
  </si>
  <si>
    <t>2. 1 Sheet untuk 1 posisi, sehingga apabila ada 10 posisi level pelaksana pada Unit Kerja Anda, maka silahkan copy Form WLA sejumlah posisi yang ada di Unit Kerja Anda.</t>
  </si>
  <si>
    <t>3. Nama posisi dapat dicek pada tabel posisi, apabila ada posisi yang belum ada pada tabel posisi, silahkan ditambahkan.</t>
  </si>
  <si>
    <r>
      <t xml:space="preserve">4. Untuk </t>
    </r>
    <r>
      <rPr>
        <b/>
        <sz val="14"/>
        <color theme="4"/>
        <rFont val="Verdana"/>
        <family val="2"/>
      </rPr>
      <t>Working Hours in 1 day</t>
    </r>
    <r>
      <rPr>
        <sz val="14"/>
        <color theme="1"/>
        <rFont val="Verdana"/>
        <family val="2"/>
      </rPr>
      <t xml:space="preserve"> silahkan diisi sbb :
</t>
    </r>
    <r>
      <rPr>
        <sz val="14"/>
        <color theme="4"/>
        <rFont val="Verdana"/>
        <family val="2"/>
      </rPr>
      <t xml:space="preserve">   </t>
    </r>
    <r>
      <rPr>
        <sz val="14"/>
        <color theme="1"/>
        <rFont val="Verdana"/>
        <family val="2"/>
      </rPr>
      <t xml:space="preserve"> a. Dayshift : </t>
    </r>
    <r>
      <rPr>
        <b/>
        <sz val="14"/>
        <color theme="4"/>
        <rFont val="Verdana"/>
        <family val="2"/>
      </rPr>
      <t>7</t>
    </r>
    <r>
      <rPr>
        <sz val="14"/>
        <color theme="1"/>
        <rFont val="Verdana"/>
        <family val="2"/>
      </rPr>
      <t xml:space="preserve">
    b. Shift 1/2/3 : </t>
    </r>
    <r>
      <rPr>
        <b/>
        <sz val="14"/>
        <color theme="4"/>
        <rFont val="Verdana"/>
        <family val="2"/>
      </rPr>
      <t>7,5</t>
    </r>
    <r>
      <rPr>
        <sz val="14"/>
        <color theme="1"/>
        <rFont val="Verdana"/>
        <family val="2"/>
      </rPr>
      <t xml:space="preserve">
    c. Shift 7/7 : </t>
    </r>
    <r>
      <rPr>
        <b/>
        <sz val="14"/>
        <color theme="4"/>
        <rFont val="Verdana"/>
        <family val="2"/>
      </rPr>
      <t>10</t>
    </r>
  </si>
  <si>
    <r>
      <t xml:space="preserve">5. Untuk </t>
    </r>
    <r>
      <rPr>
        <b/>
        <sz val="14"/>
        <color theme="4"/>
        <rFont val="Verdana"/>
        <family val="2"/>
      </rPr>
      <t>Average Efficiency Factor</t>
    </r>
    <r>
      <rPr>
        <sz val="14"/>
        <color theme="1"/>
        <rFont val="Verdana"/>
        <family val="2"/>
      </rPr>
      <t xml:space="preserve"> disesuaikan dengan Faktor Efisiensi terpasang alat, jika tidak ada bisa diisikan 90% (standar baku)</t>
    </r>
  </si>
  <si>
    <r>
      <t xml:space="preserve">6. Semua </t>
    </r>
    <r>
      <rPr>
        <b/>
        <sz val="14"/>
        <color theme="4"/>
        <rFont val="Verdana"/>
        <family val="2"/>
      </rPr>
      <t>aktivitas</t>
    </r>
    <r>
      <rPr>
        <sz val="14"/>
        <color theme="1"/>
        <rFont val="Verdana"/>
        <family val="2"/>
      </rPr>
      <t xml:space="preserve"> yang dikerjakan diinputkan dalam tabel baik itu tertulis dalam jobdesc ataupun tidak.</t>
    </r>
  </si>
  <si>
    <r>
      <t xml:space="preserve">7. </t>
    </r>
    <r>
      <rPr>
        <b/>
        <sz val="14"/>
        <color theme="4"/>
        <rFont val="Verdana"/>
        <family val="2"/>
      </rPr>
      <t>Frequency</t>
    </r>
    <r>
      <rPr>
        <sz val="14"/>
        <color theme="1"/>
        <rFont val="Verdana"/>
        <family val="2"/>
      </rPr>
      <t xml:space="preserve"> pekerjaan diisi sesuai frekuensi pekerjaan yang dilakukan. Untuk jumlah alat atau jumlah laporan atau rata-rata jumlah pekerjaan insidental bisa dikalikan dengan frekuensi.</t>
    </r>
  </si>
  <si>
    <r>
      <t xml:space="preserve">8. </t>
    </r>
    <r>
      <rPr>
        <b/>
        <sz val="14"/>
        <color theme="4"/>
        <rFont val="Verdana"/>
        <family val="2"/>
      </rPr>
      <t>Volume</t>
    </r>
    <r>
      <rPr>
        <sz val="14"/>
        <color theme="1"/>
        <rFont val="Verdana"/>
        <family val="2"/>
      </rPr>
      <t xml:space="preserve"> diisi sesuai kategori pekerjaan yang dilakukan per </t>
    </r>
    <r>
      <rPr>
        <b/>
        <sz val="14"/>
        <color theme="4"/>
        <rFont val="Verdana"/>
        <family val="2"/>
      </rPr>
      <t>Day/ Week/Month/ Year.</t>
    </r>
    <r>
      <rPr>
        <sz val="14"/>
        <color theme="1"/>
        <rFont val="Verdana"/>
        <family val="2"/>
      </rPr>
      <t xml:space="preserve"> Untuk pekerjaan yang sifatnya insidental pilih kategori year.</t>
    </r>
  </si>
  <si>
    <r>
      <t xml:space="preserve">9. </t>
    </r>
    <r>
      <rPr>
        <b/>
        <sz val="14"/>
        <color theme="4"/>
        <rFont val="Verdana"/>
        <family val="2"/>
      </rPr>
      <t>Time Allocated</t>
    </r>
    <r>
      <rPr>
        <sz val="14"/>
        <color theme="1"/>
        <rFont val="Verdana"/>
        <family val="2"/>
      </rPr>
      <t xml:space="preserve"> diisi per 1 kali aktivitas dilakukan dalam format </t>
    </r>
    <r>
      <rPr>
        <b/>
        <sz val="14"/>
        <color theme="4"/>
        <rFont val="Verdana"/>
        <family val="2"/>
      </rPr>
      <t>hour/jam.</t>
    </r>
  </si>
  <si>
    <t>Work Load Analysis - FTE (Full Time Equivalent)</t>
  </si>
  <si>
    <t>Dayshift</t>
  </si>
  <si>
    <t>Working Hours</t>
  </si>
  <si>
    <t>Nama Posisi :</t>
  </si>
  <si>
    <t>Department :</t>
  </si>
  <si>
    <t>hari kerja</t>
  </si>
  <si>
    <t>Unit :</t>
  </si>
  <si>
    <t>Shift 1/2/3</t>
  </si>
  <si>
    <t>Section :</t>
  </si>
  <si>
    <t>Shift 1</t>
  </si>
  <si>
    <t>Shift 2</t>
  </si>
  <si>
    <t>No</t>
  </si>
  <si>
    <t>Item</t>
  </si>
  <si>
    <t>Value</t>
  </si>
  <si>
    <t>Unit</t>
  </si>
  <si>
    <t>Shift 3</t>
  </si>
  <si>
    <t>Working hours in 1 day</t>
  </si>
  <si>
    <t>Hour per day</t>
  </si>
  <si>
    <t>Average Working hours in 1 day</t>
  </si>
  <si>
    <t>Working hours in 1 week</t>
  </si>
  <si>
    <t>Hour per week</t>
  </si>
  <si>
    <t>Total days in 1 year</t>
  </si>
  <si>
    <t>Day</t>
  </si>
  <si>
    <t>Shift 7/7</t>
  </si>
  <si>
    <t>Total weeks in 1 year</t>
  </si>
  <si>
    <t>Week</t>
  </si>
  <si>
    <t>Shift 7/19</t>
  </si>
  <si>
    <t>Annual leave</t>
  </si>
  <si>
    <t>Shift 19/7</t>
  </si>
  <si>
    <r>
      <t>National holiday (Monday - Friday)</t>
    </r>
    <r>
      <rPr>
        <b/>
        <sz val="12"/>
        <rFont val="Verdana"/>
        <family val="2"/>
      </rPr>
      <t>-</t>
    </r>
    <r>
      <rPr>
        <b/>
        <sz val="12"/>
        <color rgb="FFFF0000"/>
        <rFont val="Verdana"/>
        <family val="2"/>
      </rPr>
      <t>(DayShift Only - 17 hari)</t>
    </r>
  </si>
  <si>
    <r>
      <t xml:space="preserve">Common Leave </t>
    </r>
    <r>
      <rPr>
        <b/>
        <sz val="12"/>
        <color rgb="FFFF0000"/>
        <rFont val="Verdana"/>
        <family val="2"/>
      </rPr>
      <t>(sakit dan ijin lainnya diluar cuti tahunan)</t>
    </r>
  </si>
  <si>
    <r>
      <t xml:space="preserve">Total days of Sunday </t>
    </r>
    <r>
      <rPr>
        <b/>
        <sz val="12"/>
        <color rgb="FFFF0000"/>
        <rFont val="Verdana"/>
        <family val="2"/>
      </rPr>
      <t>(DayShift Only-52 hari)</t>
    </r>
  </si>
  <si>
    <r>
      <t xml:space="preserve">Total days of Saturday </t>
    </r>
    <r>
      <rPr>
        <b/>
        <sz val="12"/>
        <color rgb="FFFF0000"/>
        <rFont val="Verdana"/>
        <family val="2"/>
      </rPr>
      <t>(DayShift Only-52 hari)</t>
    </r>
  </si>
  <si>
    <t>Hour per year</t>
  </si>
  <si>
    <t>Average Efficiency Factor</t>
  </si>
  <si>
    <t>%</t>
  </si>
  <si>
    <t>Month</t>
  </si>
  <si>
    <t>Total effective working hour</t>
  </si>
  <si>
    <t>Hour/Year</t>
  </si>
  <si>
    <t>Year</t>
  </si>
  <si>
    <t>Hour/Month</t>
  </si>
  <si>
    <t>Hour/Week</t>
  </si>
  <si>
    <t>Hour/Day</t>
  </si>
  <si>
    <t>Job Title :</t>
  </si>
  <si>
    <t>Activities</t>
  </si>
  <si>
    <t>Frequency</t>
  </si>
  <si>
    <t>Volume</t>
  </si>
  <si>
    <t>Time Allocated</t>
  </si>
  <si>
    <t>(Hour)</t>
  </si>
  <si>
    <t>Contoh :</t>
  </si>
  <si>
    <t>Melaksanakan pemakaian alat produksi dan operasi Finish mill sesuai target RKAP yang telah ditetapkan dan / atau sesuai kebutuhan produksi.</t>
  </si>
  <si>
    <t>Department</t>
  </si>
  <si>
    <t>Nama Posisi</t>
  </si>
  <si>
    <t>Department of Communication &amp; Legal</t>
  </si>
  <si>
    <t>Unit of PR &amp; Secretariate</t>
  </si>
  <si>
    <t xml:space="preserve">Staff of Secretariate &amp; Protocol </t>
  </si>
  <si>
    <t>Staff of Secretariate &amp; Protocoler (Jkt)</t>
  </si>
  <si>
    <t>Department of Finance</t>
  </si>
  <si>
    <t>Unit of Finance</t>
  </si>
  <si>
    <t>Staff of AR Management</t>
  </si>
  <si>
    <t>Unit of Accounting</t>
  </si>
  <si>
    <t>Staff of Verification</t>
  </si>
  <si>
    <t>Department of Human Capital &amp; General</t>
  </si>
  <si>
    <t>Unit of CLD &amp; Innovation</t>
  </si>
  <si>
    <t>Staff of Learning Dev. &amp; KM Officer</t>
  </si>
  <si>
    <t>Unit of General Facility &amp; Asset</t>
  </si>
  <si>
    <t>Staff of Household</t>
  </si>
  <si>
    <t>Unit of STMC Management</t>
  </si>
  <si>
    <t>Staff of Med. Support &amp; Hyperkes</t>
  </si>
  <si>
    <t>Dept. of Clinker &amp; Cement Production</t>
  </si>
  <si>
    <t>Unit of Clinker Production 1</t>
  </si>
  <si>
    <t>Staff of Line 2/3 RKC Autonomous</t>
  </si>
  <si>
    <t>Tender Mill 2 &amp; Separator</t>
  </si>
  <si>
    <t>Tender Mill 3 &amp; Feeder</t>
  </si>
  <si>
    <t>Tender Silo  2/3</t>
  </si>
  <si>
    <t>Tender Dryer</t>
  </si>
  <si>
    <t>Tender Recl. &amp; Transport BK 2/3</t>
  </si>
  <si>
    <t>Tender Recl. Clay</t>
  </si>
  <si>
    <t>Tender of Clinker Transport (Shift)</t>
  </si>
  <si>
    <t>Tender Preheater &amp; Kiln 2</t>
  </si>
  <si>
    <t>Tender Preheater &amp; Kiln 3</t>
  </si>
  <si>
    <t>Tender Kiln Feed &amp; Blower</t>
  </si>
  <si>
    <t>Tender of Firing System (Shift)</t>
  </si>
  <si>
    <t>Tender Hopper Belt Transport</t>
  </si>
  <si>
    <t>Tender Feeder &amp; Bin Trass</t>
  </si>
  <si>
    <t>Tender Intlet Dryer</t>
  </si>
  <si>
    <t>Tender Outlet Dryer</t>
  </si>
  <si>
    <t>Tender Furnace Timur</t>
  </si>
  <si>
    <t>Tender Furnace Barat</t>
  </si>
  <si>
    <t>Tender Transport Fine Trass</t>
  </si>
  <si>
    <t>Unit of Clinker Production 2</t>
  </si>
  <si>
    <t>Staff of Line 4 RM Autonomous</t>
  </si>
  <si>
    <t>Tender Mill &amp; Product Trans.</t>
  </si>
  <si>
    <t>Tender Feed Bin&amp; Transport Bin RKC 4</t>
  </si>
  <si>
    <t>Reclaimer TL &amp; Trans.</t>
  </si>
  <si>
    <t>Tender Belt Transport Sil, CL &amp; LS</t>
  </si>
  <si>
    <t>Reclaimer BK &amp; Trans.</t>
  </si>
  <si>
    <t>Tender Preheater &amp; Kiln Feed RKC 4</t>
  </si>
  <si>
    <t>Tender Cooler &amp; Clinker Trans. RKC 4</t>
  </si>
  <si>
    <t>Tender Dust Trans EP &amp; Kiln Feed</t>
  </si>
  <si>
    <t>Tender Coal Mill &amp; Pfister RKC 4</t>
  </si>
  <si>
    <t>Tender Reclaimer Batubara</t>
  </si>
  <si>
    <t>Hopper BB, Tripper &amp; Trans.</t>
  </si>
  <si>
    <t>Tender of Mill &amp; Product Transport</t>
  </si>
  <si>
    <t>Tender CT &amp; Reclaimer LS</t>
  </si>
  <si>
    <t>Tender Feed Bin&amp; Transport Bin RKC 5</t>
  </si>
  <si>
    <t xml:space="preserve">Reclaimer Silica </t>
  </si>
  <si>
    <t>Tender Belt Trans. Sil, CL &amp; LS</t>
  </si>
  <si>
    <t>Reclaimer Clay.</t>
  </si>
  <si>
    <t>Tender Preheater &amp; Kiln Feed RKC 5</t>
  </si>
  <si>
    <t>Tender Cooler &amp; Clinker Trans. RKC 5</t>
  </si>
  <si>
    <t>Tender Coal Mill &amp; Pfister RKC 5</t>
  </si>
  <si>
    <t>Tender of Coal Reclaimer</t>
  </si>
  <si>
    <t>Tender of Belt Transport BB &amp; Reject</t>
  </si>
  <si>
    <t>Tender Coal Crusher</t>
  </si>
  <si>
    <t>Coal   Handling &amp; Storage</t>
  </si>
  <si>
    <t>Tender Tripper &amp; Trans.</t>
  </si>
  <si>
    <t>Unit of Cement Production</t>
  </si>
  <si>
    <t>Tender of Line 2/3 FM &amp; Clinker Trnsp</t>
  </si>
  <si>
    <t>Tender of Line 2/3 Cmnt Silo &amp; Sprtor</t>
  </si>
  <si>
    <t>Tender of Line 2/3 FM Feeder</t>
  </si>
  <si>
    <t>Tender of 3rd Material FM 2/3</t>
  </si>
  <si>
    <t xml:space="preserve">Tender of Line 4 FM &amp; Clinker Trnsp </t>
  </si>
  <si>
    <t>Tender of Line 4 FM Separator &amp; Trans</t>
  </si>
  <si>
    <t xml:space="preserve">Tender of Line 4 FM Cement Silo </t>
  </si>
  <si>
    <t>Tender of 3rd Material FM 4</t>
  </si>
  <si>
    <t>Tender of Stacker</t>
  </si>
  <si>
    <t>Drier Trass Mill 4</t>
  </si>
  <si>
    <t xml:space="preserve">Tender of Line5 FM, Sprtor &amp; Cmnt Trans </t>
  </si>
  <si>
    <t>Tender of Feeder &amp; Transport to Mill</t>
  </si>
  <si>
    <t>Tender of Line 5 Clinker Transport</t>
  </si>
  <si>
    <t>Tender of Reclaimer &amp; Belt Trans</t>
  </si>
  <si>
    <t>Tender of 3rd Material FM 5</t>
  </si>
  <si>
    <t>Tender of Tripper &amp; Trans. Mat</t>
  </si>
  <si>
    <t>Operator CCR Packer 2/3</t>
  </si>
  <si>
    <t>Operator CCR Packer 5</t>
  </si>
  <si>
    <t>Opr 2/3/4 Bulk Cmnt Operation</t>
  </si>
  <si>
    <t>Unit of Quality Assurance</t>
  </si>
  <si>
    <t>Anls of Chemical Incoming Material</t>
  </si>
  <si>
    <t>Anls of Physical Incoming Material</t>
  </si>
  <si>
    <t>Sampling &amp; Prep Incoming Mtrl</t>
  </si>
  <si>
    <t>Anls of Paper &amp; Cement Bag Sampling</t>
  </si>
  <si>
    <t>Anls of Supp CUS Sampling Mtrl</t>
  </si>
  <si>
    <t>Anls of Physical Test 2/3/4/5</t>
  </si>
  <si>
    <t>Anls of Cement Packer Sampling</t>
  </si>
  <si>
    <t>Anls of Chemical Process Lab 2/3/4/5</t>
  </si>
  <si>
    <t>Opr X-Ray</t>
  </si>
  <si>
    <t>Product Inspection</t>
  </si>
  <si>
    <t>Anls of Technical Service</t>
  </si>
  <si>
    <t>Anls of Cement Application</t>
  </si>
  <si>
    <t>Concrete test</t>
  </si>
  <si>
    <t>Calibration</t>
  </si>
  <si>
    <t>Dept. of Mining &amp; Power Plant</t>
  </si>
  <si>
    <t>Unit of Mining</t>
  </si>
  <si>
    <t>Mine Plan</t>
  </si>
  <si>
    <t>Mine Survey</t>
  </si>
  <si>
    <t>Opr of Mine Dev.</t>
  </si>
  <si>
    <t>Opr of Blasting</t>
  </si>
  <si>
    <t>Blasting</t>
  </si>
  <si>
    <t>Blasting Assistant</t>
  </si>
  <si>
    <t>Tech of Limestone Loading &amp; Hauling</t>
  </si>
  <si>
    <t>Operator Timbangan</t>
  </si>
  <si>
    <t xml:space="preserve">Opr of Stockpile </t>
  </si>
  <si>
    <t>Opr of Outer Clay Quarry</t>
  </si>
  <si>
    <t>Reclamation</t>
  </si>
  <si>
    <t>Opr of Diesel Fuel Truck</t>
  </si>
  <si>
    <t>Opr of Grader/ Water Truck</t>
  </si>
  <si>
    <t>Unit of Raw Material Management</t>
  </si>
  <si>
    <t>Opr of Line 2/3 Ctrl Room LS Crusher</t>
  </si>
  <si>
    <t>Opr of Line 2/3 Stacker LS Crusher</t>
  </si>
  <si>
    <t>Tender of Line 2/3 LS Crusher</t>
  </si>
  <si>
    <t>Tender of Line 2/3 LS Belt</t>
  </si>
  <si>
    <t>Opr of Line 4 Control Room Crusher</t>
  </si>
  <si>
    <t>Opr of Line 4 Stacker LS Crusher</t>
  </si>
  <si>
    <t>Tender of Line 4 LS Crusher</t>
  </si>
  <si>
    <t>Tender of Line 4 LS Belt</t>
  </si>
  <si>
    <t>Opr of Line 5 Control Room Crusher</t>
  </si>
  <si>
    <t>Opr of Line 5 Stacker LS Crusher</t>
  </si>
  <si>
    <t>Tender of Line 5 LS Crusher</t>
  </si>
  <si>
    <t>Tender of Line 5 LS Belt</t>
  </si>
  <si>
    <t>Opr of Line 4/5 CCR Silica</t>
  </si>
  <si>
    <t>Opr of Line 4/5 Stacker Silica</t>
  </si>
  <si>
    <t>Opr of Line 4/5 Belt Silica</t>
  </si>
  <si>
    <t>Opr of Line 2/3/4 Control Room Clay</t>
  </si>
  <si>
    <t>Opr of Line 2/3/4 Stacker Clay</t>
  </si>
  <si>
    <t>Opr of Line 2/3/4 Belt Clay</t>
  </si>
  <si>
    <t>Tender of Line 2/3/4 Clay Crusher</t>
  </si>
  <si>
    <t>Opr of Line 5 Control Room Clay</t>
  </si>
  <si>
    <t>Opr of Line 5 Stacker Clay</t>
  </si>
  <si>
    <t>Opr of Line 5 Belt Clay</t>
  </si>
  <si>
    <t>Tender of Line 5 Clay Crusher</t>
  </si>
  <si>
    <t>Unit of Power Plant Operation</t>
  </si>
  <si>
    <t xml:space="preserve">Field Opr. Power Plant </t>
  </si>
  <si>
    <t>Tender Belt</t>
  </si>
  <si>
    <t xml:space="preserve">Balance of Plant </t>
  </si>
  <si>
    <t>Anls &amp; Sample Boy</t>
  </si>
  <si>
    <t>Opr of CSU</t>
  </si>
  <si>
    <t>Opr of Control Room</t>
  </si>
  <si>
    <t>Opr of Stacker</t>
  </si>
  <si>
    <t>Tender Belt CUS</t>
  </si>
  <si>
    <t>Opr of Gate Bridge</t>
  </si>
  <si>
    <t>CUS Maintenance (Shift)</t>
  </si>
  <si>
    <t>CUS Machine Maintenance (dayshift)</t>
  </si>
  <si>
    <t>CUS Ellins Maintenance (dayshift)</t>
  </si>
  <si>
    <t>Unit of Power Plant Machine Maint</t>
  </si>
  <si>
    <t>Power Plant Mach. PdM &amp; PM Sched</t>
  </si>
  <si>
    <t>Power Plant Machine PvM</t>
  </si>
  <si>
    <t>Power Plant Machine Maintenance</t>
  </si>
  <si>
    <t>Unit of Power Plant Elec Instr Maint</t>
  </si>
  <si>
    <t>PdM &amp; PvM Power Plant Electrical</t>
  </si>
  <si>
    <t>Electrical Control</t>
  </si>
  <si>
    <t xml:space="preserve">PP Electrical </t>
  </si>
  <si>
    <t>Automation</t>
  </si>
  <si>
    <t>PdM &amp; PvM Power Plant Instr.</t>
  </si>
  <si>
    <t>PP Instrument (Shift)</t>
  </si>
  <si>
    <t>Unit of Power Distribution</t>
  </si>
  <si>
    <t>Line 2,3,4 &amp; 5 Electr Load Ctrl</t>
  </si>
  <si>
    <t xml:space="preserve">Tech of Power Plant TS </t>
  </si>
  <si>
    <t>Tech of Trafo 70KV &amp; Mainstation</t>
  </si>
  <si>
    <t>Tech of Electrical Instalation Maint</t>
  </si>
  <si>
    <t>Tech of Trans Net 70KV &amp;Dist 22KV Maint</t>
  </si>
  <si>
    <t>Tech of Mainstation Switch Gear 6,3 KV</t>
  </si>
  <si>
    <t>Dept. of Maintenance</t>
  </si>
  <si>
    <t>Unit of Machine Maintenance 1</t>
  </si>
  <si>
    <t>Staff of Line 2/3 RKC Mach. PvM, PdM &amp; PM Schedule</t>
  </si>
  <si>
    <t>2/3 FM Mach. PdM&amp;PM Schedule</t>
  </si>
  <si>
    <t>Line 2/3 FM Machine PvM</t>
  </si>
  <si>
    <t>DS Line 2/3 Packer Mechine Maint.</t>
  </si>
  <si>
    <t>Shift Line 2/3 Packer Mechine Maint.</t>
  </si>
  <si>
    <t>DS Line 5 Packer Machine Maint.</t>
  </si>
  <si>
    <t>Shift Line 5 Packer Machine Maint.</t>
  </si>
  <si>
    <t>DS Plant Cement Silo Machine Maint.</t>
  </si>
  <si>
    <t>Shift Plant Cement Silo Machine Maint.</t>
  </si>
  <si>
    <t>DS Big Bulk Cement Packing</t>
  </si>
  <si>
    <t>LS, CL, SL 2/3/4 PdM &amp; PM</t>
  </si>
  <si>
    <t>LS, CL, SL 2/3/4 PvM</t>
  </si>
  <si>
    <t>LS, CL, SL 5 PdM &amp; PM</t>
  </si>
  <si>
    <t>LS, CL, SL 5 PvM</t>
  </si>
  <si>
    <t>Troubleshooting LS CL SC 2/3/4</t>
  </si>
  <si>
    <t>Troubleshooting LS CL SC 5</t>
  </si>
  <si>
    <t>Unit of Machine Maintenance 2</t>
  </si>
  <si>
    <t>Line 4 RM Mach. PdM&amp;PM Schd.</t>
  </si>
  <si>
    <t>Line 5 RM Mach. PdM&amp;PM Schd.</t>
  </si>
  <si>
    <t>Line 4 RM Machine PvM</t>
  </si>
  <si>
    <t>Line 5 RM Mach PvM</t>
  </si>
  <si>
    <t>Line 4 Kiln&amp;CM Mach PdM&amp;PM Schd</t>
  </si>
  <si>
    <t>Line 5 Kiln&amp;CM Mach PdM&amp;PM Schd</t>
  </si>
  <si>
    <t>Line 4 Kiln &amp; CM Machine PvM</t>
  </si>
  <si>
    <t>Line 5 Kiln Machine PvM</t>
  </si>
  <si>
    <t>Line 5 CM Machine PvM</t>
  </si>
  <si>
    <t>AFR Mach Maint</t>
  </si>
  <si>
    <t>Line 4 FM Mach PdM&amp;PM Schd</t>
  </si>
  <si>
    <t>Line 5 FM Mach PdM&amp;PM Schd</t>
  </si>
  <si>
    <t>Line 4 FM Machine PvM</t>
  </si>
  <si>
    <t>Line 5 FM Machine PvM</t>
  </si>
  <si>
    <t>PvM &amp; Pdm Mach Trass Mill 4</t>
  </si>
  <si>
    <t>Unit of Elins Maintenance 1</t>
  </si>
  <si>
    <t>2/3 FM Elins PdM&amp;PM Schedule</t>
  </si>
  <si>
    <t>Line 2/3 FM Elins PvM</t>
  </si>
  <si>
    <t>Shift Line 2/3 Elins Packer Maint.</t>
  </si>
  <si>
    <t>DS Pemel.  Packer 2/3</t>
  </si>
  <si>
    <t>Shift Line 5 Packer Elins Maint.</t>
  </si>
  <si>
    <t>DS Line 5 Packer Elins Maint.</t>
  </si>
  <si>
    <t>DS Plant Cement Silo E/I Main</t>
  </si>
  <si>
    <t>Shift Plant Cement Silo E/I Main</t>
  </si>
  <si>
    <t>Group of Weigher Maintenance (DS)</t>
  </si>
  <si>
    <t>Line 2/3/4/5 Crusher Elins PvM</t>
  </si>
  <si>
    <t>Line 2/3/4/5 Crusher Elins PdM</t>
  </si>
  <si>
    <t>Repair Elins Crusher</t>
  </si>
  <si>
    <t>Unit of Elins Maintenance 2</t>
  </si>
  <si>
    <t>Line 4/5 RKC Elctr. PdM&amp;PM Schd</t>
  </si>
  <si>
    <t>Line 4 RM Elctr. PvM</t>
  </si>
  <si>
    <t>Line 5 RM Elctr. PvM</t>
  </si>
  <si>
    <t>Line 4 KCM Elctr. PvM</t>
  </si>
  <si>
    <t>Line 5 KCM Elctr. PvM</t>
  </si>
  <si>
    <t xml:space="preserve">PvM AFR </t>
  </si>
  <si>
    <t>Line 4/5 RKC Instr. PdM&amp;PM Schd</t>
  </si>
  <si>
    <t>Line 4 RM Instr. PvM.</t>
  </si>
  <si>
    <t>Line 5 RM Instr. PvM.</t>
  </si>
  <si>
    <t>Line 4 KCM Instr. PvM</t>
  </si>
  <si>
    <t>Line 5 KCM Instr. PvM</t>
  </si>
  <si>
    <t>Line 4 System Control Maint</t>
  </si>
  <si>
    <t>Line 5 System Control Maint</t>
  </si>
  <si>
    <t>Line 4/5 FM Elins PdM&amp;PM Schd.</t>
  </si>
  <si>
    <t>Line 4 FM Elins PvM</t>
  </si>
  <si>
    <t>Line 5 FM Elins PvM</t>
  </si>
  <si>
    <t>Line 4 Elins Trass Mill PvM</t>
  </si>
  <si>
    <t>2/3 EP/DC PdM &amp; PvM</t>
  </si>
  <si>
    <t>4 EP/DC PdM &amp; PvM</t>
  </si>
  <si>
    <t>5 EP/DC PdM &amp; PvM</t>
  </si>
  <si>
    <t>BKS EP/DC PdM &amp; PvM</t>
  </si>
  <si>
    <t>CEMS Maintenance</t>
  </si>
  <si>
    <t>Unit of Maintenance Planning &amp; Eval.</t>
  </si>
  <si>
    <t>Staff of Maintenance Planning &amp; Eval.</t>
  </si>
  <si>
    <t>Staff of Spare Part Planning</t>
  </si>
  <si>
    <t>Staff of CAPEX</t>
  </si>
  <si>
    <t>Staff of Design</t>
  </si>
  <si>
    <t>Unit of Reliability Maintenance</t>
  </si>
  <si>
    <t>Staff of Maintenance Inspection</t>
  </si>
  <si>
    <t>Staff of Overhaul Management</t>
  </si>
  <si>
    <t>Staff of Troubleshooting</t>
  </si>
  <si>
    <t>Staff of PGO</t>
  </si>
  <si>
    <t>Unit of Workshop</t>
  </si>
  <si>
    <t>Motor Maint</t>
  </si>
  <si>
    <t>AC Maintenance  &amp; Utility</t>
  </si>
  <si>
    <t>Elctr &amp; Instrument Maint</t>
  </si>
  <si>
    <t>Machine Workshop</t>
  </si>
  <si>
    <t>Fabrication</t>
  </si>
  <si>
    <t>Technician of fabrication</t>
  </si>
  <si>
    <t>Estimator &amp; Planning</t>
  </si>
  <si>
    <t>Civil Infrastructure</t>
  </si>
  <si>
    <t>Mechanical &amp; Fabrication Construction</t>
  </si>
  <si>
    <t>Elins Construction</t>
  </si>
  <si>
    <t>Dept. of Production Planning &amp; Control</t>
  </si>
  <si>
    <t>Unit of Production Planning &amp; Eval.</t>
  </si>
  <si>
    <t>Staff of Production Planning</t>
  </si>
  <si>
    <t>Staff of RKC Evaluation</t>
  </si>
  <si>
    <t>Staff of Raw Material &amp; Cement Mill Eval</t>
  </si>
  <si>
    <t>Unit of Quality Control</t>
  </si>
  <si>
    <t>X - Ray 2/3 QC</t>
  </si>
  <si>
    <t>Sampling 2/3 QC</t>
  </si>
  <si>
    <t>X - Ray 4 QC</t>
  </si>
  <si>
    <t>Sampling 4 QC</t>
  </si>
  <si>
    <t>X - Ray 5 QC</t>
  </si>
  <si>
    <t>Sampling 5 QC</t>
  </si>
  <si>
    <t>Staff of Quality Control</t>
  </si>
  <si>
    <t>Unit of Production Support</t>
  </si>
  <si>
    <t>Water Treatment Elins Maint</t>
  </si>
  <si>
    <t>Water Treatment Mech Maint</t>
  </si>
  <si>
    <t>Opr of Line 2/3 Wtr Treatmt Control Room</t>
  </si>
  <si>
    <t>Opr of Line 4/5 Wtr Treatmt Control Room</t>
  </si>
  <si>
    <t>Opr Line 2/3/4/5 Wtr Treatmt Control Room</t>
  </si>
  <si>
    <t>Tns I Water Treatmt Opn &amp; Mai</t>
  </si>
  <si>
    <t>Tire &amp; Support Equipment Maint</t>
  </si>
  <si>
    <t>HE Support Controlling</t>
  </si>
  <si>
    <t>HE Machine Maintenance</t>
  </si>
  <si>
    <t>HE Elins Maintenance</t>
  </si>
  <si>
    <t>Unit of Safety, Health &amp; Environment</t>
  </si>
  <si>
    <t>TTA &amp; APD Inspection</t>
  </si>
  <si>
    <t>Driver of Plant. Fire Fighting</t>
  </si>
  <si>
    <t>Crew Fire Fighting</t>
  </si>
  <si>
    <t>TTA &amp; APD Inspection BKS</t>
  </si>
  <si>
    <t>Driver of BKS Port Fire Fighting</t>
  </si>
  <si>
    <t>Driver of Fire Tanker</t>
  </si>
  <si>
    <t>Crew Fire Fighting BKS</t>
  </si>
  <si>
    <t>Staff Enviromental Monitoring</t>
  </si>
  <si>
    <t xml:space="preserve">Staff of SHE </t>
  </si>
  <si>
    <t>Unit of Alternatif Fuel &amp; Raw Material</t>
  </si>
  <si>
    <t>AFR</t>
  </si>
  <si>
    <t>3rd Material</t>
  </si>
  <si>
    <t>Staff Coal Mixing Officer</t>
  </si>
  <si>
    <t>Working day in 2025</t>
  </si>
  <si>
    <t>Working hours in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</si>
</sst>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_(* #,##0_);_(* \(#,##0\);_(* &quot;-&quot;??_);_(@_)"/>
    <numFmt numFmtId="166" formatCode="0.0\ &quot;hours&quot;"/>
    <numFmt numFmtId="167" formatCode="_(* #,##0.0_)&quot;hours&quot;;_(* \(#,##0.0\);_(* &quot;-&quot;_);_(@_)"/>
    <numFmt numFmtId="168" formatCode="_(* #,##0.0_);_(* \(#,##0.0\);_(* &quot;-&quot;?_);_(@_)"/>
    <numFmt numFmtId="169" formatCode="_(* #,##0.000_);_(* \(#,##0.000\);_(* &quot;-&quot;??_);_(@_)"/>
    <numFmt numFmtId="170" formatCode="_(* #,##0.0_);_(* \(#,##0.0\);_(* &quot;-&quot;??_);_(@_)"/>
    <numFmt numFmtId="171" formatCode="[$-409]General"/>
  </numFmts>
  <fonts count="35" x14ac:knownFonts="1">
    <font>
      <sz val="11"/>
      <color theme="1"/>
      <name val="Calibri"/>
      <family val="2"/>
      <scheme val="minor"/>
    </font>
    <font>
      <sz val="11"/>
      <color theme="1"/>
      <name val="Verdana"/>
      <family val="2"/>
    </font>
    <font>
      <sz val="10"/>
      <name val="Arial"/>
      <family val="2"/>
    </font>
    <font>
      <sz val="11"/>
      <color theme="1"/>
      <name val="Calibri"/>
      <family val="2"/>
      <scheme val="minor"/>
    </font>
    <font>
      <b/>
      <sz val="14"/>
      <name val="Verdana"/>
      <family val="2"/>
    </font>
    <font>
      <sz val="10"/>
      <name val="Verdana"/>
      <family val="2"/>
    </font>
    <font>
      <sz val="10"/>
      <color rgb="FF0070C0"/>
      <name val="Verdana"/>
      <family val="2"/>
    </font>
    <font>
      <b/>
      <sz val="10"/>
      <name val="Verdana"/>
      <family val="2"/>
    </font>
    <font>
      <sz val="10"/>
      <color theme="0"/>
      <name val="Verdana"/>
      <family val="2"/>
    </font>
    <font>
      <b/>
      <i/>
      <sz val="10"/>
      <name val="Verdana"/>
      <family val="2"/>
    </font>
    <font>
      <b/>
      <sz val="12"/>
      <name val="Verdana"/>
      <family val="2"/>
    </font>
    <font>
      <sz val="12"/>
      <color rgb="FF0070C0"/>
      <name val="Verdana"/>
      <family val="2"/>
    </font>
    <font>
      <sz val="12"/>
      <name val="Verdana"/>
      <family val="2"/>
    </font>
    <font>
      <sz val="12"/>
      <color rgb="FFFF0000"/>
      <name val="Verdana"/>
      <family val="2"/>
    </font>
    <font>
      <b/>
      <sz val="12"/>
      <color rgb="FF0070C0"/>
      <name val="Verdana"/>
      <family val="2"/>
    </font>
    <font>
      <b/>
      <sz val="16"/>
      <name val="Verdana"/>
      <family val="2"/>
    </font>
    <font>
      <b/>
      <sz val="12"/>
      <color theme="0"/>
      <name val="Verdana"/>
      <family val="2"/>
    </font>
    <font>
      <sz val="12"/>
      <color theme="1"/>
      <name val="Verdana"/>
      <family val="2"/>
    </font>
    <font>
      <b/>
      <i/>
      <sz val="12"/>
      <color theme="0"/>
      <name val="Verdana"/>
      <family val="2"/>
    </font>
    <font>
      <b/>
      <sz val="12"/>
      <color rgb="FFFF0000"/>
      <name val="Verdana"/>
      <family val="2"/>
    </font>
    <font>
      <b/>
      <sz val="12"/>
      <color theme="9" tint="-0.499984740745262"/>
      <name val="Verdana"/>
      <family val="2"/>
    </font>
    <font>
      <sz val="12"/>
      <color theme="9" tint="-0.499984740745262"/>
      <name val="Verdana"/>
      <family val="2"/>
    </font>
    <font>
      <b/>
      <sz val="16"/>
      <color theme="0"/>
      <name val="Verdana"/>
      <family val="2"/>
    </font>
    <font>
      <b/>
      <sz val="11"/>
      <color rgb="FF000000"/>
      <name val="Tahoma"/>
      <family val="2"/>
    </font>
    <font>
      <u/>
      <sz val="12"/>
      <name val="Verdana"/>
      <family val="2"/>
    </font>
    <font>
      <b/>
      <sz val="12"/>
      <color rgb="FF009193"/>
      <name val="Verdana"/>
      <family val="2"/>
    </font>
    <font>
      <b/>
      <sz val="12"/>
      <color theme="1"/>
      <name val="Verdana"/>
      <family val="2"/>
    </font>
    <font>
      <sz val="12"/>
      <color theme="0"/>
      <name val="Verdana"/>
      <family val="2"/>
    </font>
    <font>
      <sz val="11"/>
      <color rgb="FF000000"/>
      <name val="Calibri"/>
      <family val="2"/>
    </font>
    <font>
      <b/>
      <sz val="10"/>
      <color theme="4"/>
      <name val="Verdana"/>
      <family val="2"/>
    </font>
    <font>
      <b/>
      <sz val="11"/>
      <color theme="0"/>
      <name val="Calibri"/>
      <family val="2"/>
      <scheme val="minor"/>
    </font>
    <font>
      <sz val="14"/>
      <color theme="1"/>
      <name val="Verdana"/>
      <family val="2"/>
    </font>
    <font>
      <b/>
      <sz val="16"/>
      <color rgb="FFFF0000"/>
      <name val="Verdana"/>
      <family val="2"/>
    </font>
    <font>
      <sz val="14"/>
      <color theme="4"/>
      <name val="Verdana"/>
      <family val="2"/>
    </font>
    <font>
      <b/>
      <sz val="14"/>
      <color theme="4"/>
      <name val="Verdana"/>
      <family val="2"/>
    </font>
  </fonts>
  <fills count="8">
    <fill>
      <patternFill patternType="none"/>
    </fill>
    <fill>
      <patternFill patternType="gray125"/>
    </fill>
    <fill>
      <patternFill patternType="solid">
        <fgColor theme="1"/>
        <bgColor indexed="64"/>
      </patternFill>
    </fill>
    <fill>
      <patternFill patternType="solid">
        <fgColor theme="6"/>
        <bgColor indexed="64"/>
      </patternFill>
    </fill>
    <fill>
      <patternFill patternType="solid">
        <fgColor rgb="FF009193"/>
        <bgColor indexed="64"/>
      </patternFill>
    </fill>
    <fill>
      <patternFill patternType="solid">
        <fgColor rgb="FFD0FBFF"/>
        <bgColor indexed="64"/>
      </patternFill>
    </fill>
    <fill>
      <patternFill patternType="solid">
        <fgColor theme="5" tint="0.59999389629810485"/>
        <bgColor indexed="64"/>
      </patternFill>
    </fill>
    <fill>
      <patternFill patternType="solid">
        <fgColor rgb="FFFFB9D8"/>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theme="1"/>
      </left>
      <right style="thin">
        <color theme="1"/>
      </right>
      <top style="thin">
        <color theme="1"/>
      </top>
      <bottom style="thin">
        <color theme="1"/>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11">
    <xf numFmtId="0" fontId="0" fillId="0" borderId="0"/>
    <xf numFmtId="0" fontId="2" fillId="0" borderId="0"/>
    <xf numFmtId="164" fontId="2"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28" fillId="0" borderId="0">
      <protection locked="0"/>
    </xf>
    <xf numFmtId="0" fontId="28" fillId="0" borderId="0" applyNumberFormat="0" applyFont="0" applyBorder="0" applyProtection="0"/>
    <xf numFmtId="171" fontId="28" fillId="0" borderId="0" applyFont="0" applyBorder="0" applyProtection="0"/>
  </cellStyleXfs>
  <cellXfs count="143">
    <xf numFmtId="0" fontId="0" fillId="0" borderId="0" xfId="0"/>
    <xf numFmtId="0" fontId="5" fillId="0" borderId="0" xfId="1" applyFont="1" applyAlignment="1">
      <alignment vertical="top"/>
    </xf>
    <xf numFmtId="0" fontId="6" fillId="0" borderId="0" xfId="1" applyFont="1" applyAlignment="1">
      <alignment vertical="top"/>
    </xf>
    <xf numFmtId="165" fontId="1" fillId="0" borderId="0" xfId="2" applyNumberFormat="1" applyFont="1" applyAlignment="1">
      <alignment vertical="top"/>
    </xf>
    <xf numFmtId="0" fontId="7" fillId="0" borderId="0" xfId="1" applyFont="1" applyAlignment="1">
      <alignment horizontal="center" vertical="top"/>
    </xf>
    <xf numFmtId="0" fontId="5" fillId="0" borderId="0" xfId="1" applyFont="1" applyAlignment="1">
      <alignment horizontal="left" vertical="top"/>
    </xf>
    <xf numFmtId="0" fontId="5" fillId="0" borderId="0" xfId="1" applyFont="1" applyAlignment="1">
      <alignment horizontal="center" vertical="top"/>
    </xf>
    <xf numFmtId="164" fontId="9" fillId="0" borderId="0" xfId="1" applyNumberFormat="1" applyFont="1" applyAlignment="1">
      <alignment vertical="top"/>
    </xf>
    <xf numFmtId="0" fontId="5" fillId="0" borderId="0" xfId="1" quotePrefix="1" applyFont="1" applyAlignment="1">
      <alignment vertical="top"/>
    </xf>
    <xf numFmtId="164" fontId="5" fillId="0" borderId="0" xfId="1" applyNumberFormat="1" applyFont="1" applyAlignment="1">
      <alignment vertical="top"/>
    </xf>
    <xf numFmtId="0" fontId="5" fillId="0" borderId="0" xfId="1" applyFont="1"/>
    <xf numFmtId="2" fontId="5" fillId="0" borderId="0" xfId="1" applyNumberFormat="1" applyFont="1" applyAlignment="1">
      <alignment vertical="top"/>
    </xf>
    <xf numFmtId="0" fontId="11" fillId="0" borderId="0" xfId="1" applyFont="1" applyAlignment="1">
      <alignment vertical="top"/>
    </xf>
    <xf numFmtId="0" fontId="12" fillId="0" borderId="0" xfId="1" applyFont="1" applyAlignment="1">
      <alignment vertical="top"/>
    </xf>
    <xf numFmtId="0" fontId="10" fillId="0" borderId="0" xfId="1" applyFont="1" applyAlignment="1">
      <alignment vertical="top"/>
    </xf>
    <xf numFmtId="0" fontId="12" fillId="0" borderId="0" xfId="1" applyFont="1" applyAlignment="1">
      <alignment horizontal="center" vertical="top"/>
    </xf>
    <xf numFmtId="0" fontId="16" fillId="0" borderId="0" xfId="1" applyFont="1" applyAlignment="1">
      <alignment horizontal="center" vertical="top"/>
    </xf>
    <xf numFmtId="169" fontId="18" fillId="0" borderId="0" xfId="1" applyNumberFormat="1" applyFont="1" applyAlignment="1">
      <alignment vertical="top"/>
    </xf>
    <xf numFmtId="164" fontId="12" fillId="0" borderId="0" xfId="1" applyNumberFormat="1" applyFont="1" applyAlignment="1">
      <alignment vertical="top"/>
    </xf>
    <xf numFmtId="0" fontId="12" fillId="0" borderId="0" xfId="1" applyFont="1"/>
    <xf numFmtId="22" fontId="12" fillId="0" borderId="0" xfId="1" applyNumberFormat="1" applyFont="1" applyAlignment="1">
      <alignment horizontal="left"/>
    </xf>
    <xf numFmtId="0" fontId="12" fillId="0" borderId="0" xfId="1" applyFont="1" applyAlignment="1">
      <alignment horizontal="center"/>
    </xf>
    <xf numFmtId="0" fontId="12" fillId="0" borderId="0" xfId="1" applyFont="1" applyAlignment="1">
      <alignment horizontal="center" vertical="center"/>
    </xf>
    <xf numFmtId="0" fontId="12" fillId="0" borderId="0" xfId="1" quotePrefix="1" applyFont="1"/>
    <xf numFmtId="167" fontId="12" fillId="0" borderId="0" xfId="1" applyNumberFormat="1" applyFont="1" applyAlignment="1">
      <alignment vertical="top"/>
    </xf>
    <xf numFmtId="168" fontId="12" fillId="0" borderId="0" xfId="1" applyNumberFormat="1" applyFont="1" applyAlignment="1">
      <alignment vertical="top"/>
    </xf>
    <xf numFmtId="0" fontId="12" fillId="0" borderId="6" xfId="1" applyFont="1" applyBorder="1" applyAlignment="1">
      <alignment horizontal="center" vertical="center"/>
    </xf>
    <xf numFmtId="0" fontId="12" fillId="0" borderId="1" xfId="1" applyFont="1" applyBorder="1" applyAlignment="1">
      <alignment horizontal="center" vertical="center"/>
    </xf>
    <xf numFmtId="0" fontId="19" fillId="0" borderId="0" xfId="1" quotePrefix="1" applyFont="1" applyAlignment="1">
      <alignment vertical="center"/>
    </xf>
    <xf numFmtId="0" fontId="5" fillId="0" borderId="0" xfId="1" applyFont="1" applyAlignment="1">
      <alignment vertical="center"/>
    </xf>
    <xf numFmtId="0" fontId="6" fillId="0" borderId="0" xfId="1" applyFont="1" applyAlignment="1">
      <alignment vertical="center"/>
    </xf>
    <xf numFmtId="165" fontId="1" fillId="0" borderId="0" xfId="2" applyNumberFormat="1" applyFont="1" applyAlignment="1">
      <alignment vertical="center"/>
    </xf>
    <xf numFmtId="0" fontId="10" fillId="0" borderId="0" xfId="1" applyFont="1" applyAlignment="1">
      <alignment horizontal="center" vertical="center"/>
    </xf>
    <xf numFmtId="0" fontId="11" fillId="0" borderId="0" xfId="1" applyFont="1" applyAlignment="1">
      <alignment vertical="center"/>
    </xf>
    <xf numFmtId="0" fontId="12" fillId="0" borderId="0" xfId="1" applyFont="1" applyAlignment="1">
      <alignment vertical="center"/>
    </xf>
    <xf numFmtId="0" fontId="12" fillId="0" borderId="0" xfId="1" applyFont="1" applyAlignment="1">
      <alignment horizontal="left" vertical="center"/>
    </xf>
    <xf numFmtId="164" fontId="11" fillId="0" borderId="0" xfId="1" applyNumberFormat="1" applyFont="1" applyAlignment="1">
      <alignment vertical="center"/>
    </xf>
    <xf numFmtId="165" fontId="1" fillId="0" borderId="0" xfId="2" applyNumberFormat="1" applyFont="1" applyFill="1" applyAlignment="1">
      <alignment vertical="center"/>
    </xf>
    <xf numFmtId="0" fontId="15" fillId="0" borderId="0" xfId="1" applyFont="1" applyAlignment="1">
      <alignment horizontal="center" vertical="center"/>
    </xf>
    <xf numFmtId="0" fontId="4" fillId="0" borderId="0" xfId="1" applyFont="1" applyAlignment="1">
      <alignment horizontal="center" vertical="center"/>
    </xf>
    <xf numFmtId="165" fontId="5" fillId="0" borderId="0" xfId="1" applyNumberFormat="1" applyFont="1" applyAlignment="1">
      <alignment horizontal="center" vertical="top"/>
    </xf>
    <xf numFmtId="0" fontId="8" fillId="0" borderId="0" xfId="1" applyFont="1" applyAlignment="1">
      <alignment horizontal="center" vertical="top"/>
    </xf>
    <xf numFmtId="0" fontId="16" fillId="2" borderId="3" xfId="1" applyFont="1" applyFill="1" applyBorder="1" applyAlignment="1">
      <alignment vertical="center"/>
    </xf>
    <xf numFmtId="0" fontId="10" fillId="0" borderId="7" xfId="1" applyFont="1" applyBorder="1" applyAlignment="1">
      <alignment horizontal="right" vertical="center"/>
    </xf>
    <xf numFmtId="0" fontId="10" fillId="0" borderId="13" xfId="1" applyFont="1" applyBorder="1" applyAlignment="1">
      <alignment horizontal="right" vertical="center"/>
    </xf>
    <xf numFmtId="0" fontId="5" fillId="0" borderId="0" xfId="1" applyFont="1" applyAlignment="1">
      <alignment horizontal="center" vertical="center"/>
    </xf>
    <xf numFmtId="0" fontId="10" fillId="0" borderId="0" xfId="1" applyFont="1" applyAlignment="1">
      <alignment horizontal="center" vertical="top"/>
    </xf>
    <xf numFmtId="0" fontId="16" fillId="3" borderId="1" xfId="1" applyFont="1" applyFill="1" applyBorder="1" applyAlignment="1">
      <alignment horizontal="center" vertical="center"/>
    </xf>
    <xf numFmtId="0" fontId="24" fillId="0" borderId="0" xfId="1" applyFont="1" applyAlignment="1">
      <alignment vertical="top"/>
    </xf>
    <xf numFmtId="0" fontId="10" fillId="0" borderId="8" xfId="1" applyFont="1" applyBorder="1" applyAlignment="1">
      <alignment horizontal="right" vertical="center"/>
    </xf>
    <xf numFmtId="0" fontId="12" fillId="0" borderId="2" xfId="1" applyFont="1" applyBorder="1" applyAlignment="1">
      <alignment vertical="center"/>
    </xf>
    <xf numFmtId="0" fontId="14" fillId="0" borderId="19" xfId="1" applyFont="1" applyBorder="1" applyAlignment="1">
      <alignment horizontal="center" vertical="center" wrapText="1"/>
    </xf>
    <xf numFmtId="0" fontId="14" fillId="0" borderId="20" xfId="1" applyFont="1" applyBorder="1" applyAlignment="1">
      <alignment horizontal="center" vertical="center"/>
    </xf>
    <xf numFmtId="0" fontId="26" fillId="6" borderId="15" xfId="1" applyFont="1" applyFill="1" applyBorder="1" applyAlignment="1">
      <alignment horizontal="center" vertical="center"/>
    </xf>
    <xf numFmtId="0" fontId="26" fillId="6" borderId="16" xfId="1" applyFont="1" applyFill="1" applyBorder="1" applyAlignment="1">
      <alignment horizontal="center" vertical="center" wrapText="1"/>
    </xf>
    <xf numFmtId="0" fontId="11" fillId="0" borderId="17" xfId="1" applyFont="1" applyBorder="1" applyAlignment="1">
      <alignment horizontal="center" vertical="center"/>
    </xf>
    <xf numFmtId="0" fontId="11" fillId="0" borderId="18" xfId="1" applyFont="1" applyBorder="1" applyAlignment="1">
      <alignment horizontal="center" vertical="center"/>
    </xf>
    <xf numFmtId="0" fontId="11" fillId="0" borderId="21" xfId="1" applyFont="1" applyBorder="1" applyAlignment="1">
      <alignment horizontal="center" vertical="center"/>
    </xf>
    <xf numFmtId="0" fontId="11" fillId="0" borderId="22" xfId="1" applyFont="1" applyBorder="1" applyAlignment="1">
      <alignment horizontal="center" vertical="center"/>
    </xf>
    <xf numFmtId="0" fontId="16" fillId="0" borderId="0" xfId="1" applyFont="1" applyAlignment="1">
      <alignment horizontal="center" vertical="center"/>
    </xf>
    <xf numFmtId="0" fontId="25" fillId="0" borderId="0" xfId="1" applyFont="1" applyAlignment="1">
      <alignment horizontal="center" vertical="center"/>
    </xf>
    <xf numFmtId="167" fontId="11" fillId="0" borderId="0" xfId="1" applyNumberFormat="1" applyFont="1" applyAlignment="1">
      <alignment vertical="center"/>
    </xf>
    <xf numFmtId="168" fontId="12" fillId="0" borderId="0" xfId="1" applyNumberFormat="1" applyFont="1" applyAlignment="1">
      <alignment vertical="center"/>
    </xf>
    <xf numFmtId="164" fontId="17" fillId="0" borderId="0" xfId="2" applyFont="1" applyFill="1" applyBorder="1" applyAlignment="1">
      <alignment vertical="center"/>
    </xf>
    <xf numFmtId="169" fontId="12" fillId="0" borderId="0" xfId="1" applyNumberFormat="1" applyFont="1" applyAlignment="1">
      <alignment vertical="center"/>
    </xf>
    <xf numFmtId="167" fontId="12" fillId="0" borderId="0" xfId="1" applyNumberFormat="1" applyFont="1" applyAlignment="1">
      <alignment vertical="center"/>
    </xf>
    <xf numFmtId="169" fontId="10" fillId="0" borderId="0" xfId="3" applyNumberFormat="1" applyFont="1" applyFill="1" applyBorder="1" applyAlignment="1">
      <alignment horizontal="center" vertical="center"/>
    </xf>
    <xf numFmtId="0" fontId="8" fillId="0" borderId="0" xfId="1" applyFont="1" applyAlignment="1">
      <alignment vertical="center"/>
    </xf>
    <xf numFmtId="0" fontId="27" fillId="0" borderId="0" xfId="1" applyFont="1" applyAlignment="1">
      <alignment vertical="center"/>
    </xf>
    <xf numFmtId="0" fontId="15" fillId="7" borderId="12" xfId="1" applyFont="1" applyFill="1" applyBorder="1" applyAlignment="1">
      <alignment horizontal="left" vertical="center"/>
    </xf>
    <xf numFmtId="0" fontId="4" fillId="7" borderId="12" xfId="1" applyFont="1" applyFill="1" applyBorder="1" applyAlignment="1">
      <alignment horizontal="center" vertical="center"/>
    </xf>
    <xf numFmtId="0" fontId="5" fillId="7" borderId="11" xfId="1" applyFont="1" applyFill="1" applyBorder="1" applyAlignment="1">
      <alignment horizontal="center" vertical="center"/>
    </xf>
    <xf numFmtId="0" fontId="15" fillId="7" borderId="3" xfId="1" applyFont="1" applyFill="1" applyBorder="1" applyAlignment="1">
      <alignment horizontal="left" vertical="center"/>
    </xf>
    <xf numFmtId="0" fontId="4" fillId="7" borderId="3" xfId="1" applyFont="1" applyFill="1" applyBorder="1" applyAlignment="1">
      <alignment horizontal="center" vertical="center"/>
    </xf>
    <xf numFmtId="0" fontId="5" fillId="7" borderId="14" xfId="1" applyFont="1" applyFill="1" applyBorder="1" applyAlignment="1">
      <alignment horizontal="center" vertical="center"/>
    </xf>
    <xf numFmtId="0" fontId="15" fillId="7" borderId="10" xfId="1" applyFont="1" applyFill="1" applyBorder="1" applyAlignment="1">
      <alignment horizontal="left" vertical="center"/>
    </xf>
    <xf numFmtId="0" fontId="4" fillId="7" borderId="10" xfId="1" applyFont="1" applyFill="1" applyBorder="1" applyAlignment="1">
      <alignment horizontal="center" vertical="center"/>
    </xf>
    <xf numFmtId="0" fontId="5" fillId="7" borderId="9" xfId="1" applyFont="1" applyFill="1" applyBorder="1" applyAlignment="1">
      <alignment horizontal="center" vertical="center"/>
    </xf>
    <xf numFmtId="0" fontId="12" fillId="0" borderId="1" xfId="1" applyFont="1" applyBorder="1" applyAlignment="1">
      <alignment vertical="center"/>
    </xf>
    <xf numFmtId="0" fontId="12" fillId="0" borderId="1" xfId="1" applyFont="1" applyBorder="1" applyAlignment="1">
      <alignment horizontal="left" vertical="center"/>
    </xf>
    <xf numFmtId="0" fontId="11" fillId="0" borderId="0" xfId="1" applyFont="1" applyAlignment="1">
      <alignment horizontal="center" vertical="center"/>
    </xf>
    <xf numFmtId="0" fontId="6" fillId="0" borderId="0" xfId="1" applyFont="1" applyAlignment="1">
      <alignment horizontal="center" vertical="top"/>
    </xf>
    <xf numFmtId="0" fontId="11" fillId="0" borderId="0" xfId="1" applyFont="1" applyAlignment="1">
      <alignment horizontal="center" vertical="top"/>
    </xf>
    <xf numFmtId="167" fontId="11" fillId="0" borderId="0" xfId="1" applyNumberFormat="1" applyFont="1" applyAlignment="1">
      <alignment horizontal="center" vertical="center"/>
    </xf>
    <xf numFmtId="0" fontId="29" fillId="0" borderId="23" xfId="1" applyFont="1" applyBorder="1" applyAlignment="1">
      <alignment horizontal="center" vertical="center"/>
    </xf>
    <xf numFmtId="0" fontId="8" fillId="0" borderId="0" xfId="1" applyFont="1" applyAlignment="1">
      <alignment horizontal="center" vertical="center"/>
    </xf>
    <xf numFmtId="170" fontId="12" fillId="7" borderId="1" xfId="3" applyNumberFormat="1" applyFont="1" applyFill="1" applyBorder="1" applyAlignment="1">
      <alignment horizontal="right" vertical="center"/>
    </xf>
    <xf numFmtId="165" fontId="12" fillId="0" borderId="1" xfId="3" applyNumberFormat="1" applyFont="1" applyBorder="1" applyAlignment="1">
      <alignment horizontal="right" vertical="center"/>
    </xf>
    <xf numFmtId="165" fontId="17" fillId="0" borderId="1" xfId="3" applyNumberFormat="1" applyFont="1" applyBorder="1" applyAlignment="1">
      <alignment horizontal="right" vertical="center"/>
    </xf>
    <xf numFmtId="165" fontId="13" fillId="0" borderId="1" xfId="3" applyNumberFormat="1" applyFont="1" applyBorder="1" applyAlignment="1">
      <alignment horizontal="right" vertical="center"/>
    </xf>
    <xf numFmtId="165" fontId="17" fillId="0" borderId="1" xfId="3" applyNumberFormat="1" applyFont="1" applyFill="1" applyBorder="1" applyAlignment="1">
      <alignment horizontal="right" vertical="center"/>
    </xf>
    <xf numFmtId="165" fontId="12" fillId="0" borderId="1" xfId="2" applyNumberFormat="1" applyFont="1" applyFill="1" applyBorder="1" applyAlignment="1">
      <alignment horizontal="right" vertical="center"/>
    </xf>
    <xf numFmtId="165" fontId="12" fillId="0" borderId="1" xfId="1" applyNumberFormat="1" applyFont="1" applyBorder="1" applyAlignment="1">
      <alignment horizontal="right" vertical="center"/>
    </xf>
    <xf numFmtId="0" fontId="12" fillId="7" borderId="1" xfId="1" applyFont="1" applyFill="1" applyBorder="1" applyAlignment="1">
      <alignment vertical="center" wrapText="1"/>
    </xf>
    <xf numFmtId="0" fontId="12" fillId="7" borderId="6" xfId="1" applyFont="1" applyFill="1" applyBorder="1" applyAlignment="1">
      <alignment horizontal="center" vertical="center"/>
    </xf>
    <xf numFmtId="166" fontId="12" fillId="7" borderId="6" xfId="1" applyNumberFormat="1" applyFont="1" applyFill="1" applyBorder="1" applyAlignment="1">
      <alignment vertical="center"/>
    </xf>
    <xf numFmtId="0" fontId="12" fillId="7" borderId="1" xfId="1" applyFont="1" applyFill="1" applyBorder="1" applyAlignment="1">
      <alignment horizontal="left" vertical="center" wrapText="1"/>
    </xf>
    <xf numFmtId="0" fontId="12" fillId="7" borderId="1" xfId="1" applyFont="1" applyFill="1" applyBorder="1" applyAlignment="1">
      <alignment horizontal="center" vertical="center"/>
    </xf>
    <xf numFmtId="166" fontId="12" fillId="7" borderId="1" xfId="1" applyNumberFormat="1" applyFont="1" applyFill="1" applyBorder="1" applyAlignment="1">
      <alignment vertical="center"/>
    </xf>
    <xf numFmtId="0" fontId="12" fillId="7" borderId="1" xfId="1" applyFont="1" applyFill="1" applyBorder="1" applyAlignment="1">
      <alignment horizontal="left" vertical="top" wrapText="1"/>
    </xf>
    <xf numFmtId="0" fontId="20" fillId="0" borderId="0" xfId="1" applyFont="1" applyAlignment="1">
      <alignment horizontal="center" vertical="center"/>
    </xf>
    <xf numFmtId="0" fontId="14" fillId="0" borderId="0" xfId="1" applyFont="1" applyAlignment="1">
      <alignment vertical="center"/>
    </xf>
    <xf numFmtId="0" fontId="19" fillId="0" borderId="0" xfId="1" applyFont="1" applyAlignment="1">
      <alignment vertical="center"/>
    </xf>
    <xf numFmtId="165" fontId="12" fillId="0" borderId="0" xfId="1" applyNumberFormat="1" applyFont="1" applyAlignment="1">
      <alignment vertical="center"/>
    </xf>
    <xf numFmtId="165" fontId="21" fillId="0" borderId="0" xfId="1" applyNumberFormat="1" applyFont="1" applyAlignment="1">
      <alignment horizontal="center" vertical="center"/>
    </xf>
    <xf numFmtId="165" fontId="13" fillId="0" borderId="0" xfId="1" applyNumberFormat="1" applyFont="1" applyAlignment="1">
      <alignment vertical="center"/>
    </xf>
    <xf numFmtId="164" fontId="11" fillId="0" borderId="0" xfId="1" applyNumberFormat="1" applyFont="1" applyAlignment="1">
      <alignment horizontal="center" vertical="center"/>
    </xf>
    <xf numFmtId="164" fontId="13" fillId="0" borderId="0" xfId="1" applyNumberFormat="1" applyFont="1" applyAlignment="1">
      <alignment vertical="center"/>
    </xf>
    <xf numFmtId="9" fontId="12" fillId="7" borderId="1" xfId="4" applyFont="1" applyFill="1" applyBorder="1" applyAlignment="1">
      <alignment horizontal="right" vertical="center"/>
    </xf>
    <xf numFmtId="0" fontId="19" fillId="5" borderId="6" xfId="1" applyFont="1" applyFill="1" applyBorder="1" applyAlignment="1">
      <alignment horizontal="center" vertical="center"/>
    </xf>
    <xf numFmtId="0" fontId="19" fillId="5" borderId="6" xfId="1" applyFont="1" applyFill="1" applyBorder="1" applyAlignment="1">
      <alignment horizontal="left" vertical="center" wrapText="1"/>
    </xf>
    <xf numFmtId="0" fontId="19" fillId="0" borderId="0" xfId="1" applyFont="1" applyAlignment="1">
      <alignment horizontal="center" vertical="center"/>
    </xf>
    <xf numFmtId="0" fontId="30" fillId="4" borderId="1" xfId="6" applyFont="1" applyFill="1" applyBorder="1" applyAlignment="1" applyProtection="1">
      <alignment horizontal="center" vertical="center"/>
      <protection locked="0"/>
    </xf>
    <xf numFmtId="0" fontId="30" fillId="4" borderId="1" xfId="6" applyFont="1" applyFill="1" applyBorder="1" applyAlignment="1" applyProtection="1">
      <alignment horizontal="center" vertical="center" wrapText="1"/>
      <protection locked="0"/>
    </xf>
    <xf numFmtId="0" fontId="3" fillId="0" borderId="26" xfId="6" applyBorder="1" applyAlignment="1" applyProtection="1">
      <alignment horizontal="center" vertical="center"/>
      <protection locked="0"/>
    </xf>
    <xf numFmtId="0" fontId="3" fillId="0" borderId="26" xfId="6" applyBorder="1" applyAlignment="1">
      <alignment horizontal="left" vertical="center"/>
    </xf>
    <xf numFmtId="0" fontId="3" fillId="0" borderId="26" xfId="6" applyBorder="1"/>
    <xf numFmtId="0" fontId="3" fillId="0" borderId="26" xfId="6" applyBorder="1" applyAlignment="1" applyProtection="1">
      <alignment horizontal="center"/>
      <protection locked="0"/>
    </xf>
    <xf numFmtId="0" fontId="3" fillId="0" borderId="26" xfId="6" applyBorder="1" applyAlignment="1">
      <alignment vertical="center"/>
    </xf>
    <xf numFmtId="0" fontId="16" fillId="4" borderId="1" xfId="1" applyFont="1" applyFill="1" applyBorder="1" applyAlignment="1">
      <alignment horizontal="center" vertical="center"/>
    </xf>
    <xf numFmtId="0" fontId="6" fillId="0" borderId="0" xfId="1" applyFont="1" applyAlignment="1">
      <alignment horizontal="center" vertical="center"/>
    </xf>
    <xf numFmtId="0" fontId="32" fillId="0" borderId="7" xfId="1" applyFont="1" applyBorder="1" applyAlignment="1">
      <alignment horizontal="left" vertical="top"/>
    </xf>
    <xf numFmtId="0" fontId="5" fillId="0" borderId="27" xfId="1" applyFont="1" applyBorder="1" applyAlignment="1">
      <alignment vertical="top"/>
    </xf>
    <xf numFmtId="0" fontId="5" fillId="0" borderId="27" xfId="1" applyFont="1" applyBorder="1" applyAlignment="1">
      <alignment horizontal="center" vertical="top"/>
    </xf>
    <xf numFmtId="0" fontId="5" fillId="0" borderId="28" xfId="1" applyFont="1" applyBorder="1" applyAlignment="1">
      <alignment horizontal="center" vertical="top"/>
    </xf>
    <xf numFmtId="0" fontId="10" fillId="0" borderId="0" xfId="1" applyFont="1" applyAlignment="1">
      <alignment horizontal="center" vertical="center"/>
    </xf>
    <xf numFmtId="0" fontId="22" fillId="4" borderId="4" xfId="1" applyFont="1" applyFill="1" applyBorder="1" applyAlignment="1">
      <alignment horizontal="center" vertical="center"/>
    </xf>
    <xf numFmtId="0" fontId="22" fillId="4" borderId="0" xfId="1" applyFont="1" applyFill="1" applyAlignment="1">
      <alignment horizontal="center" vertical="center"/>
    </xf>
    <xf numFmtId="0" fontId="16" fillId="4" borderId="5" xfId="1" applyFont="1" applyFill="1" applyBorder="1" applyAlignment="1">
      <alignment horizontal="center" vertical="center"/>
    </xf>
    <xf numFmtId="0" fontId="16" fillId="4" borderId="6" xfId="1" applyFont="1" applyFill="1" applyBorder="1" applyAlignment="1">
      <alignment horizontal="center" vertical="center"/>
    </xf>
    <xf numFmtId="0" fontId="16" fillId="0" borderId="0" xfId="1" applyFont="1" applyAlignment="1">
      <alignment horizontal="center" vertical="center"/>
    </xf>
    <xf numFmtId="0" fontId="26" fillId="6" borderId="24" xfId="1" applyFont="1" applyFill="1" applyBorder="1" applyAlignment="1">
      <alignment horizontal="center" vertical="center"/>
    </xf>
    <xf numFmtId="0" fontId="26" fillId="6" borderId="25" xfId="1" applyFont="1" applyFill="1" applyBorder="1" applyAlignment="1">
      <alignment horizontal="center" vertical="center"/>
    </xf>
    <xf numFmtId="20" fontId="31" fillId="0" borderId="17" xfId="1" quotePrefix="1" applyNumberFormat="1" applyFont="1" applyBorder="1" applyAlignment="1">
      <alignment vertical="top" wrapText="1"/>
    </xf>
    <xf numFmtId="0" fontId="31" fillId="0" borderId="1" xfId="1" applyFont="1" applyBorder="1" applyAlignment="1">
      <alignment vertical="top" wrapText="1"/>
    </xf>
    <xf numFmtId="0" fontId="31" fillId="0" borderId="18" xfId="1" applyFont="1" applyBorder="1" applyAlignment="1">
      <alignment vertical="top" wrapText="1"/>
    </xf>
    <xf numFmtId="0" fontId="31" fillId="0" borderId="17" xfId="1" applyFont="1" applyBorder="1" applyAlignment="1">
      <alignment vertical="center" wrapText="1"/>
    </xf>
    <xf numFmtId="0" fontId="31" fillId="0" borderId="1" xfId="1" applyFont="1" applyBorder="1" applyAlignment="1">
      <alignment vertical="center" wrapText="1"/>
    </xf>
    <xf numFmtId="0" fontId="31" fillId="0" borderId="18" xfId="1" applyFont="1" applyBorder="1" applyAlignment="1">
      <alignment vertical="center" wrapText="1"/>
    </xf>
    <xf numFmtId="0" fontId="31" fillId="0" borderId="29" xfId="1" applyFont="1" applyBorder="1" applyAlignment="1">
      <alignment vertical="center" wrapText="1"/>
    </xf>
    <xf numFmtId="0" fontId="31" fillId="0" borderId="30" xfId="1" applyFont="1" applyBorder="1" applyAlignment="1">
      <alignment vertical="center" wrapText="1"/>
    </xf>
    <xf numFmtId="0" fontId="31" fillId="0" borderId="23" xfId="1" applyFont="1" applyBorder="1" applyAlignment="1">
      <alignment vertical="center" wrapText="1"/>
    </xf>
    <xf numFmtId="0" fontId="31" fillId="0" borderId="17" xfId="1" applyFont="1" applyBorder="1" applyAlignment="1">
      <alignment vertical="top" wrapText="1"/>
    </xf>
  </cellXfs>
  <cellStyles count="11">
    <cellStyle name="Comma" xfId="3" builtinId="3"/>
    <cellStyle name="Comma 2" xfId="2" xr:uid="{56F9A6DB-0112-40EA-AD4C-617E334C0C37}"/>
    <cellStyle name="Comma 3" xfId="5" xr:uid="{C5C2DA37-DE9C-4951-9F12-76A5283E70FA}"/>
    <cellStyle name="Excel Built-in Normal" xfId="10" xr:uid="{ED06E0F0-E6A6-46D4-A74B-F65F9848A841}"/>
    <cellStyle name="Normal" xfId="0" builtinId="0"/>
    <cellStyle name="Normal 2" xfId="1" xr:uid="{4DC6E323-7733-459E-8CC3-BA08B95AF0C0}"/>
    <cellStyle name="Normal 2 12 2 2" xfId="6" xr:uid="{E03FEF07-E55E-4766-8B23-671C9C9134C2}"/>
    <cellStyle name="Normal 2 12 2 2 2" xfId="7" xr:uid="{7D5C351B-058E-45E7-98A9-79F79EB62D9D}"/>
    <cellStyle name="Normal 5 2" xfId="8" xr:uid="{D04A4EDA-A2A0-4959-BEDD-592D03013441}"/>
    <cellStyle name="Normal 6" xfId="9" xr:uid="{3BC8E951-FD45-4276-8659-7ED5757F7135}"/>
    <cellStyle name="Percent" xfId="4" builtinId="5"/>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0FBFF"/>
      <color rgb="FFFFB9D8"/>
      <color rgb="FF009193"/>
      <color rgb="FFD88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8D75F-1E32-BC43-982D-474FA94673ED}">
  <sheetPr>
    <tabColor rgb="FF92D050"/>
    <pageSetUpPr fitToPage="1"/>
  </sheetPr>
  <dimension ref="A1:W71"/>
  <sheetViews>
    <sheetView showGridLines="0" tabSelected="1" topLeftCell="A15" zoomScale="80" zoomScaleNormal="80" zoomScaleSheetLayoutView="110" workbookViewId="0">
      <selection activeCell="E24" sqref="E24"/>
    </sheetView>
  </sheetViews>
  <sheetFormatPr defaultColWidth="9.1796875" defaultRowHeight="13.5" x14ac:dyDescent="0.35"/>
  <cols>
    <col min="1" max="1" width="16.453125" style="6" customWidth="1"/>
    <col min="2" max="2" width="86.453125" style="1" customWidth="1"/>
    <col min="3" max="3" width="14.453125" style="6" customWidth="1"/>
    <col min="4" max="4" width="17.1796875" style="6" customWidth="1"/>
    <col min="5" max="5" width="19.1796875" style="1" bestFit="1" customWidth="1"/>
    <col min="6" max="6" width="21.1796875" style="2" customWidth="1"/>
    <col min="7" max="7" width="16" style="81" customWidth="1"/>
    <col min="8" max="9" width="14.54296875" style="2" customWidth="1"/>
    <col min="10" max="10" width="18.453125" style="2" bestFit="1" customWidth="1"/>
    <col min="11" max="12" width="17" style="1" customWidth="1"/>
    <col min="13" max="13" width="14.453125" style="1" customWidth="1"/>
    <col min="14" max="14" width="18.453125" style="1" customWidth="1"/>
    <col min="15" max="15" width="3.81640625" style="1" customWidth="1"/>
    <col min="16" max="16" width="14.1796875" style="1" customWidth="1"/>
    <col min="17" max="17" width="6.1796875" style="1" customWidth="1"/>
    <col min="18" max="18" width="12.81640625" style="3" bestFit="1" customWidth="1"/>
    <col min="19" max="19" width="21.1796875" style="1" bestFit="1" customWidth="1"/>
    <col min="20" max="20" width="14.1796875" style="3" bestFit="1" customWidth="1"/>
    <col min="21" max="21" width="12.1796875" style="1" bestFit="1" customWidth="1"/>
    <col min="22" max="256" width="9.1796875" style="1"/>
    <col min="257" max="257" width="4.81640625" style="1" customWidth="1"/>
    <col min="258" max="258" width="86.453125" style="1" customWidth="1"/>
    <col min="259" max="259" width="10.1796875" style="1" bestFit="1" customWidth="1"/>
    <col min="260" max="260" width="9.453125" style="1" customWidth="1"/>
    <col min="261" max="261" width="9.1796875" style="1"/>
    <col min="262" max="262" width="10.1796875" style="1" customWidth="1"/>
    <col min="263" max="263" width="10.81640625" style="1" customWidth="1"/>
    <col min="264" max="264" width="11.1796875" style="1" customWidth="1"/>
    <col min="265" max="265" width="13.453125" style="1" customWidth="1"/>
    <col min="266" max="266" width="14.453125" style="1" customWidth="1"/>
    <col min="267" max="267" width="11.453125" style="1" customWidth="1"/>
    <col min="268" max="268" width="9.81640625" style="1" customWidth="1"/>
    <col min="269" max="269" width="7.81640625" style="1" customWidth="1"/>
    <col min="270" max="270" width="18.453125" style="1" customWidth="1"/>
    <col min="271" max="271" width="3.81640625" style="1" customWidth="1"/>
    <col min="272" max="272" width="14.1796875" style="1" customWidth="1"/>
    <col min="273" max="273" width="6.1796875" style="1" customWidth="1"/>
    <col min="274" max="274" width="12.81640625" style="1" bestFit="1" customWidth="1"/>
    <col min="275" max="275" width="21.1796875" style="1" bestFit="1" customWidth="1"/>
    <col min="276" max="276" width="14.1796875" style="1" bestFit="1" customWidth="1"/>
    <col min="277" max="277" width="12.1796875" style="1" bestFit="1" customWidth="1"/>
    <col min="278" max="512" width="9.1796875" style="1"/>
    <col min="513" max="513" width="4.81640625" style="1" customWidth="1"/>
    <col min="514" max="514" width="86.453125" style="1" customWidth="1"/>
    <col min="515" max="515" width="10.1796875" style="1" bestFit="1" customWidth="1"/>
    <col min="516" max="516" width="9.453125" style="1" customWidth="1"/>
    <col min="517" max="517" width="9.1796875" style="1"/>
    <col min="518" max="518" width="10.1796875" style="1" customWidth="1"/>
    <col min="519" max="519" width="10.81640625" style="1" customWidth="1"/>
    <col min="520" max="520" width="11.1796875" style="1" customWidth="1"/>
    <col min="521" max="521" width="13.453125" style="1" customWidth="1"/>
    <col min="522" max="522" width="14.453125" style="1" customWidth="1"/>
    <col min="523" max="523" width="11.453125" style="1" customWidth="1"/>
    <col min="524" max="524" width="9.81640625" style="1" customWidth="1"/>
    <col min="525" max="525" width="7.81640625" style="1" customWidth="1"/>
    <col min="526" max="526" width="18.453125" style="1" customWidth="1"/>
    <col min="527" max="527" width="3.81640625" style="1" customWidth="1"/>
    <col min="528" max="528" width="14.1796875" style="1" customWidth="1"/>
    <col min="529" max="529" width="6.1796875" style="1" customWidth="1"/>
    <col min="530" max="530" width="12.81640625" style="1" bestFit="1" customWidth="1"/>
    <col min="531" max="531" width="21.1796875" style="1" bestFit="1" customWidth="1"/>
    <col min="532" max="532" width="14.1796875" style="1" bestFit="1" customWidth="1"/>
    <col min="533" max="533" width="12.1796875" style="1" bestFit="1" customWidth="1"/>
    <col min="534" max="768" width="9.1796875" style="1"/>
    <col min="769" max="769" width="4.81640625" style="1" customWidth="1"/>
    <col min="770" max="770" width="86.453125" style="1" customWidth="1"/>
    <col min="771" max="771" width="10.1796875" style="1" bestFit="1" customWidth="1"/>
    <col min="772" max="772" width="9.453125" style="1" customWidth="1"/>
    <col min="773" max="773" width="9.1796875" style="1"/>
    <col min="774" max="774" width="10.1796875" style="1" customWidth="1"/>
    <col min="775" max="775" width="10.81640625" style="1" customWidth="1"/>
    <col min="776" max="776" width="11.1796875" style="1" customWidth="1"/>
    <col min="777" max="777" width="13.453125" style="1" customWidth="1"/>
    <col min="778" max="778" width="14.453125" style="1" customWidth="1"/>
    <col min="779" max="779" width="11.453125" style="1" customWidth="1"/>
    <col min="780" max="780" width="9.81640625" style="1" customWidth="1"/>
    <col min="781" max="781" width="7.81640625" style="1" customWidth="1"/>
    <col min="782" max="782" width="18.453125" style="1" customWidth="1"/>
    <col min="783" max="783" width="3.81640625" style="1" customWidth="1"/>
    <col min="784" max="784" width="14.1796875" style="1" customWidth="1"/>
    <col min="785" max="785" width="6.1796875" style="1" customWidth="1"/>
    <col min="786" max="786" width="12.81640625" style="1" bestFit="1" customWidth="1"/>
    <col min="787" max="787" width="21.1796875" style="1" bestFit="1" customWidth="1"/>
    <col min="788" max="788" width="14.1796875" style="1" bestFit="1" customWidth="1"/>
    <col min="789" max="789" width="12.1796875" style="1" bestFit="1" customWidth="1"/>
    <col min="790" max="1024" width="9.1796875" style="1"/>
    <col min="1025" max="1025" width="4.81640625" style="1" customWidth="1"/>
    <col min="1026" max="1026" width="86.453125" style="1" customWidth="1"/>
    <col min="1027" max="1027" width="10.1796875" style="1" bestFit="1" customWidth="1"/>
    <col min="1028" max="1028" width="9.453125" style="1" customWidth="1"/>
    <col min="1029" max="1029" width="9.1796875" style="1"/>
    <col min="1030" max="1030" width="10.1796875" style="1" customWidth="1"/>
    <col min="1031" max="1031" width="10.81640625" style="1" customWidth="1"/>
    <col min="1032" max="1032" width="11.1796875" style="1" customWidth="1"/>
    <col min="1033" max="1033" width="13.453125" style="1" customWidth="1"/>
    <col min="1034" max="1034" width="14.453125" style="1" customWidth="1"/>
    <col min="1035" max="1035" width="11.453125" style="1" customWidth="1"/>
    <col min="1036" max="1036" width="9.81640625" style="1" customWidth="1"/>
    <col min="1037" max="1037" width="7.81640625" style="1" customWidth="1"/>
    <col min="1038" max="1038" width="18.453125" style="1" customWidth="1"/>
    <col min="1039" max="1039" width="3.81640625" style="1" customWidth="1"/>
    <col min="1040" max="1040" width="14.1796875" style="1" customWidth="1"/>
    <col min="1041" max="1041" width="6.1796875" style="1" customWidth="1"/>
    <col min="1042" max="1042" width="12.81640625" style="1" bestFit="1" customWidth="1"/>
    <col min="1043" max="1043" width="21.1796875" style="1" bestFit="1" customWidth="1"/>
    <col min="1044" max="1044" width="14.1796875" style="1" bestFit="1" customWidth="1"/>
    <col min="1045" max="1045" width="12.1796875" style="1" bestFit="1" customWidth="1"/>
    <col min="1046" max="1280" width="9.1796875" style="1"/>
    <col min="1281" max="1281" width="4.81640625" style="1" customWidth="1"/>
    <col min="1282" max="1282" width="86.453125" style="1" customWidth="1"/>
    <col min="1283" max="1283" width="10.1796875" style="1" bestFit="1" customWidth="1"/>
    <col min="1284" max="1284" width="9.453125" style="1" customWidth="1"/>
    <col min="1285" max="1285" width="9.1796875" style="1"/>
    <col min="1286" max="1286" width="10.1796875" style="1" customWidth="1"/>
    <col min="1287" max="1287" width="10.81640625" style="1" customWidth="1"/>
    <col min="1288" max="1288" width="11.1796875" style="1" customWidth="1"/>
    <col min="1289" max="1289" width="13.453125" style="1" customWidth="1"/>
    <col min="1290" max="1290" width="14.453125" style="1" customWidth="1"/>
    <col min="1291" max="1291" width="11.453125" style="1" customWidth="1"/>
    <col min="1292" max="1292" width="9.81640625" style="1" customWidth="1"/>
    <col min="1293" max="1293" width="7.81640625" style="1" customWidth="1"/>
    <col min="1294" max="1294" width="18.453125" style="1" customWidth="1"/>
    <col min="1295" max="1295" width="3.81640625" style="1" customWidth="1"/>
    <col min="1296" max="1296" width="14.1796875" style="1" customWidth="1"/>
    <col min="1297" max="1297" width="6.1796875" style="1" customWidth="1"/>
    <col min="1298" max="1298" width="12.81640625" style="1" bestFit="1" customWidth="1"/>
    <col min="1299" max="1299" width="21.1796875" style="1" bestFit="1" customWidth="1"/>
    <col min="1300" max="1300" width="14.1796875" style="1" bestFit="1" customWidth="1"/>
    <col min="1301" max="1301" width="12.1796875" style="1" bestFit="1" customWidth="1"/>
    <col min="1302" max="1536" width="9.1796875" style="1"/>
    <col min="1537" max="1537" width="4.81640625" style="1" customWidth="1"/>
    <col min="1538" max="1538" width="86.453125" style="1" customWidth="1"/>
    <col min="1539" max="1539" width="10.1796875" style="1" bestFit="1" customWidth="1"/>
    <col min="1540" max="1540" width="9.453125" style="1" customWidth="1"/>
    <col min="1541" max="1541" width="9.1796875" style="1"/>
    <col min="1542" max="1542" width="10.1796875" style="1" customWidth="1"/>
    <col min="1543" max="1543" width="10.81640625" style="1" customWidth="1"/>
    <col min="1544" max="1544" width="11.1796875" style="1" customWidth="1"/>
    <col min="1545" max="1545" width="13.453125" style="1" customWidth="1"/>
    <col min="1546" max="1546" width="14.453125" style="1" customWidth="1"/>
    <col min="1547" max="1547" width="11.453125" style="1" customWidth="1"/>
    <col min="1548" max="1548" width="9.81640625" style="1" customWidth="1"/>
    <col min="1549" max="1549" width="7.81640625" style="1" customWidth="1"/>
    <col min="1550" max="1550" width="18.453125" style="1" customWidth="1"/>
    <col min="1551" max="1551" width="3.81640625" style="1" customWidth="1"/>
    <col min="1552" max="1552" width="14.1796875" style="1" customWidth="1"/>
    <col min="1553" max="1553" width="6.1796875" style="1" customWidth="1"/>
    <col min="1554" max="1554" width="12.81640625" style="1" bestFit="1" customWidth="1"/>
    <col min="1555" max="1555" width="21.1796875" style="1" bestFit="1" customWidth="1"/>
    <col min="1556" max="1556" width="14.1796875" style="1" bestFit="1" customWidth="1"/>
    <col min="1557" max="1557" width="12.1796875" style="1" bestFit="1" customWidth="1"/>
    <col min="1558" max="1792" width="9.1796875" style="1"/>
    <col min="1793" max="1793" width="4.81640625" style="1" customWidth="1"/>
    <col min="1794" max="1794" width="86.453125" style="1" customWidth="1"/>
    <col min="1795" max="1795" width="10.1796875" style="1" bestFit="1" customWidth="1"/>
    <col min="1796" max="1796" width="9.453125" style="1" customWidth="1"/>
    <col min="1797" max="1797" width="9.1796875" style="1"/>
    <col min="1798" max="1798" width="10.1796875" style="1" customWidth="1"/>
    <col min="1799" max="1799" width="10.81640625" style="1" customWidth="1"/>
    <col min="1800" max="1800" width="11.1796875" style="1" customWidth="1"/>
    <col min="1801" max="1801" width="13.453125" style="1" customWidth="1"/>
    <col min="1802" max="1802" width="14.453125" style="1" customWidth="1"/>
    <col min="1803" max="1803" width="11.453125" style="1" customWidth="1"/>
    <col min="1804" max="1804" width="9.81640625" style="1" customWidth="1"/>
    <col min="1805" max="1805" width="7.81640625" style="1" customWidth="1"/>
    <col min="1806" max="1806" width="18.453125" style="1" customWidth="1"/>
    <col min="1807" max="1807" width="3.81640625" style="1" customWidth="1"/>
    <col min="1808" max="1808" width="14.1796875" style="1" customWidth="1"/>
    <col min="1809" max="1809" width="6.1796875" style="1" customWidth="1"/>
    <col min="1810" max="1810" width="12.81640625" style="1" bestFit="1" customWidth="1"/>
    <col min="1811" max="1811" width="21.1796875" style="1" bestFit="1" customWidth="1"/>
    <col min="1812" max="1812" width="14.1796875" style="1" bestFit="1" customWidth="1"/>
    <col min="1813" max="1813" width="12.1796875" style="1" bestFit="1" customWidth="1"/>
    <col min="1814" max="2048" width="9.1796875" style="1"/>
    <col min="2049" max="2049" width="4.81640625" style="1" customWidth="1"/>
    <col min="2050" max="2050" width="86.453125" style="1" customWidth="1"/>
    <col min="2051" max="2051" width="10.1796875" style="1" bestFit="1" customWidth="1"/>
    <col min="2052" max="2052" width="9.453125" style="1" customWidth="1"/>
    <col min="2053" max="2053" width="9.1796875" style="1"/>
    <col min="2054" max="2054" width="10.1796875" style="1" customWidth="1"/>
    <col min="2055" max="2055" width="10.81640625" style="1" customWidth="1"/>
    <col min="2056" max="2056" width="11.1796875" style="1" customWidth="1"/>
    <col min="2057" max="2057" width="13.453125" style="1" customWidth="1"/>
    <col min="2058" max="2058" width="14.453125" style="1" customWidth="1"/>
    <col min="2059" max="2059" width="11.453125" style="1" customWidth="1"/>
    <col min="2060" max="2060" width="9.81640625" style="1" customWidth="1"/>
    <col min="2061" max="2061" width="7.81640625" style="1" customWidth="1"/>
    <col min="2062" max="2062" width="18.453125" style="1" customWidth="1"/>
    <col min="2063" max="2063" width="3.81640625" style="1" customWidth="1"/>
    <col min="2064" max="2064" width="14.1796875" style="1" customWidth="1"/>
    <col min="2065" max="2065" width="6.1796875" style="1" customWidth="1"/>
    <col min="2066" max="2066" width="12.81640625" style="1" bestFit="1" customWidth="1"/>
    <col min="2067" max="2067" width="21.1796875" style="1" bestFit="1" customWidth="1"/>
    <col min="2068" max="2068" width="14.1796875" style="1" bestFit="1" customWidth="1"/>
    <col min="2069" max="2069" width="12.1796875" style="1" bestFit="1" customWidth="1"/>
    <col min="2070" max="2304" width="9.1796875" style="1"/>
    <col min="2305" max="2305" width="4.81640625" style="1" customWidth="1"/>
    <col min="2306" max="2306" width="86.453125" style="1" customWidth="1"/>
    <col min="2307" max="2307" width="10.1796875" style="1" bestFit="1" customWidth="1"/>
    <col min="2308" max="2308" width="9.453125" style="1" customWidth="1"/>
    <col min="2309" max="2309" width="9.1796875" style="1"/>
    <col min="2310" max="2310" width="10.1796875" style="1" customWidth="1"/>
    <col min="2311" max="2311" width="10.81640625" style="1" customWidth="1"/>
    <col min="2312" max="2312" width="11.1796875" style="1" customWidth="1"/>
    <col min="2313" max="2313" width="13.453125" style="1" customWidth="1"/>
    <col min="2314" max="2314" width="14.453125" style="1" customWidth="1"/>
    <col min="2315" max="2315" width="11.453125" style="1" customWidth="1"/>
    <col min="2316" max="2316" width="9.81640625" style="1" customWidth="1"/>
    <col min="2317" max="2317" width="7.81640625" style="1" customWidth="1"/>
    <col min="2318" max="2318" width="18.453125" style="1" customWidth="1"/>
    <col min="2319" max="2319" width="3.81640625" style="1" customWidth="1"/>
    <col min="2320" max="2320" width="14.1796875" style="1" customWidth="1"/>
    <col min="2321" max="2321" width="6.1796875" style="1" customWidth="1"/>
    <col min="2322" max="2322" width="12.81640625" style="1" bestFit="1" customWidth="1"/>
    <col min="2323" max="2323" width="21.1796875" style="1" bestFit="1" customWidth="1"/>
    <col min="2324" max="2324" width="14.1796875" style="1" bestFit="1" customWidth="1"/>
    <col min="2325" max="2325" width="12.1796875" style="1" bestFit="1" customWidth="1"/>
    <col min="2326" max="2560" width="9.1796875" style="1"/>
    <col min="2561" max="2561" width="4.81640625" style="1" customWidth="1"/>
    <col min="2562" max="2562" width="86.453125" style="1" customWidth="1"/>
    <col min="2563" max="2563" width="10.1796875" style="1" bestFit="1" customWidth="1"/>
    <col min="2564" max="2564" width="9.453125" style="1" customWidth="1"/>
    <col min="2565" max="2565" width="9.1796875" style="1"/>
    <col min="2566" max="2566" width="10.1796875" style="1" customWidth="1"/>
    <col min="2567" max="2567" width="10.81640625" style="1" customWidth="1"/>
    <col min="2568" max="2568" width="11.1796875" style="1" customWidth="1"/>
    <col min="2569" max="2569" width="13.453125" style="1" customWidth="1"/>
    <col min="2570" max="2570" width="14.453125" style="1" customWidth="1"/>
    <col min="2571" max="2571" width="11.453125" style="1" customWidth="1"/>
    <col min="2572" max="2572" width="9.81640625" style="1" customWidth="1"/>
    <col min="2573" max="2573" width="7.81640625" style="1" customWidth="1"/>
    <col min="2574" max="2574" width="18.453125" style="1" customWidth="1"/>
    <col min="2575" max="2575" width="3.81640625" style="1" customWidth="1"/>
    <col min="2576" max="2576" width="14.1796875" style="1" customWidth="1"/>
    <col min="2577" max="2577" width="6.1796875" style="1" customWidth="1"/>
    <col min="2578" max="2578" width="12.81640625" style="1" bestFit="1" customWidth="1"/>
    <col min="2579" max="2579" width="21.1796875" style="1" bestFit="1" customWidth="1"/>
    <col min="2580" max="2580" width="14.1796875" style="1" bestFit="1" customWidth="1"/>
    <col min="2581" max="2581" width="12.1796875" style="1" bestFit="1" customWidth="1"/>
    <col min="2582" max="2816" width="9.1796875" style="1"/>
    <col min="2817" max="2817" width="4.81640625" style="1" customWidth="1"/>
    <col min="2818" max="2818" width="86.453125" style="1" customWidth="1"/>
    <col min="2819" max="2819" width="10.1796875" style="1" bestFit="1" customWidth="1"/>
    <col min="2820" max="2820" width="9.453125" style="1" customWidth="1"/>
    <col min="2821" max="2821" width="9.1796875" style="1"/>
    <col min="2822" max="2822" width="10.1796875" style="1" customWidth="1"/>
    <col min="2823" max="2823" width="10.81640625" style="1" customWidth="1"/>
    <col min="2824" max="2824" width="11.1796875" style="1" customWidth="1"/>
    <col min="2825" max="2825" width="13.453125" style="1" customWidth="1"/>
    <col min="2826" max="2826" width="14.453125" style="1" customWidth="1"/>
    <col min="2827" max="2827" width="11.453125" style="1" customWidth="1"/>
    <col min="2828" max="2828" width="9.81640625" style="1" customWidth="1"/>
    <col min="2829" max="2829" width="7.81640625" style="1" customWidth="1"/>
    <col min="2830" max="2830" width="18.453125" style="1" customWidth="1"/>
    <col min="2831" max="2831" width="3.81640625" style="1" customWidth="1"/>
    <col min="2832" max="2832" width="14.1796875" style="1" customWidth="1"/>
    <col min="2833" max="2833" width="6.1796875" style="1" customWidth="1"/>
    <col min="2834" max="2834" width="12.81640625" style="1" bestFit="1" customWidth="1"/>
    <col min="2835" max="2835" width="21.1796875" style="1" bestFit="1" customWidth="1"/>
    <col min="2836" max="2836" width="14.1796875" style="1" bestFit="1" customWidth="1"/>
    <col min="2837" max="2837" width="12.1796875" style="1" bestFit="1" customWidth="1"/>
    <col min="2838" max="3072" width="9.1796875" style="1"/>
    <col min="3073" max="3073" width="4.81640625" style="1" customWidth="1"/>
    <col min="3074" max="3074" width="86.453125" style="1" customWidth="1"/>
    <col min="3075" max="3075" width="10.1796875" style="1" bestFit="1" customWidth="1"/>
    <col min="3076" max="3076" width="9.453125" style="1" customWidth="1"/>
    <col min="3077" max="3077" width="9.1796875" style="1"/>
    <col min="3078" max="3078" width="10.1796875" style="1" customWidth="1"/>
    <col min="3079" max="3079" width="10.81640625" style="1" customWidth="1"/>
    <col min="3080" max="3080" width="11.1796875" style="1" customWidth="1"/>
    <col min="3081" max="3081" width="13.453125" style="1" customWidth="1"/>
    <col min="3082" max="3082" width="14.453125" style="1" customWidth="1"/>
    <col min="3083" max="3083" width="11.453125" style="1" customWidth="1"/>
    <col min="3084" max="3084" width="9.81640625" style="1" customWidth="1"/>
    <col min="3085" max="3085" width="7.81640625" style="1" customWidth="1"/>
    <col min="3086" max="3086" width="18.453125" style="1" customWidth="1"/>
    <col min="3087" max="3087" width="3.81640625" style="1" customWidth="1"/>
    <col min="3088" max="3088" width="14.1796875" style="1" customWidth="1"/>
    <col min="3089" max="3089" width="6.1796875" style="1" customWidth="1"/>
    <col min="3090" max="3090" width="12.81640625" style="1" bestFit="1" customWidth="1"/>
    <col min="3091" max="3091" width="21.1796875" style="1" bestFit="1" customWidth="1"/>
    <col min="3092" max="3092" width="14.1796875" style="1" bestFit="1" customWidth="1"/>
    <col min="3093" max="3093" width="12.1796875" style="1" bestFit="1" customWidth="1"/>
    <col min="3094" max="3328" width="9.1796875" style="1"/>
    <col min="3329" max="3329" width="4.81640625" style="1" customWidth="1"/>
    <col min="3330" max="3330" width="86.453125" style="1" customWidth="1"/>
    <col min="3331" max="3331" width="10.1796875" style="1" bestFit="1" customWidth="1"/>
    <col min="3332" max="3332" width="9.453125" style="1" customWidth="1"/>
    <col min="3333" max="3333" width="9.1796875" style="1"/>
    <col min="3334" max="3334" width="10.1796875" style="1" customWidth="1"/>
    <col min="3335" max="3335" width="10.81640625" style="1" customWidth="1"/>
    <col min="3336" max="3336" width="11.1796875" style="1" customWidth="1"/>
    <col min="3337" max="3337" width="13.453125" style="1" customWidth="1"/>
    <col min="3338" max="3338" width="14.453125" style="1" customWidth="1"/>
    <col min="3339" max="3339" width="11.453125" style="1" customWidth="1"/>
    <col min="3340" max="3340" width="9.81640625" style="1" customWidth="1"/>
    <col min="3341" max="3341" width="7.81640625" style="1" customWidth="1"/>
    <col min="3342" max="3342" width="18.453125" style="1" customWidth="1"/>
    <col min="3343" max="3343" width="3.81640625" style="1" customWidth="1"/>
    <col min="3344" max="3344" width="14.1796875" style="1" customWidth="1"/>
    <col min="3345" max="3345" width="6.1796875" style="1" customWidth="1"/>
    <col min="3346" max="3346" width="12.81640625" style="1" bestFit="1" customWidth="1"/>
    <col min="3347" max="3347" width="21.1796875" style="1" bestFit="1" customWidth="1"/>
    <col min="3348" max="3348" width="14.1796875" style="1" bestFit="1" customWidth="1"/>
    <col min="3349" max="3349" width="12.1796875" style="1" bestFit="1" customWidth="1"/>
    <col min="3350" max="3584" width="9.1796875" style="1"/>
    <col min="3585" max="3585" width="4.81640625" style="1" customWidth="1"/>
    <col min="3586" max="3586" width="86.453125" style="1" customWidth="1"/>
    <col min="3587" max="3587" width="10.1796875" style="1" bestFit="1" customWidth="1"/>
    <col min="3588" max="3588" width="9.453125" style="1" customWidth="1"/>
    <col min="3589" max="3589" width="9.1796875" style="1"/>
    <col min="3590" max="3590" width="10.1796875" style="1" customWidth="1"/>
    <col min="3591" max="3591" width="10.81640625" style="1" customWidth="1"/>
    <col min="3592" max="3592" width="11.1796875" style="1" customWidth="1"/>
    <col min="3593" max="3593" width="13.453125" style="1" customWidth="1"/>
    <col min="3594" max="3594" width="14.453125" style="1" customWidth="1"/>
    <col min="3595" max="3595" width="11.453125" style="1" customWidth="1"/>
    <col min="3596" max="3596" width="9.81640625" style="1" customWidth="1"/>
    <col min="3597" max="3597" width="7.81640625" style="1" customWidth="1"/>
    <col min="3598" max="3598" width="18.453125" style="1" customWidth="1"/>
    <col min="3599" max="3599" width="3.81640625" style="1" customWidth="1"/>
    <col min="3600" max="3600" width="14.1796875" style="1" customWidth="1"/>
    <col min="3601" max="3601" width="6.1796875" style="1" customWidth="1"/>
    <col min="3602" max="3602" width="12.81640625" style="1" bestFit="1" customWidth="1"/>
    <col min="3603" max="3603" width="21.1796875" style="1" bestFit="1" customWidth="1"/>
    <col min="3604" max="3604" width="14.1796875" style="1" bestFit="1" customWidth="1"/>
    <col min="3605" max="3605" width="12.1796875" style="1" bestFit="1" customWidth="1"/>
    <col min="3606" max="3840" width="9.1796875" style="1"/>
    <col min="3841" max="3841" width="4.81640625" style="1" customWidth="1"/>
    <col min="3842" max="3842" width="86.453125" style="1" customWidth="1"/>
    <col min="3843" max="3843" width="10.1796875" style="1" bestFit="1" customWidth="1"/>
    <col min="3844" max="3844" width="9.453125" style="1" customWidth="1"/>
    <col min="3845" max="3845" width="9.1796875" style="1"/>
    <col min="3846" max="3846" width="10.1796875" style="1" customWidth="1"/>
    <col min="3847" max="3847" width="10.81640625" style="1" customWidth="1"/>
    <col min="3848" max="3848" width="11.1796875" style="1" customWidth="1"/>
    <col min="3849" max="3849" width="13.453125" style="1" customWidth="1"/>
    <col min="3850" max="3850" width="14.453125" style="1" customWidth="1"/>
    <col min="3851" max="3851" width="11.453125" style="1" customWidth="1"/>
    <col min="3852" max="3852" width="9.81640625" style="1" customWidth="1"/>
    <col min="3853" max="3853" width="7.81640625" style="1" customWidth="1"/>
    <col min="3854" max="3854" width="18.453125" style="1" customWidth="1"/>
    <col min="3855" max="3855" width="3.81640625" style="1" customWidth="1"/>
    <col min="3856" max="3856" width="14.1796875" style="1" customWidth="1"/>
    <col min="3857" max="3857" width="6.1796875" style="1" customWidth="1"/>
    <col min="3858" max="3858" width="12.81640625" style="1" bestFit="1" customWidth="1"/>
    <col min="3859" max="3859" width="21.1796875" style="1" bestFit="1" customWidth="1"/>
    <col min="3860" max="3860" width="14.1796875" style="1" bestFit="1" customWidth="1"/>
    <col min="3861" max="3861" width="12.1796875" style="1" bestFit="1" customWidth="1"/>
    <col min="3862" max="4096" width="9.1796875" style="1"/>
    <col min="4097" max="4097" width="4.81640625" style="1" customWidth="1"/>
    <col min="4098" max="4098" width="86.453125" style="1" customWidth="1"/>
    <col min="4099" max="4099" width="10.1796875" style="1" bestFit="1" customWidth="1"/>
    <col min="4100" max="4100" width="9.453125" style="1" customWidth="1"/>
    <col min="4101" max="4101" width="9.1796875" style="1"/>
    <col min="4102" max="4102" width="10.1796875" style="1" customWidth="1"/>
    <col min="4103" max="4103" width="10.81640625" style="1" customWidth="1"/>
    <col min="4104" max="4104" width="11.1796875" style="1" customWidth="1"/>
    <col min="4105" max="4105" width="13.453125" style="1" customWidth="1"/>
    <col min="4106" max="4106" width="14.453125" style="1" customWidth="1"/>
    <col min="4107" max="4107" width="11.453125" style="1" customWidth="1"/>
    <col min="4108" max="4108" width="9.81640625" style="1" customWidth="1"/>
    <col min="4109" max="4109" width="7.81640625" style="1" customWidth="1"/>
    <col min="4110" max="4110" width="18.453125" style="1" customWidth="1"/>
    <col min="4111" max="4111" width="3.81640625" style="1" customWidth="1"/>
    <col min="4112" max="4112" width="14.1796875" style="1" customWidth="1"/>
    <col min="4113" max="4113" width="6.1796875" style="1" customWidth="1"/>
    <col min="4114" max="4114" width="12.81640625" style="1" bestFit="1" customWidth="1"/>
    <col min="4115" max="4115" width="21.1796875" style="1" bestFit="1" customWidth="1"/>
    <col min="4116" max="4116" width="14.1796875" style="1" bestFit="1" customWidth="1"/>
    <col min="4117" max="4117" width="12.1796875" style="1" bestFit="1" customWidth="1"/>
    <col min="4118" max="4352" width="9.1796875" style="1"/>
    <col min="4353" max="4353" width="4.81640625" style="1" customWidth="1"/>
    <col min="4354" max="4354" width="86.453125" style="1" customWidth="1"/>
    <col min="4355" max="4355" width="10.1796875" style="1" bestFit="1" customWidth="1"/>
    <col min="4356" max="4356" width="9.453125" style="1" customWidth="1"/>
    <col min="4357" max="4357" width="9.1796875" style="1"/>
    <col min="4358" max="4358" width="10.1796875" style="1" customWidth="1"/>
    <col min="4359" max="4359" width="10.81640625" style="1" customWidth="1"/>
    <col min="4360" max="4360" width="11.1796875" style="1" customWidth="1"/>
    <col min="4361" max="4361" width="13.453125" style="1" customWidth="1"/>
    <col min="4362" max="4362" width="14.453125" style="1" customWidth="1"/>
    <col min="4363" max="4363" width="11.453125" style="1" customWidth="1"/>
    <col min="4364" max="4364" width="9.81640625" style="1" customWidth="1"/>
    <col min="4365" max="4365" width="7.81640625" style="1" customWidth="1"/>
    <col min="4366" max="4366" width="18.453125" style="1" customWidth="1"/>
    <col min="4367" max="4367" width="3.81640625" style="1" customWidth="1"/>
    <col min="4368" max="4368" width="14.1796875" style="1" customWidth="1"/>
    <col min="4369" max="4369" width="6.1796875" style="1" customWidth="1"/>
    <col min="4370" max="4370" width="12.81640625" style="1" bestFit="1" customWidth="1"/>
    <col min="4371" max="4371" width="21.1796875" style="1" bestFit="1" customWidth="1"/>
    <col min="4372" max="4372" width="14.1796875" style="1" bestFit="1" customWidth="1"/>
    <col min="4373" max="4373" width="12.1796875" style="1" bestFit="1" customWidth="1"/>
    <col min="4374" max="4608" width="9.1796875" style="1"/>
    <col min="4609" max="4609" width="4.81640625" style="1" customWidth="1"/>
    <col min="4610" max="4610" width="86.453125" style="1" customWidth="1"/>
    <col min="4611" max="4611" width="10.1796875" style="1" bestFit="1" customWidth="1"/>
    <col min="4612" max="4612" width="9.453125" style="1" customWidth="1"/>
    <col min="4613" max="4613" width="9.1796875" style="1"/>
    <col min="4614" max="4614" width="10.1796875" style="1" customWidth="1"/>
    <col min="4615" max="4615" width="10.81640625" style="1" customWidth="1"/>
    <col min="4616" max="4616" width="11.1796875" style="1" customWidth="1"/>
    <col min="4617" max="4617" width="13.453125" style="1" customWidth="1"/>
    <col min="4618" max="4618" width="14.453125" style="1" customWidth="1"/>
    <col min="4619" max="4619" width="11.453125" style="1" customWidth="1"/>
    <col min="4620" max="4620" width="9.81640625" style="1" customWidth="1"/>
    <col min="4621" max="4621" width="7.81640625" style="1" customWidth="1"/>
    <col min="4622" max="4622" width="18.453125" style="1" customWidth="1"/>
    <col min="4623" max="4623" width="3.81640625" style="1" customWidth="1"/>
    <col min="4624" max="4624" width="14.1796875" style="1" customWidth="1"/>
    <col min="4625" max="4625" width="6.1796875" style="1" customWidth="1"/>
    <col min="4626" max="4626" width="12.81640625" style="1" bestFit="1" customWidth="1"/>
    <col min="4627" max="4627" width="21.1796875" style="1" bestFit="1" customWidth="1"/>
    <col min="4628" max="4628" width="14.1796875" style="1" bestFit="1" customWidth="1"/>
    <col min="4629" max="4629" width="12.1796875" style="1" bestFit="1" customWidth="1"/>
    <col min="4630" max="4864" width="9.1796875" style="1"/>
    <col min="4865" max="4865" width="4.81640625" style="1" customWidth="1"/>
    <col min="4866" max="4866" width="86.453125" style="1" customWidth="1"/>
    <col min="4867" max="4867" width="10.1796875" style="1" bestFit="1" customWidth="1"/>
    <col min="4868" max="4868" width="9.453125" style="1" customWidth="1"/>
    <col min="4869" max="4869" width="9.1796875" style="1"/>
    <col min="4870" max="4870" width="10.1796875" style="1" customWidth="1"/>
    <col min="4871" max="4871" width="10.81640625" style="1" customWidth="1"/>
    <col min="4872" max="4872" width="11.1796875" style="1" customWidth="1"/>
    <col min="4873" max="4873" width="13.453125" style="1" customWidth="1"/>
    <col min="4874" max="4874" width="14.453125" style="1" customWidth="1"/>
    <col min="4875" max="4875" width="11.453125" style="1" customWidth="1"/>
    <col min="4876" max="4876" width="9.81640625" style="1" customWidth="1"/>
    <col min="4877" max="4877" width="7.81640625" style="1" customWidth="1"/>
    <col min="4878" max="4878" width="18.453125" style="1" customWidth="1"/>
    <col min="4879" max="4879" width="3.81640625" style="1" customWidth="1"/>
    <col min="4880" max="4880" width="14.1796875" style="1" customWidth="1"/>
    <col min="4881" max="4881" width="6.1796875" style="1" customWidth="1"/>
    <col min="4882" max="4882" width="12.81640625" style="1" bestFit="1" customWidth="1"/>
    <col min="4883" max="4883" width="21.1796875" style="1" bestFit="1" customWidth="1"/>
    <col min="4884" max="4884" width="14.1796875" style="1" bestFit="1" customWidth="1"/>
    <col min="4885" max="4885" width="12.1796875" style="1" bestFit="1" customWidth="1"/>
    <col min="4886" max="5120" width="9.1796875" style="1"/>
    <col min="5121" max="5121" width="4.81640625" style="1" customWidth="1"/>
    <col min="5122" max="5122" width="86.453125" style="1" customWidth="1"/>
    <col min="5123" max="5123" width="10.1796875" style="1" bestFit="1" customWidth="1"/>
    <col min="5124" max="5124" width="9.453125" style="1" customWidth="1"/>
    <col min="5125" max="5125" width="9.1796875" style="1"/>
    <col min="5126" max="5126" width="10.1796875" style="1" customWidth="1"/>
    <col min="5127" max="5127" width="10.81640625" style="1" customWidth="1"/>
    <col min="5128" max="5128" width="11.1796875" style="1" customWidth="1"/>
    <col min="5129" max="5129" width="13.453125" style="1" customWidth="1"/>
    <col min="5130" max="5130" width="14.453125" style="1" customWidth="1"/>
    <col min="5131" max="5131" width="11.453125" style="1" customWidth="1"/>
    <col min="5132" max="5132" width="9.81640625" style="1" customWidth="1"/>
    <col min="5133" max="5133" width="7.81640625" style="1" customWidth="1"/>
    <col min="5134" max="5134" width="18.453125" style="1" customWidth="1"/>
    <col min="5135" max="5135" width="3.81640625" style="1" customWidth="1"/>
    <col min="5136" max="5136" width="14.1796875" style="1" customWidth="1"/>
    <col min="5137" max="5137" width="6.1796875" style="1" customWidth="1"/>
    <col min="5138" max="5138" width="12.81640625" style="1" bestFit="1" customWidth="1"/>
    <col min="5139" max="5139" width="21.1796875" style="1" bestFit="1" customWidth="1"/>
    <col min="5140" max="5140" width="14.1796875" style="1" bestFit="1" customWidth="1"/>
    <col min="5141" max="5141" width="12.1796875" style="1" bestFit="1" customWidth="1"/>
    <col min="5142" max="5376" width="9.1796875" style="1"/>
    <col min="5377" max="5377" width="4.81640625" style="1" customWidth="1"/>
    <col min="5378" max="5378" width="86.453125" style="1" customWidth="1"/>
    <col min="5379" max="5379" width="10.1796875" style="1" bestFit="1" customWidth="1"/>
    <col min="5380" max="5380" width="9.453125" style="1" customWidth="1"/>
    <col min="5381" max="5381" width="9.1796875" style="1"/>
    <col min="5382" max="5382" width="10.1796875" style="1" customWidth="1"/>
    <col min="5383" max="5383" width="10.81640625" style="1" customWidth="1"/>
    <col min="5384" max="5384" width="11.1796875" style="1" customWidth="1"/>
    <col min="5385" max="5385" width="13.453125" style="1" customWidth="1"/>
    <col min="5386" max="5386" width="14.453125" style="1" customWidth="1"/>
    <col min="5387" max="5387" width="11.453125" style="1" customWidth="1"/>
    <col min="5388" max="5388" width="9.81640625" style="1" customWidth="1"/>
    <col min="5389" max="5389" width="7.81640625" style="1" customWidth="1"/>
    <col min="5390" max="5390" width="18.453125" style="1" customWidth="1"/>
    <col min="5391" max="5391" width="3.81640625" style="1" customWidth="1"/>
    <col min="5392" max="5392" width="14.1796875" style="1" customWidth="1"/>
    <col min="5393" max="5393" width="6.1796875" style="1" customWidth="1"/>
    <col min="5394" max="5394" width="12.81640625" style="1" bestFit="1" customWidth="1"/>
    <col min="5395" max="5395" width="21.1796875" style="1" bestFit="1" customWidth="1"/>
    <col min="5396" max="5396" width="14.1796875" style="1" bestFit="1" customWidth="1"/>
    <col min="5397" max="5397" width="12.1796875" style="1" bestFit="1" customWidth="1"/>
    <col min="5398" max="5632" width="9.1796875" style="1"/>
    <col min="5633" max="5633" width="4.81640625" style="1" customWidth="1"/>
    <col min="5634" max="5634" width="86.453125" style="1" customWidth="1"/>
    <col min="5635" max="5635" width="10.1796875" style="1" bestFit="1" customWidth="1"/>
    <col min="5636" max="5636" width="9.453125" style="1" customWidth="1"/>
    <col min="5637" max="5637" width="9.1796875" style="1"/>
    <col min="5638" max="5638" width="10.1796875" style="1" customWidth="1"/>
    <col min="5639" max="5639" width="10.81640625" style="1" customWidth="1"/>
    <col min="5640" max="5640" width="11.1796875" style="1" customWidth="1"/>
    <col min="5641" max="5641" width="13.453125" style="1" customWidth="1"/>
    <col min="5642" max="5642" width="14.453125" style="1" customWidth="1"/>
    <col min="5643" max="5643" width="11.453125" style="1" customWidth="1"/>
    <col min="5644" max="5644" width="9.81640625" style="1" customWidth="1"/>
    <col min="5645" max="5645" width="7.81640625" style="1" customWidth="1"/>
    <col min="5646" max="5646" width="18.453125" style="1" customWidth="1"/>
    <col min="5647" max="5647" width="3.81640625" style="1" customWidth="1"/>
    <col min="5648" max="5648" width="14.1796875" style="1" customWidth="1"/>
    <col min="5649" max="5649" width="6.1796875" style="1" customWidth="1"/>
    <col min="5650" max="5650" width="12.81640625" style="1" bestFit="1" customWidth="1"/>
    <col min="5651" max="5651" width="21.1796875" style="1" bestFit="1" customWidth="1"/>
    <col min="5652" max="5652" width="14.1796875" style="1" bestFit="1" customWidth="1"/>
    <col min="5653" max="5653" width="12.1796875" style="1" bestFit="1" customWidth="1"/>
    <col min="5654" max="5888" width="9.1796875" style="1"/>
    <col min="5889" max="5889" width="4.81640625" style="1" customWidth="1"/>
    <col min="5890" max="5890" width="86.453125" style="1" customWidth="1"/>
    <col min="5891" max="5891" width="10.1796875" style="1" bestFit="1" customWidth="1"/>
    <col min="5892" max="5892" width="9.453125" style="1" customWidth="1"/>
    <col min="5893" max="5893" width="9.1796875" style="1"/>
    <col min="5894" max="5894" width="10.1796875" style="1" customWidth="1"/>
    <col min="5895" max="5895" width="10.81640625" style="1" customWidth="1"/>
    <col min="5896" max="5896" width="11.1796875" style="1" customWidth="1"/>
    <col min="5897" max="5897" width="13.453125" style="1" customWidth="1"/>
    <col min="5898" max="5898" width="14.453125" style="1" customWidth="1"/>
    <col min="5899" max="5899" width="11.453125" style="1" customWidth="1"/>
    <col min="5900" max="5900" width="9.81640625" style="1" customWidth="1"/>
    <col min="5901" max="5901" width="7.81640625" style="1" customWidth="1"/>
    <col min="5902" max="5902" width="18.453125" style="1" customWidth="1"/>
    <col min="5903" max="5903" width="3.81640625" style="1" customWidth="1"/>
    <col min="5904" max="5904" width="14.1796875" style="1" customWidth="1"/>
    <col min="5905" max="5905" width="6.1796875" style="1" customWidth="1"/>
    <col min="5906" max="5906" width="12.81640625" style="1" bestFit="1" customWidth="1"/>
    <col min="5907" max="5907" width="21.1796875" style="1" bestFit="1" customWidth="1"/>
    <col min="5908" max="5908" width="14.1796875" style="1" bestFit="1" customWidth="1"/>
    <col min="5909" max="5909" width="12.1796875" style="1" bestFit="1" customWidth="1"/>
    <col min="5910" max="6144" width="9.1796875" style="1"/>
    <col min="6145" max="6145" width="4.81640625" style="1" customWidth="1"/>
    <col min="6146" max="6146" width="86.453125" style="1" customWidth="1"/>
    <col min="6147" max="6147" width="10.1796875" style="1" bestFit="1" customWidth="1"/>
    <col min="6148" max="6148" width="9.453125" style="1" customWidth="1"/>
    <col min="6149" max="6149" width="9.1796875" style="1"/>
    <col min="6150" max="6150" width="10.1796875" style="1" customWidth="1"/>
    <col min="6151" max="6151" width="10.81640625" style="1" customWidth="1"/>
    <col min="6152" max="6152" width="11.1796875" style="1" customWidth="1"/>
    <col min="6153" max="6153" width="13.453125" style="1" customWidth="1"/>
    <col min="6154" max="6154" width="14.453125" style="1" customWidth="1"/>
    <col min="6155" max="6155" width="11.453125" style="1" customWidth="1"/>
    <col min="6156" max="6156" width="9.81640625" style="1" customWidth="1"/>
    <col min="6157" max="6157" width="7.81640625" style="1" customWidth="1"/>
    <col min="6158" max="6158" width="18.453125" style="1" customWidth="1"/>
    <col min="6159" max="6159" width="3.81640625" style="1" customWidth="1"/>
    <col min="6160" max="6160" width="14.1796875" style="1" customWidth="1"/>
    <col min="6161" max="6161" width="6.1796875" style="1" customWidth="1"/>
    <col min="6162" max="6162" width="12.81640625" style="1" bestFit="1" customWidth="1"/>
    <col min="6163" max="6163" width="21.1796875" style="1" bestFit="1" customWidth="1"/>
    <col min="6164" max="6164" width="14.1796875" style="1" bestFit="1" customWidth="1"/>
    <col min="6165" max="6165" width="12.1796875" style="1" bestFit="1" customWidth="1"/>
    <col min="6166" max="6400" width="9.1796875" style="1"/>
    <col min="6401" max="6401" width="4.81640625" style="1" customWidth="1"/>
    <col min="6402" max="6402" width="86.453125" style="1" customWidth="1"/>
    <col min="6403" max="6403" width="10.1796875" style="1" bestFit="1" customWidth="1"/>
    <col min="6404" max="6404" width="9.453125" style="1" customWidth="1"/>
    <col min="6405" max="6405" width="9.1796875" style="1"/>
    <col min="6406" max="6406" width="10.1796875" style="1" customWidth="1"/>
    <col min="6407" max="6407" width="10.81640625" style="1" customWidth="1"/>
    <col min="6408" max="6408" width="11.1796875" style="1" customWidth="1"/>
    <col min="6409" max="6409" width="13.453125" style="1" customWidth="1"/>
    <col min="6410" max="6410" width="14.453125" style="1" customWidth="1"/>
    <col min="6411" max="6411" width="11.453125" style="1" customWidth="1"/>
    <col min="6412" max="6412" width="9.81640625" style="1" customWidth="1"/>
    <col min="6413" max="6413" width="7.81640625" style="1" customWidth="1"/>
    <col min="6414" max="6414" width="18.453125" style="1" customWidth="1"/>
    <col min="6415" max="6415" width="3.81640625" style="1" customWidth="1"/>
    <col min="6416" max="6416" width="14.1796875" style="1" customWidth="1"/>
    <col min="6417" max="6417" width="6.1796875" style="1" customWidth="1"/>
    <col min="6418" max="6418" width="12.81640625" style="1" bestFit="1" customWidth="1"/>
    <col min="6419" max="6419" width="21.1796875" style="1" bestFit="1" customWidth="1"/>
    <col min="6420" max="6420" width="14.1796875" style="1" bestFit="1" customWidth="1"/>
    <col min="6421" max="6421" width="12.1796875" style="1" bestFit="1" customWidth="1"/>
    <col min="6422" max="6656" width="9.1796875" style="1"/>
    <col min="6657" max="6657" width="4.81640625" style="1" customWidth="1"/>
    <col min="6658" max="6658" width="86.453125" style="1" customWidth="1"/>
    <col min="6659" max="6659" width="10.1796875" style="1" bestFit="1" customWidth="1"/>
    <col min="6660" max="6660" width="9.453125" style="1" customWidth="1"/>
    <col min="6661" max="6661" width="9.1796875" style="1"/>
    <col min="6662" max="6662" width="10.1796875" style="1" customWidth="1"/>
    <col min="6663" max="6663" width="10.81640625" style="1" customWidth="1"/>
    <col min="6664" max="6664" width="11.1796875" style="1" customWidth="1"/>
    <col min="6665" max="6665" width="13.453125" style="1" customWidth="1"/>
    <col min="6666" max="6666" width="14.453125" style="1" customWidth="1"/>
    <col min="6667" max="6667" width="11.453125" style="1" customWidth="1"/>
    <col min="6668" max="6668" width="9.81640625" style="1" customWidth="1"/>
    <col min="6669" max="6669" width="7.81640625" style="1" customWidth="1"/>
    <col min="6670" max="6670" width="18.453125" style="1" customWidth="1"/>
    <col min="6671" max="6671" width="3.81640625" style="1" customWidth="1"/>
    <col min="6672" max="6672" width="14.1796875" style="1" customWidth="1"/>
    <col min="6673" max="6673" width="6.1796875" style="1" customWidth="1"/>
    <col min="6674" max="6674" width="12.81640625" style="1" bestFit="1" customWidth="1"/>
    <col min="6675" max="6675" width="21.1796875" style="1" bestFit="1" customWidth="1"/>
    <col min="6676" max="6676" width="14.1796875" style="1" bestFit="1" customWidth="1"/>
    <col min="6677" max="6677" width="12.1796875" style="1" bestFit="1" customWidth="1"/>
    <col min="6678" max="6912" width="9.1796875" style="1"/>
    <col min="6913" max="6913" width="4.81640625" style="1" customWidth="1"/>
    <col min="6914" max="6914" width="86.453125" style="1" customWidth="1"/>
    <col min="6915" max="6915" width="10.1796875" style="1" bestFit="1" customWidth="1"/>
    <col min="6916" max="6916" width="9.453125" style="1" customWidth="1"/>
    <col min="6917" max="6917" width="9.1796875" style="1"/>
    <col min="6918" max="6918" width="10.1796875" style="1" customWidth="1"/>
    <col min="6919" max="6919" width="10.81640625" style="1" customWidth="1"/>
    <col min="6920" max="6920" width="11.1796875" style="1" customWidth="1"/>
    <col min="6921" max="6921" width="13.453125" style="1" customWidth="1"/>
    <col min="6922" max="6922" width="14.453125" style="1" customWidth="1"/>
    <col min="6923" max="6923" width="11.453125" style="1" customWidth="1"/>
    <col min="6924" max="6924" width="9.81640625" style="1" customWidth="1"/>
    <col min="6925" max="6925" width="7.81640625" style="1" customWidth="1"/>
    <col min="6926" max="6926" width="18.453125" style="1" customWidth="1"/>
    <col min="6927" max="6927" width="3.81640625" style="1" customWidth="1"/>
    <col min="6928" max="6928" width="14.1796875" style="1" customWidth="1"/>
    <col min="6929" max="6929" width="6.1796875" style="1" customWidth="1"/>
    <col min="6930" max="6930" width="12.81640625" style="1" bestFit="1" customWidth="1"/>
    <col min="6931" max="6931" width="21.1796875" style="1" bestFit="1" customWidth="1"/>
    <col min="6932" max="6932" width="14.1796875" style="1" bestFit="1" customWidth="1"/>
    <col min="6933" max="6933" width="12.1796875" style="1" bestFit="1" customWidth="1"/>
    <col min="6934" max="7168" width="9.1796875" style="1"/>
    <col min="7169" max="7169" width="4.81640625" style="1" customWidth="1"/>
    <col min="7170" max="7170" width="86.453125" style="1" customWidth="1"/>
    <col min="7171" max="7171" width="10.1796875" style="1" bestFit="1" customWidth="1"/>
    <col min="7172" max="7172" width="9.453125" style="1" customWidth="1"/>
    <col min="7173" max="7173" width="9.1796875" style="1"/>
    <col min="7174" max="7174" width="10.1796875" style="1" customWidth="1"/>
    <col min="7175" max="7175" width="10.81640625" style="1" customWidth="1"/>
    <col min="7176" max="7176" width="11.1796875" style="1" customWidth="1"/>
    <col min="7177" max="7177" width="13.453125" style="1" customWidth="1"/>
    <col min="7178" max="7178" width="14.453125" style="1" customWidth="1"/>
    <col min="7179" max="7179" width="11.453125" style="1" customWidth="1"/>
    <col min="7180" max="7180" width="9.81640625" style="1" customWidth="1"/>
    <col min="7181" max="7181" width="7.81640625" style="1" customWidth="1"/>
    <col min="7182" max="7182" width="18.453125" style="1" customWidth="1"/>
    <col min="7183" max="7183" width="3.81640625" style="1" customWidth="1"/>
    <col min="7184" max="7184" width="14.1796875" style="1" customWidth="1"/>
    <col min="7185" max="7185" width="6.1796875" style="1" customWidth="1"/>
    <col min="7186" max="7186" width="12.81640625" style="1" bestFit="1" customWidth="1"/>
    <col min="7187" max="7187" width="21.1796875" style="1" bestFit="1" customWidth="1"/>
    <col min="7188" max="7188" width="14.1796875" style="1" bestFit="1" customWidth="1"/>
    <col min="7189" max="7189" width="12.1796875" style="1" bestFit="1" customWidth="1"/>
    <col min="7190" max="7424" width="9.1796875" style="1"/>
    <col min="7425" max="7425" width="4.81640625" style="1" customWidth="1"/>
    <col min="7426" max="7426" width="86.453125" style="1" customWidth="1"/>
    <col min="7427" max="7427" width="10.1796875" style="1" bestFit="1" customWidth="1"/>
    <col min="7428" max="7428" width="9.453125" style="1" customWidth="1"/>
    <col min="7429" max="7429" width="9.1796875" style="1"/>
    <col min="7430" max="7430" width="10.1796875" style="1" customWidth="1"/>
    <col min="7431" max="7431" width="10.81640625" style="1" customWidth="1"/>
    <col min="7432" max="7432" width="11.1796875" style="1" customWidth="1"/>
    <col min="7433" max="7433" width="13.453125" style="1" customWidth="1"/>
    <col min="7434" max="7434" width="14.453125" style="1" customWidth="1"/>
    <col min="7435" max="7435" width="11.453125" style="1" customWidth="1"/>
    <col min="7436" max="7436" width="9.81640625" style="1" customWidth="1"/>
    <col min="7437" max="7437" width="7.81640625" style="1" customWidth="1"/>
    <col min="7438" max="7438" width="18.453125" style="1" customWidth="1"/>
    <col min="7439" max="7439" width="3.81640625" style="1" customWidth="1"/>
    <col min="7440" max="7440" width="14.1796875" style="1" customWidth="1"/>
    <col min="7441" max="7441" width="6.1796875" style="1" customWidth="1"/>
    <col min="7442" max="7442" width="12.81640625" style="1" bestFit="1" customWidth="1"/>
    <col min="7443" max="7443" width="21.1796875" style="1" bestFit="1" customWidth="1"/>
    <col min="7444" max="7444" width="14.1796875" style="1" bestFit="1" customWidth="1"/>
    <col min="7445" max="7445" width="12.1796875" style="1" bestFit="1" customWidth="1"/>
    <col min="7446" max="7680" width="9.1796875" style="1"/>
    <col min="7681" max="7681" width="4.81640625" style="1" customWidth="1"/>
    <col min="7682" max="7682" width="86.453125" style="1" customWidth="1"/>
    <col min="7683" max="7683" width="10.1796875" style="1" bestFit="1" customWidth="1"/>
    <col min="7684" max="7684" width="9.453125" style="1" customWidth="1"/>
    <col min="7685" max="7685" width="9.1796875" style="1"/>
    <col min="7686" max="7686" width="10.1796875" style="1" customWidth="1"/>
    <col min="7687" max="7687" width="10.81640625" style="1" customWidth="1"/>
    <col min="7688" max="7688" width="11.1796875" style="1" customWidth="1"/>
    <col min="7689" max="7689" width="13.453125" style="1" customWidth="1"/>
    <col min="7690" max="7690" width="14.453125" style="1" customWidth="1"/>
    <col min="7691" max="7691" width="11.453125" style="1" customWidth="1"/>
    <col min="7692" max="7692" width="9.81640625" style="1" customWidth="1"/>
    <col min="7693" max="7693" width="7.81640625" style="1" customWidth="1"/>
    <col min="7694" max="7694" width="18.453125" style="1" customWidth="1"/>
    <col min="7695" max="7695" width="3.81640625" style="1" customWidth="1"/>
    <col min="7696" max="7696" width="14.1796875" style="1" customWidth="1"/>
    <col min="7697" max="7697" width="6.1796875" style="1" customWidth="1"/>
    <col min="7698" max="7698" width="12.81640625" style="1" bestFit="1" customWidth="1"/>
    <col min="7699" max="7699" width="21.1796875" style="1" bestFit="1" customWidth="1"/>
    <col min="7700" max="7700" width="14.1796875" style="1" bestFit="1" customWidth="1"/>
    <col min="7701" max="7701" width="12.1796875" style="1" bestFit="1" customWidth="1"/>
    <col min="7702" max="7936" width="9.1796875" style="1"/>
    <col min="7937" max="7937" width="4.81640625" style="1" customWidth="1"/>
    <col min="7938" max="7938" width="86.453125" style="1" customWidth="1"/>
    <col min="7939" max="7939" width="10.1796875" style="1" bestFit="1" customWidth="1"/>
    <col min="7940" max="7940" width="9.453125" style="1" customWidth="1"/>
    <col min="7941" max="7941" width="9.1796875" style="1"/>
    <col min="7942" max="7942" width="10.1796875" style="1" customWidth="1"/>
    <col min="7943" max="7943" width="10.81640625" style="1" customWidth="1"/>
    <col min="7944" max="7944" width="11.1796875" style="1" customWidth="1"/>
    <col min="7945" max="7945" width="13.453125" style="1" customWidth="1"/>
    <col min="7946" max="7946" width="14.453125" style="1" customWidth="1"/>
    <col min="7947" max="7947" width="11.453125" style="1" customWidth="1"/>
    <col min="7948" max="7948" width="9.81640625" style="1" customWidth="1"/>
    <col min="7949" max="7949" width="7.81640625" style="1" customWidth="1"/>
    <col min="7950" max="7950" width="18.453125" style="1" customWidth="1"/>
    <col min="7951" max="7951" width="3.81640625" style="1" customWidth="1"/>
    <col min="7952" max="7952" width="14.1796875" style="1" customWidth="1"/>
    <col min="7953" max="7953" width="6.1796875" style="1" customWidth="1"/>
    <col min="7954" max="7954" width="12.81640625" style="1" bestFit="1" customWidth="1"/>
    <col min="7955" max="7955" width="21.1796875" style="1" bestFit="1" customWidth="1"/>
    <col min="7956" max="7956" width="14.1796875" style="1" bestFit="1" customWidth="1"/>
    <col min="7957" max="7957" width="12.1796875" style="1" bestFit="1" customWidth="1"/>
    <col min="7958" max="8192" width="9.1796875" style="1"/>
    <col min="8193" max="8193" width="4.81640625" style="1" customWidth="1"/>
    <col min="8194" max="8194" width="86.453125" style="1" customWidth="1"/>
    <col min="8195" max="8195" width="10.1796875" style="1" bestFit="1" customWidth="1"/>
    <col min="8196" max="8196" width="9.453125" style="1" customWidth="1"/>
    <col min="8197" max="8197" width="9.1796875" style="1"/>
    <col min="8198" max="8198" width="10.1796875" style="1" customWidth="1"/>
    <col min="8199" max="8199" width="10.81640625" style="1" customWidth="1"/>
    <col min="8200" max="8200" width="11.1796875" style="1" customWidth="1"/>
    <col min="8201" max="8201" width="13.453125" style="1" customWidth="1"/>
    <col min="8202" max="8202" width="14.453125" style="1" customWidth="1"/>
    <col min="8203" max="8203" width="11.453125" style="1" customWidth="1"/>
    <col min="8204" max="8204" width="9.81640625" style="1" customWidth="1"/>
    <col min="8205" max="8205" width="7.81640625" style="1" customWidth="1"/>
    <col min="8206" max="8206" width="18.453125" style="1" customWidth="1"/>
    <col min="8207" max="8207" width="3.81640625" style="1" customWidth="1"/>
    <col min="8208" max="8208" width="14.1796875" style="1" customWidth="1"/>
    <col min="8209" max="8209" width="6.1796875" style="1" customWidth="1"/>
    <col min="8210" max="8210" width="12.81640625" style="1" bestFit="1" customWidth="1"/>
    <col min="8211" max="8211" width="21.1796875" style="1" bestFit="1" customWidth="1"/>
    <col min="8212" max="8212" width="14.1796875" style="1" bestFit="1" customWidth="1"/>
    <col min="8213" max="8213" width="12.1796875" style="1" bestFit="1" customWidth="1"/>
    <col min="8214" max="8448" width="9.1796875" style="1"/>
    <col min="8449" max="8449" width="4.81640625" style="1" customWidth="1"/>
    <col min="8450" max="8450" width="86.453125" style="1" customWidth="1"/>
    <col min="8451" max="8451" width="10.1796875" style="1" bestFit="1" customWidth="1"/>
    <col min="8452" max="8452" width="9.453125" style="1" customWidth="1"/>
    <col min="8453" max="8453" width="9.1796875" style="1"/>
    <col min="8454" max="8454" width="10.1796875" style="1" customWidth="1"/>
    <col min="8455" max="8455" width="10.81640625" style="1" customWidth="1"/>
    <col min="8456" max="8456" width="11.1796875" style="1" customWidth="1"/>
    <col min="8457" max="8457" width="13.453125" style="1" customWidth="1"/>
    <col min="8458" max="8458" width="14.453125" style="1" customWidth="1"/>
    <col min="8459" max="8459" width="11.453125" style="1" customWidth="1"/>
    <col min="8460" max="8460" width="9.81640625" style="1" customWidth="1"/>
    <col min="8461" max="8461" width="7.81640625" style="1" customWidth="1"/>
    <col min="8462" max="8462" width="18.453125" style="1" customWidth="1"/>
    <col min="8463" max="8463" width="3.81640625" style="1" customWidth="1"/>
    <col min="8464" max="8464" width="14.1796875" style="1" customWidth="1"/>
    <col min="8465" max="8465" width="6.1796875" style="1" customWidth="1"/>
    <col min="8466" max="8466" width="12.81640625" style="1" bestFit="1" customWidth="1"/>
    <col min="8467" max="8467" width="21.1796875" style="1" bestFit="1" customWidth="1"/>
    <col min="8468" max="8468" width="14.1796875" style="1" bestFit="1" customWidth="1"/>
    <col min="8469" max="8469" width="12.1796875" style="1" bestFit="1" customWidth="1"/>
    <col min="8470" max="8704" width="9.1796875" style="1"/>
    <col min="8705" max="8705" width="4.81640625" style="1" customWidth="1"/>
    <col min="8706" max="8706" width="86.453125" style="1" customWidth="1"/>
    <col min="8707" max="8707" width="10.1796875" style="1" bestFit="1" customWidth="1"/>
    <col min="8708" max="8708" width="9.453125" style="1" customWidth="1"/>
    <col min="8709" max="8709" width="9.1796875" style="1"/>
    <col min="8710" max="8710" width="10.1796875" style="1" customWidth="1"/>
    <col min="8711" max="8711" width="10.81640625" style="1" customWidth="1"/>
    <col min="8712" max="8712" width="11.1796875" style="1" customWidth="1"/>
    <col min="8713" max="8713" width="13.453125" style="1" customWidth="1"/>
    <col min="8714" max="8714" width="14.453125" style="1" customWidth="1"/>
    <col min="8715" max="8715" width="11.453125" style="1" customWidth="1"/>
    <col min="8716" max="8716" width="9.81640625" style="1" customWidth="1"/>
    <col min="8717" max="8717" width="7.81640625" style="1" customWidth="1"/>
    <col min="8718" max="8718" width="18.453125" style="1" customWidth="1"/>
    <col min="8719" max="8719" width="3.81640625" style="1" customWidth="1"/>
    <col min="8720" max="8720" width="14.1796875" style="1" customWidth="1"/>
    <col min="8721" max="8721" width="6.1796875" style="1" customWidth="1"/>
    <col min="8722" max="8722" width="12.81640625" style="1" bestFit="1" customWidth="1"/>
    <col min="8723" max="8723" width="21.1796875" style="1" bestFit="1" customWidth="1"/>
    <col min="8724" max="8724" width="14.1796875" style="1" bestFit="1" customWidth="1"/>
    <col min="8725" max="8725" width="12.1796875" style="1" bestFit="1" customWidth="1"/>
    <col min="8726" max="8960" width="9.1796875" style="1"/>
    <col min="8961" max="8961" width="4.81640625" style="1" customWidth="1"/>
    <col min="8962" max="8962" width="86.453125" style="1" customWidth="1"/>
    <col min="8963" max="8963" width="10.1796875" style="1" bestFit="1" customWidth="1"/>
    <col min="8964" max="8964" width="9.453125" style="1" customWidth="1"/>
    <col min="8965" max="8965" width="9.1796875" style="1"/>
    <col min="8966" max="8966" width="10.1796875" style="1" customWidth="1"/>
    <col min="8967" max="8967" width="10.81640625" style="1" customWidth="1"/>
    <col min="8968" max="8968" width="11.1796875" style="1" customWidth="1"/>
    <col min="8969" max="8969" width="13.453125" style="1" customWidth="1"/>
    <col min="8970" max="8970" width="14.453125" style="1" customWidth="1"/>
    <col min="8971" max="8971" width="11.453125" style="1" customWidth="1"/>
    <col min="8972" max="8972" width="9.81640625" style="1" customWidth="1"/>
    <col min="8973" max="8973" width="7.81640625" style="1" customWidth="1"/>
    <col min="8974" max="8974" width="18.453125" style="1" customWidth="1"/>
    <col min="8975" max="8975" width="3.81640625" style="1" customWidth="1"/>
    <col min="8976" max="8976" width="14.1796875" style="1" customWidth="1"/>
    <col min="8977" max="8977" width="6.1796875" style="1" customWidth="1"/>
    <col min="8978" max="8978" width="12.81640625" style="1" bestFit="1" customWidth="1"/>
    <col min="8979" max="8979" width="21.1796875" style="1" bestFit="1" customWidth="1"/>
    <col min="8980" max="8980" width="14.1796875" style="1" bestFit="1" customWidth="1"/>
    <col min="8981" max="8981" width="12.1796875" style="1" bestFit="1" customWidth="1"/>
    <col min="8982" max="9216" width="9.1796875" style="1"/>
    <col min="9217" max="9217" width="4.81640625" style="1" customWidth="1"/>
    <col min="9218" max="9218" width="86.453125" style="1" customWidth="1"/>
    <col min="9219" max="9219" width="10.1796875" style="1" bestFit="1" customWidth="1"/>
    <col min="9220" max="9220" width="9.453125" style="1" customWidth="1"/>
    <col min="9221" max="9221" width="9.1796875" style="1"/>
    <col min="9222" max="9222" width="10.1796875" style="1" customWidth="1"/>
    <col min="9223" max="9223" width="10.81640625" style="1" customWidth="1"/>
    <col min="9224" max="9224" width="11.1796875" style="1" customWidth="1"/>
    <col min="9225" max="9225" width="13.453125" style="1" customWidth="1"/>
    <col min="9226" max="9226" width="14.453125" style="1" customWidth="1"/>
    <col min="9227" max="9227" width="11.453125" style="1" customWidth="1"/>
    <col min="9228" max="9228" width="9.81640625" style="1" customWidth="1"/>
    <col min="9229" max="9229" width="7.81640625" style="1" customWidth="1"/>
    <col min="9230" max="9230" width="18.453125" style="1" customWidth="1"/>
    <col min="9231" max="9231" width="3.81640625" style="1" customWidth="1"/>
    <col min="9232" max="9232" width="14.1796875" style="1" customWidth="1"/>
    <col min="9233" max="9233" width="6.1796875" style="1" customWidth="1"/>
    <col min="9234" max="9234" width="12.81640625" style="1" bestFit="1" customWidth="1"/>
    <col min="9235" max="9235" width="21.1796875" style="1" bestFit="1" customWidth="1"/>
    <col min="9236" max="9236" width="14.1796875" style="1" bestFit="1" customWidth="1"/>
    <col min="9237" max="9237" width="12.1796875" style="1" bestFit="1" customWidth="1"/>
    <col min="9238" max="9472" width="9.1796875" style="1"/>
    <col min="9473" max="9473" width="4.81640625" style="1" customWidth="1"/>
    <col min="9474" max="9474" width="86.453125" style="1" customWidth="1"/>
    <col min="9475" max="9475" width="10.1796875" style="1" bestFit="1" customWidth="1"/>
    <col min="9476" max="9476" width="9.453125" style="1" customWidth="1"/>
    <col min="9477" max="9477" width="9.1796875" style="1"/>
    <col min="9478" max="9478" width="10.1796875" style="1" customWidth="1"/>
    <col min="9479" max="9479" width="10.81640625" style="1" customWidth="1"/>
    <col min="9480" max="9480" width="11.1796875" style="1" customWidth="1"/>
    <col min="9481" max="9481" width="13.453125" style="1" customWidth="1"/>
    <col min="9482" max="9482" width="14.453125" style="1" customWidth="1"/>
    <col min="9483" max="9483" width="11.453125" style="1" customWidth="1"/>
    <col min="9484" max="9484" width="9.81640625" style="1" customWidth="1"/>
    <col min="9485" max="9485" width="7.81640625" style="1" customWidth="1"/>
    <col min="9486" max="9486" width="18.453125" style="1" customWidth="1"/>
    <col min="9487" max="9487" width="3.81640625" style="1" customWidth="1"/>
    <col min="9488" max="9488" width="14.1796875" style="1" customWidth="1"/>
    <col min="9489" max="9489" width="6.1796875" style="1" customWidth="1"/>
    <col min="9490" max="9490" width="12.81640625" style="1" bestFit="1" customWidth="1"/>
    <col min="9491" max="9491" width="21.1796875" style="1" bestFit="1" customWidth="1"/>
    <col min="9492" max="9492" width="14.1796875" style="1" bestFit="1" customWidth="1"/>
    <col min="9493" max="9493" width="12.1796875" style="1" bestFit="1" customWidth="1"/>
    <col min="9494" max="9728" width="9.1796875" style="1"/>
    <col min="9729" max="9729" width="4.81640625" style="1" customWidth="1"/>
    <col min="9730" max="9730" width="86.453125" style="1" customWidth="1"/>
    <col min="9731" max="9731" width="10.1796875" style="1" bestFit="1" customWidth="1"/>
    <col min="9732" max="9732" width="9.453125" style="1" customWidth="1"/>
    <col min="9733" max="9733" width="9.1796875" style="1"/>
    <col min="9734" max="9734" width="10.1796875" style="1" customWidth="1"/>
    <col min="9735" max="9735" width="10.81640625" style="1" customWidth="1"/>
    <col min="9736" max="9736" width="11.1796875" style="1" customWidth="1"/>
    <col min="9737" max="9737" width="13.453125" style="1" customWidth="1"/>
    <col min="9738" max="9738" width="14.453125" style="1" customWidth="1"/>
    <col min="9739" max="9739" width="11.453125" style="1" customWidth="1"/>
    <col min="9740" max="9740" width="9.81640625" style="1" customWidth="1"/>
    <col min="9741" max="9741" width="7.81640625" style="1" customWidth="1"/>
    <col min="9742" max="9742" width="18.453125" style="1" customWidth="1"/>
    <col min="9743" max="9743" width="3.81640625" style="1" customWidth="1"/>
    <col min="9744" max="9744" width="14.1796875" style="1" customWidth="1"/>
    <col min="9745" max="9745" width="6.1796875" style="1" customWidth="1"/>
    <col min="9746" max="9746" width="12.81640625" style="1" bestFit="1" customWidth="1"/>
    <col min="9747" max="9747" width="21.1796875" style="1" bestFit="1" customWidth="1"/>
    <col min="9748" max="9748" width="14.1796875" style="1" bestFit="1" customWidth="1"/>
    <col min="9749" max="9749" width="12.1796875" style="1" bestFit="1" customWidth="1"/>
    <col min="9750" max="9984" width="9.1796875" style="1"/>
    <col min="9985" max="9985" width="4.81640625" style="1" customWidth="1"/>
    <col min="9986" max="9986" width="86.453125" style="1" customWidth="1"/>
    <col min="9987" max="9987" width="10.1796875" style="1" bestFit="1" customWidth="1"/>
    <col min="9988" max="9988" width="9.453125" style="1" customWidth="1"/>
    <col min="9989" max="9989" width="9.1796875" style="1"/>
    <col min="9990" max="9990" width="10.1796875" style="1" customWidth="1"/>
    <col min="9991" max="9991" width="10.81640625" style="1" customWidth="1"/>
    <col min="9992" max="9992" width="11.1796875" style="1" customWidth="1"/>
    <col min="9993" max="9993" width="13.453125" style="1" customWidth="1"/>
    <col min="9994" max="9994" width="14.453125" style="1" customWidth="1"/>
    <col min="9995" max="9995" width="11.453125" style="1" customWidth="1"/>
    <col min="9996" max="9996" width="9.81640625" style="1" customWidth="1"/>
    <col min="9997" max="9997" width="7.81640625" style="1" customWidth="1"/>
    <col min="9998" max="9998" width="18.453125" style="1" customWidth="1"/>
    <col min="9999" max="9999" width="3.81640625" style="1" customWidth="1"/>
    <col min="10000" max="10000" width="14.1796875" style="1" customWidth="1"/>
    <col min="10001" max="10001" width="6.1796875" style="1" customWidth="1"/>
    <col min="10002" max="10002" width="12.81640625" style="1" bestFit="1" customWidth="1"/>
    <col min="10003" max="10003" width="21.1796875" style="1" bestFit="1" customWidth="1"/>
    <col min="10004" max="10004" width="14.1796875" style="1" bestFit="1" customWidth="1"/>
    <col min="10005" max="10005" width="12.1796875" style="1" bestFit="1" customWidth="1"/>
    <col min="10006" max="10240" width="9.1796875" style="1"/>
    <col min="10241" max="10241" width="4.81640625" style="1" customWidth="1"/>
    <col min="10242" max="10242" width="86.453125" style="1" customWidth="1"/>
    <col min="10243" max="10243" width="10.1796875" style="1" bestFit="1" customWidth="1"/>
    <col min="10244" max="10244" width="9.453125" style="1" customWidth="1"/>
    <col min="10245" max="10245" width="9.1796875" style="1"/>
    <col min="10246" max="10246" width="10.1796875" style="1" customWidth="1"/>
    <col min="10247" max="10247" width="10.81640625" style="1" customWidth="1"/>
    <col min="10248" max="10248" width="11.1796875" style="1" customWidth="1"/>
    <col min="10249" max="10249" width="13.453125" style="1" customWidth="1"/>
    <col min="10250" max="10250" width="14.453125" style="1" customWidth="1"/>
    <col min="10251" max="10251" width="11.453125" style="1" customWidth="1"/>
    <col min="10252" max="10252" width="9.81640625" style="1" customWidth="1"/>
    <col min="10253" max="10253" width="7.81640625" style="1" customWidth="1"/>
    <col min="10254" max="10254" width="18.453125" style="1" customWidth="1"/>
    <col min="10255" max="10255" width="3.81640625" style="1" customWidth="1"/>
    <col min="10256" max="10256" width="14.1796875" style="1" customWidth="1"/>
    <col min="10257" max="10257" width="6.1796875" style="1" customWidth="1"/>
    <col min="10258" max="10258" width="12.81640625" style="1" bestFit="1" customWidth="1"/>
    <col min="10259" max="10259" width="21.1796875" style="1" bestFit="1" customWidth="1"/>
    <col min="10260" max="10260" width="14.1796875" style="1" bestFit="1" customWidth="1"/>
    <col min="10261" max="10261" width="12.1796875" style="1" bestFit="1" customWidth="1"/>
    <col min="10262" max="10496" width="9.1796875" style="1"/>
    <col min="10497" max="10497" width="4.81640625" style="1" customWidth="1"/>
    <col min="10498" max="10498" width="86.453125" style="1" customWidth="1"/>
    <col min="10499" max="10499" width="10.1796875" style="1" bestFit="1" customWidth="1"/>
    <col min="10500" max="10500" width="9.453125" style="1" customWidth="1"/>
    <col min="10501" max="10501" width="9.1796875" style="1"/>
    <col min="10502" max="10502" width="10.1796875" style="1" customWidth="1"/>
    <col min="10503" max="10503" width="10.81640625" style="1" customWidth="1"/>
    <col min="10504" max="10504" width="11.1796875" style="1" customWidth="1"/>
    <col min="10505" max="10505" width="13.453125" style="1" customWidth="1"/>
    <col min="10506" max="10506" width="14.453125" style="1" customWidth="1"/>
    <col min="10507" max="10507" width="11.453125" style="1" customWidth="1"/>
    <col min="10508" max="10508" width="9.81640625" style="1" customWidth="1"/>
    <col min="10509" max="10509" width="7.81640625" style="1" customWidth="1"/>
    <col min="10510" max="10510" width="18.453125" style="1" customWidth="1"/>
    <col min="10511" max="10511" width="3.81640625" style="1" customWidth="1"/>
    <col min="10512" max="10512" width="14.1796875" style="1" customWidth="1"/>
    <col min="10513" max="10513" width="6.1796875" style="1" customWidth="1"/>
    <col min="10514" max="10514" width="12.81640625" style="1" bestFit="1" customWidth="1"/>
    <col min="10515" max="10515" width="21.1796875" style="1" bestFit="1" customWidth="1"/>
    <col min="10516" max="10516" width="14.1796875" style="1" bestFit="1" customWidth="1"/>
    <col min="10517" max="10517" width="12.1796875" style="1" bestFit="1" customWidth="1"/>
    <col min="10518" max="10752" width="9.1796875" style="1"/>
    <col min="10753" max="10753" width="4.81640625" style="1" customWidth="1"/>
    <col min="10754" max="10754" width="86.453125" style="1" customWidth="1"/>
    <col min="10755" max="10755" width="10.1796875" style="1" bestFit="1" customWidth="1"/>
    <col min="10756" max="10756" width="9.453125" style="1" customWidth="1"/>
    <col min="10757" max="10757" width="9.1796875" style="1"/>
    <col min="10758" max="10758" width="10.1796875" style="1" customWidth="1"/>
    <col min="10759" max="10759" width="10.81640625" style="1" customWidth="1"/>
    <col min="10760" max="10760" width="11.1796875" style="1" customWidth="1"/>
    <col min="10761" max="10761" width="13.453125" style="1" customWidth="1"/>
    <col min="10762" max="10762" width="14.453125" style="1" customWidth="1"/>
    <col min="10763" max="10763" width="11.453125" style="1" customWidth="1"/>
    <col min="10764" max="10764" width="9.81640625" style="1" customWidth="1"/>
    <col min="10765" max="10765" width="7.81640625" style="1" customWidth="1"/>
    <col min="10766" max="10766" width="18.453125" style="1" customWidth="1"/>
    <col min="10767" max="10767" width="3.81640625" style="1" customWidth="1"/>
    <col min="10768" max="10768" width="14.1796875" style="1" customWidth="1"/>
    <col min="10769" max="10769" width="6.1796875" style="1" customWidth="1"/>
    <col min="10770" max="10770" width="12.81640625" style="1" bestFit="1" customWidth="1"/>
    <col min="10771" max="10771" width="21.1796875" style="1" bestFit="1" customWidth="1"/>
    <col min="10772" max="10772" width="14.1796875" style="1" bestFit="1" customWidth="1"/>
    <col min="10773" max="10773" width="12.1796875" style="1" bestFit="1" customWidth="1"/>
    <col min="10774" max="11008" width="9.1796875" style="1"/>
    <col min="11009" max="11009" width="4.81640625" style="1" customWidth="1"/>
    <col min="11010" max="11010" width="86.453125" style="1" customWidth="1"/>
    <col min="11011" max="11011" width="10.1796875" style="1" bestFit="1" customWidth="1"/>
    <col min="11012" max="11012" width="9.453125" style="1" customWidth="1"/>
    <col min="11013" max="11013" width="9.1796875" style="1"/>
    <col min="11014" max="11014" width="10.1796875" style="1" customWidth="1"/>
    <col min="11015" max="11015" width="10.81640625" style="1" customWidth="1"/>
    <col min="11016" max="11016" width="11.1796875" style="1" customWidth="1"/>
    <col min="11017" max="11017" width="13.453125" style="1" customWidth="1"/>
    <col min="11018" max="11018" width="14.453125" style="1" customWidth="1"/>
    <col min="11019" max="11019" width="11.453125" style="1" customWidth="1"/>
    <col min="11020" max="11020" width="9.81640625" style="1" customWidth="1"/>
    <col min="11021" max="11021" width="7.81640625" style="1" customWidth="1"/>
    <col min="11022" max="11022" width="18.453125" style="1" customWidth="1"/>
    <col min="11023" max="11023" width="3.81640625" style="1" customWidth="1"/>
    <col min="11024" max="11024" width="14.1796875" style="1" customWidth="1"/>
    <col min="11025" max="11025" width="6.1796875" style="1" customWidth="1"/>
    <col min="11026" max="11026" width="12.81640625" style="1" bestFit="1" customWidth="1"/>
    <col min="11027" max="11027" width="21.1796875" style="1" bestFit="1" customWidth="1"/>
    <col min="11028" max="11028" width="14.1796875" style="1" bestFit="1" customWidth="1"/>
    <col min="11029" max="11029" width="12.1796875" style="1" bestFit="1" customWidth="1"/>
    <col min="11030" max="11264" width="9.1796875" style="1"/>
    <col min="11265" max="11265" width="4.81640625" style="1" customWidth="1"/>
    <col min="11266" max="11266" width="86.453125" style="1" customWidth="1"/>
    <col min="11267" max="11267" width="10.1796875" style="1" bestFit="1" customWidth="1"/>
    <col min="11268" max="11268" width="9.453125" style="1" customWidth="1"/>
    <col min="11269" max="11269" width="9.1796875" style="1"/>
    <col min="11270" max="11270" width="10.1796875" style="1" customWidth="1"/>
    <col min="11271" max="11271" width="10.81640625" style="1" customWidth="1"/>
    <col min="11272" max="11272" width="11.1796875" style="1" customWidth="1"/>
    <col min="11273" max="11273" width="13.453125" style="1" customWidth="1"/>
    <col min="11274" max="11274" width="14.453125" style="1" customWidth="1"/>
    <col min="11275" max="11275" width="11.453125" style="1" customWidth="1"/>
    <col min="11276" max="11276" width="9.81640625" style="1" customWidth="1"/>
    <col min="11277" max="11277" width="7.81640625" style="1" customWidth="1"/>
    <col min="11278" max="11278" width="18.453125" style="1" customWidth="1"/>
    <col min="11279" max="11279" width="3.81640625" style="1" customWidth="1"/>
    <col min="11280" max="11280" width="14.1796875" style="1" customWidth="1"/>
    <col min="11281" max="11281" width="6.1796875" style="1" customWidth="1"/>
    <col min="11282" max="11282" width="12.81640625" style="1" bestFit="1" customWidth="1"/>
    <col min="11283" max="11283" width="21.1796875" style="1" bestFit="1" customWidth="1"/>
    <col min="11284" max="11284" width="14.1796875" style="1" bestFit="1" customWidth="1"/>
    <col min="11285" max="11285" width="12.1796875" style="1" bestFit="1" customWidth="1"/>
    <col min="11286" max="11520" width="9.1796875" style="1"/>
    <col min="11521" max="11521" width="4.81640625" style="1" customWidth="1"/>
    <col min="11522" max="11522" width="86.453125" style="1" customWidth="1"/>
    <col min="11523" max="11523" width="10.1796875" style="1" bestFit="1" customWidth="1"/>
    <col min="11524" max="11524" width="9.453125" style="1" customWidth="1"/>
    <col min="11525" max="11525" width="9.1796875" style="1"/>
    <col min="11526" max="11526" width="10.1796875" style="1" customWidth="1"/>
    <col min="11527" max="11527" width="10.81640625" style="1" customWidth="1"/>
    <col min="11528" max="11528" width="11.1796875" style="1" customWidth="1"/>
    <col min="11529" max="11529" width="13.453125" style="1" customWidth="1"/>
    <col min="11530" max="11530" width="14.453125" style="1" customWidth="1"/>
    <col min="11531" max="11531" width="11.453125" style="1" customWidth="1"/>
    <col min="11532" max="11532" width="9.81640625" style="1" customWidth="1"/>
    <col min="11533" max="11533" width="7.81640625" style="1" customWidth="1"/>
    <col min="11534" max="11534" width="18.453125" style="1" customWidth="1"/>
    <col min="11535" max="11535" width="3.81640625" style="1" customWidth="1"/>
    <col min="11536" max="11536" width="14.1796875" style="1" customWidth="1"/>
    <col min="11537" max="11537" width="6.1796875" style="1" customWidth="1"/>
    <col min="11538" max="11538" width="12.81640625" style="1" bestFit="1" customWidth="1"/>
    <col min="11539" max="11539" width="21.1796875" style="1" bestFit="1" customWidth="1"/>
    <col min="11540" max="11540" width="14.1796875" style="1" bestFit="1" customWidth="1"/>
    <col min="11541" max="11541" width="12.1796875" style="1" bestFit="1" customWidth="1"/>
    <col min="11542" max="11776" width="9.1796875" style="1"/>
    <col min="11777" max="11777" width="4.81640625" style="1" customWidth="1"/>
    <col min="11778" max="11778" width="86.453125" style="1" customWidth="1"/>
    <col min="11779" max="11779" width="10.1796875" style="1" bestFit="1" customWidth="1"/>
    <col min="11780" max="11780" width="9.453125" style="1" customWidth="1"/>
    <col min="11781" max="11781" width="9.1796875" style="1"/>
    <col min="11782" max="11782" width="10.1796875" style="1" customWidth="1"/>
    <col min="11783" max="11783" width="10.81640625" style="1" customWidth="1"/>
    <col min="11784" max="11784" width="11.1796875" style="1" customWidth="1"/>
    <col min="11785" max="11785" width="13.453125" style="1" customWidth="1"/>
    <col min="11786" max="11786" width="14.453125" style="1" customWidth="1"/>
    <col min="11787" max="11787" width="11.453125" style="1" customWidth="1"/>
    <col min="11788" max="11788" width="9.81640625" style="1" customWidth="1"/>
    <col min="11789" max="11789" width="7.81640625" style="1" customWidth="1"/>
    <col min="11790" max="11790" width="18.453125" style="1" customWidth="1"/>
    <col min="11791" max="11791" width="3.81640625" style="1" customWidth="1"/>
    <col min="11792" max="11792" width="14.1796875" style="1" customWidth="1"/>
    <col min="11793" max="11793" width="6.1796875" style="1" customWidth="1"/>
    <col min="11794" max="11794" width="12.81640625" style="1" bestFit="1" customWidth="1"/>
    <col min="11795" max="11795" width="21.1796875" style="1" bestFit="1" customWidth="1"/>
    <col min="11796" max="11796" width="14.1796875" style="1" bestFit="1" customWidth="1"/>
    <col min="11797" max="11797" width="12.1796875" style="1" bestFit="1" customWidth="1"/>
    <col min="11798" max="12032" width="9.1796875" style="1"/>
    <col min="12033" max="12033" width="4.81640625" style="1" customWidth="1"/>
    <col min="12034" max="12034" width="86.453125" style="1" customWidth="1"/>
    <col min="12035" max="12035" width="10.1796875" style="1" bestFit="1" customWidth="1"/>
    <col min="12036" max="12036" width="9.453125" style="1" customWidth="1"/>
    <col min="12037" max="12037" width="9.1796875" style="1"/>
    <col min="12038" max="12038" width="10.1796875" style="1" customWidth="1"/>
    <col min="12039" max="12039" width="10.81640625" style="1" customWidth="1"/>
    <col min="12040" max="12040" width="11.1796875" style="1" customWidth="1"/>
    <col min="12041" max="12041" width="13.453125" style="1" customWidth="1"/>
    <col min="12042" max="12042" width="14.453125" style="1" customWidth="1"/>
    <col min="12043" max="12043" width="11.453125" style="1" customWidth="1"/>
    <col min="12044" max="12044" width="9.81640625" style="1" customWidth="1"/>
    <col min="12045" max="12045" width="7.81640625" style="1" customWidth="1"/>
    <col min="12046" max="12046" width="18.453125" style="1" customWidth="1"/>
    <col min="12047" max="12047" width="3.81640625" style="1" customWidth="1"/>
    <col min="12048" max="12048" width="14.1796875" style="1" customWidth="1"/>
    <col min="12049" max="12049" width="6.1796875" style="1" customWidth="1"/>
    <col min="12050" max="12050" width="12.81640625" style="1" bestFit="1" customWidth="1"/>
    <col min="12051" max="12051" width="21.1796875" style="1" bestFit="1" customWidth="1"/>
    <col min="12052" max="12052" width="14.1796875" style="1" bestFit="1" customWidth="1"/>
    <col min="12053" max="12053" width="12.1796875" style="1" bestFit="1" customWidth="1"/>
    <col min="12054" max="12288" width="9.1796875" style="1"/>
    <col min="12289" max="12289" width="4.81640625" style="1" customWidth="1"/>
    <col min="12290" max="12290" width="86.453125" style="1" customWidth="1"/>
    <col min="12291" max="12291" width="10.1796875" style="1" bestFit="1" customWidth="1"/>
    <col min="12292" max="12292" width="9.453125" style="1" customWidth="1"/>
    <col min="12293" max="12293" width="9.1796875" style="1"/>
    <col min="12294" max="12294" width="10.1796875" style="1" customWidth="1"/>
    <col min="12295" max="12295" width="10.81640625" style="1" customWidth="1"/>
    <col min="12296" max="12296" width="11.1796875" style="1" customWidth="1"/>
    <col min="12297" max="12297" width="13.453125" style="1" customWidth="1"/>
    <col min="12298" max="12298" width="14.453125" style="1" customWidth="1"/>
    <col min="12299" max="12299" width="11.453125" style="1" customWidth="1"/>
    <col min="12300" max="12300" width="9.81640625" style="1" customWidth="1"/>
    <col min="12301" max="12301" width="7.81640625" style="1" customWidth="1"/>
    <col min="12302" max="12302" width="18.453125" style="1" customWidth="1"/>
    <col min="12303" max="12303" width="3.81640625" style="1" customWidth="1"/>
    <col min="12304" max="12304" width="14.1796875" style="1" customWidth="1"/>
    <col min="12305" max="12305" width="6.1796875" style="1" customWidth="1"/>
    <col min="12306" max="12306" width="12.81640625" style="1" bestFit="1" customWidth="1"/>
    <col min="12307" max="12307" width="21.1796875" style="1" bestFit="1" customWidth="1"/>
    <col min="12308" max="12308" width="14.1796875" style="1" bestFit="1" customWidth="1"/>
    <col min="12309" max="12309" width="12.1796875" style="1" bestFit="1" customWidth="1"/>
    <col min="12310" max="12544" width="9.1796875" style="1"/>
    <col min="12545" max="12545" width="4.81640625" style="1" customWidth="1"/>
    <col min="12546" max="12546" width="86.453125" style="1" customWidth="1"/>
    <col min="12547" max="12547" width="10.1796875" style="1" bestFit="1" customWidth="1"/>
    <col min="12548" max="12548" width="9.453125" style="1" customWidth="1"/>
    <col min="12549" max="12549" width="9.1796875" style="1"/>
    <col min="12550" max="12550" width="10.1796875" style="1" customWidth="1"/>
    <col min="12551" max="12551" width="10.81640625" style="1" customWidth="1"/>
    <col min="12552" max="12552" width="11.1796875" style="1" customWidth="1"/>
    <col min="12553" max="12553" width="13.453125" style="1" customWidth="1"/>
    <col min="12554" max="12554" width="14.453125" style="1" customWidth="1"/>
    <col min="12555" max="12555" width="11.453125" style="1" customWidth="1"/>
    <col min="12556" max="12556" width="9.81640625" style="1" customWidth="1"/>
    <col min="12557" max="12557" width="7.81640625" style="1" customWidth="1"/>
    <col min="12558" max="12558" width="18.453125" style="1" customWidth="1"/>
    <col min="12559" max="12559" width="3.81640625" style="1" customWidth="1"/>
    <col min="12560" max="12560" width="14.1796875" style="1" customWidth="1"/>
    <col min="12561" max="12561" width="6.1796875" style="1" customWidth="1"/>
    <col min="12562" max="12562" width="12.81640625" style="1" bestFit="1" customWidth="1"/>
    <col min="12563" max="12563" width="21.1796875" style="1" bestFit="1" customWidth="1"/>
    <col min="12564" max="12564" width="14.1796875" style="1" bestFit="1" customWidth="1"/>
    <col min="12565" max="12565" width="12.1796875" style="1" bestFit="1" customWidth="1"/>
    <col min="12566" max="12800" width="9.1796875" style="1"/>
    <col min="12801" max="12801" width="4.81640625" style="1" customWidth="1"/>
    <col min="12802" max="12802" width="86.453125" style="1" customWidth="1"/>
    <col min="12803" max="12803" width="10.1796875" style="1" bestFit="1" customWidth="1"/>
    <col min="12804" max="12804" width="9.453125" style="1" customWidth="1"/>
    <col min="12805" max="12805" width="9.1796875" style="1"/>
    <col min="12806" max="12806" width="10.1796875" style="1" customWidth="1"/>
    <col min="12807" max="12807" width="10.81640625" style="1" customWidth="1"/>
    <col min="12808" max="12808" width="11.1796875" style="1" customWidth="1"/>
    <col min="12809" max="12809" width="13.453125" style="1" customWidth="1"/>
    <col min="12810" max="12810" width="14.453125" style="1" customWidth="1"/>
    <col min="12811" max="12811" width="11.453125" style="1" customWidth="1"/>
    <col min="12812" max="12812" width="9.81640625" style="1" customWidth="1"/>
    <col min="12813" max="12813" width="7.81640625" style="1" customWidth="1"/>
    <col min="12814" max="12814" width="18.453125" style="1" customWidth="1"/>
    <col min="12815" max="12815" width="3.81640625" style="1" customWidth="1"/>
    <col min="12816" max="12816" width="14.1796875" style="1" customWidth="1"/>
    <col min="12817" max="12817" width="6.1796875" style="1" customWidth="1"/>
    <col min="12818" max="12818" width="12.81640625" style="1" bestFit="1" customWidth="1"/>
    <col min="12819" max="12819" width="21.1796875" style="1" bestFit="1" customWidth="1"/>
    <col min="12820" max="12820" width="14.1796875" style="1" bestFit="1" customWidth="1"/>
    <col min="12821" max="12821" width="12.1796875" style="1" bestFit="1" customWidth="1"/>
    <col min="12822" max="13056" width="9.1796875" style="1"/>
    <col min="13057" max="13057" width="4.81640625" style="1" customWidth="1"/>
    <col min="13058" max="13058" width="86.453125" style="1" customWidth="1"/>
    <col min="13059" max="13059" width="10.1796875" style="1" bestFit="1" customWidth="1"/>
    <col min="13060" max="13060" width="9.453125" style="1" customWidth="1"/>
    <col min="13061" max="13061" width="9.1796875" style="1"/>
    <col min="13062" max="13062" width="10.1796875" style="1" customWidth="1"/>
    <col min="13063" max="13063" width="10.81640625" style="1" customWidth="1"/>
    <col min="13064" max="13064" width="11.1796875" style="1" customWidth="1"/>
    <col min="13065" max="13065" width="13.453125" style="1" customWidth="1"/>
    <col min="13066" max="13066" width="14.453125" style="1" customWidth="1"/>
    <col min="13067" max="13067" width="11.453125" style="1" customWidth="1"/>
    <col min="13068" max="13068" width="9.81640625" style="1" customWidth="1"/>
    <col min="13069" max="13069" width="7.81640625" style="1" customWidth="1"/>
    <col min="13070" max="13070" width="18.453125" style="1" customWidth="1"/>
    <col min="13071" max="13071" width="3.81640625" style="1" customWidth="1"/>
    <col min="13072" max="13072" width="14.1796875" style="1" customWidth="1"/>
    <col min="13073" max="13073" width="6.1796875" style="1" customWidth="1"/>
    <col min="13074" max="13074" width="12.81640625" style="1" bestFit="1" customWidth="1"/>
    <col min="13075" max="13075" width="21.1796875" style="1" bestFit="1" customWidth="1"/>
    <col min="13076" max="13076" width="14.1796875" style="1" bestFit="1" customWidth="1"/>
    <col min="13077" max="13077" width="12.1796875" style="1" bestFit="1" customWidth="1"/>
    <col min="13078" max="13312" width="9.1796875" style="1"/>
    <col min="13313" max="13313" width="4.81640625" style="1" customWidth="1"/>
    <col min="13314" max="13314" width="86.453125" style="1" customWidth="1"/>
    <col min="13315" max="13315" width="10.1796875" style="1" bestFit="1" customWidth="1"/>
    <col min="13316" max="13316" width="9.453125" style="1" customWidth="1"/>
    <col min="13317" max="13317" width="9.1796875" style="1"/>
    <col min="13318" max="13318" width="10.1796875" style="1" customWidth="1"/>
    <col min="13319" max="13319" width="10.81640625" style="1" customWidth="1"/>
    <col min="13320" max="13320" width="11.1796875" style="1" customWidth="1"/>
    <col min="13321" max="13321" width="13.453125" style="1" customWidth="1"/>
    <col min="13322" max="13322" width="14.453125" style="1" customWidth="1"/>
    <col min="13323" max="13323" width="11.453125" style="1" customWidth="1"/>
    <col min="13324" max="13324" width="9.81640625" style="1" customWidth="1"/>
    <col min="13325" max="13325" width="7.81640625" style="1" customWidth="1"/>
    <col min="13326" max="13326" width="18.453125" style="1" customWidth="1"/>
    <col min="13327" max="13327" width="3.81640625" style="1" customWidth="1"/>
    <col min="13328" max="13328" width="14.1796875" style="1" customWidth="1"/>
    <col min="13329" max="13329" width="6.1796875" style="1" customWidth="1"/>
    <col min="13330" max="13330" width="12.81640625" style="1" bestFit="1" customWidth="1"/>
    <col min="13331" max="13331" width="21.1796875" style="1" bestFit="1" customWidth="1"/>
    <col min="13332" max="13332" width="14.1796875" style="1" bestFit="1" customWidth="1"/>
    <col min="13333" max="13333" width="12.1796875" style="1" bestFit="1" customWidth="1"/>
    <col min="13334" max="13568" width="9.1796875" style="1"/>
    <col min="13569" max="13569" width="4.81640625" style="1" customWidth="1"/>
    <col min="13570" max="13570" width="86.453125" style="1" customWidth="1"/>
    <col min="13571" max="13571" width="10.1796875" style="1" bestFit="1" customWidth="1"/>
    <col min="13572" max="13572" width="9.453125" style="1" customWidth="1"/>
    <col min="13573" max="13573" width="9.1796875" style="1"/>
    <col min="13574" max="13574" width="10.1796875" style="1" customWidth="1"/>
    <col min="13575" max="13575" width="10.81640625" style="1" customWidth="1"/>
    <col min="13576" max="13576" width="11.1796875" style="1" customWidth="1"/>
    <col min="13577" max="13577" width="13.453125" style="1" customWidth="1"/>
    <col min="13578" max="13578" width="14.453125" style="1" customWidth="1"/>
    <col min="13579" max="13579" width="11.453125" style="1" customWidth="1"/>
    <col min="13580" max="13580" width="9.81640625" style="1" customWidth="1"/>
    <col min="13581" max="13581" width="7.81640625" style="1" customWidth="1"/>
    <col min="13582" max="13582" width="18.453125" style="1" customWidth="1"/>
    <col min="13583" max="13583" width="3.81640625" style="1" customWidth="1"/>
    <col min="13584" max="13584" width="14.1796875" style="1" customWidth="1"/>
    <col min="13585" max="13585" width="6.1796875" style="1" customWidth="1"/>
    <col min="13586" max="13586" width="12.81640625" style="1" bestFit="1" customWidth="1"/>
    <col min="13587" max="13587" width="21.1796875" style="1" bestFit="1" customWidth="1"/>
    <col min="13588" max="13588" width="14.1796875" style="1" bestFit="1" customWidth="1"/>
    <col min="13589" max="13589" width="12.1796875" style="1" bestFit="1" customWidth="1"/>
    <col min="13590" max="13824" width="9.1796875" style="1"/>
    <col min="13825" max="13825" width="4.81640625" style="1" customWidth="1"/>
    <col min="13826" max="13826" width="86.453125" style="1" customWidth="1"/>
    <col min="13827" max="13827" width="10.1796875" style="1" bestFit="1" customWidth="1"/>
    <col min="13828" max="13828" width="9.453125" style="1" customWidth="1"/>
    <col min="13829" max="13829" width="9.1796875" style="1"/>
    <col min="13830" max="13830" width="10.1796875" style="1" customWidth="1"/>
    <col min="13831" max="13831" width="10.81640625" style="1" customWidth="1"/>
    <col min="13832" max="13832" width="11.1796875" style="1" customWidth="1"/>
    <col min="13833" max="13833" width="13.453125" style="1" customWidth="1"/>
    <col min="13834" max="13834" width="14.453125" style="1" customWidth="1"/>
    <col min="13835" max="13835" width="11.453125" style="1" customWidth="1"/>
    <col min="13836" max="13836" width="9.81640625" style="1" customWidth="1"/>
    <col min="13837" max="13837" width="7.81640625" style="1" customWidth="1"/>
    <col min="13838" max="13838" width="18.453125" style="1" customWidth="1"/>
    <col min="13839" max="13839" width="3.81640625" style="1" customWidth="1"/>
    <col min="13840" max="13840" width="14.1796875" style="1" customWidth="1"/>
    <col min="13841" max="13841" width="6.1796875" style="1" customWidth="1"/>
    <col min="13842" max="13842" width="12.81640625" style="1" bestFit="1" customWidth="1"/>
    <col min="13843" max="13843" width="21.1796875" style="1" bestFit="1" customWidth="1"/>
    <col min="13844" max="13844" width="14.1796875" style="1" bestFit="1" customWidth="1"/>
    <col min="13845" max="13845" width="12.1796875" style="1" bestFit="1" customWidth="1"/>
    <col min="13846" max="14080" width="9.1796875" style="1"/>
    <col min="14081" max="14081" width="4.81640625" style="1" customWidth="1"/>
    <col min="14082" max="14082" width="86.453125" style="1" customWidth="1"/>
    <col min="14083" max="14083" width="10.1796875" style="1" bestFit="1" customWidth="1"/>
    <col min="14084" max="14084" width="9.453125" style="1" customWidth="1"/>
    <col min="14085" max="14085" width="9.1796875" style="1"/>
    <col min="14086" max="14086" width="10.1796875" style="1" customWidth="1"/>
    <col min="14087" max="14087" width="10.81640625" style="1" customWidth="1"/>
    <col min="14088" max="14088" width="11.1796875" style="1" customWidth="1"/>
    <col min="14089" max="14089" width="13.453125" style="1" customWidth="1"/>
    <col min="14090" max="14090" width="14.453125" style="1" customWidth="1"/>
    <col min="14091" max="14091" width="11.453125" style="1" customWidth="1"/>
    <col min="14092" max="14092" width="9.81640625" style="1" customWidth="1"/>
    <col min="14093" max="14093" width="7.81640625" style="1" customWidth="1"/>
    <col min="14094" max="14094" width="18.453125" style="1" customWidth="1"/>
    <col min="14095" max="14095" width="3.81640625" style="1" customWidth="1"/>
    <col min="14096" max="14096" width="14.1796875" style="1" customWidth="1"/>
    <col min="14097" max="14097" width="6.1796875" style="1" customWidth="1"/>
    <col min="14098" max="14098" width="12.81640625" style="1" bestFit="1" customWidth="1"/>
    <col min="14099" max="14099" width="21.1796875" style="1" bestFit="1" customWidth="1"/>
    <col min="14100" max="14100" width="14.1796875" style="1" bestFit="1" customWidth="1"/>
    <col min="14101" max="14101" width="12.1796875" style="1" bestFit="1" customWidth="1"/>
    <col min="14102" max="14336" width="9.1796875" style="1"/>
    <col min="14337" max="14337" width="4.81640625" style="1" customWidth="1"/>
    <col min="14338" max="14338" width="86.453125" style="1" customWidth="1"/>
    <col min="14339" max="14339" width="10.1796875" style="1" bestFit="1" customWidth="1"/>
    <col min="14340" max="14340" width="9.453125" style="1" customWidth="1"/>
    <col min="14341" max="14341" width="9.1796875" style="1"/>
    <col min="14342" max="14342" width="10.1796875" style="1" customWidth="1"/>
    <col min="14343" max="14343" width="10.81640625" style="1" customWidth="1"/>
    <col min="14344" max="14344" width="11.1796875" style="1" customWidth="1"/>
    <col min="14345" max="14345" width="13.453125" style="1" customWidth="1"/>
    <col min="14346" max="14346" width="14.453125" style="1" customWidth="1"/>
    <col min="14347" max="14347" width="11.453125" style="1" customWidth="1"/>
    <col min="14348" max="14348" width="9.81640625" style="1" customWidth="1"/>
    <col min="14349" max="14349" width="7.81640625" style="1" customWidth="1"/>
    <col min="14350" max="14350" width="18.453125" style="1" customWidth="1"/>
    <col min="14351" max="14351" width="3.81640625" style="1" customWidth="1"/>
    <col min="14352" max="14352" width="14.1796875" style="1" customWidth="1"/>
    <col min="14353" max="14353" width="6.1796875" style="1" customWidth="1"/>
    <col min="14354" max="14354" width="12.81640625" style="1" bestFit="1" customWidth="1"/>
    <col min="14355" max="14355" width="21.1796875" style="1" bestFit="1" customWidth="1"/>
    <col min="14356" max="14356" width="14.1796875" style="1" bestFit="1" customWidth="1"/>
    <col min="14357" max="14357" width="12.1796875" style="1" bestFit="1" customWidth="1"/>
    <col min="14358" max="14592" width="9.1796875" style="1"/>
    <col min="14593" max="14593" width="4.81640625" style="1" customWidth="1"/>
    <col min="14594" max="14594" width="86.453125" style="1" customWidth="1"/>
    <col min="14595" max="14595" width="10.1796875" style="1" bestFit="1" customWidth="1"/>
    <col min="14596" max="14596" width="9.453125" style="1" customWidth="1"/>
    <col min="14597" max="14597" width="9.1796875" style="1"/>
    <col min="14598" max="14598" width="10.1796875" style="1" customWidth="1"/>
    <col min="14599" max="14599" width="10.81640625" style="1" customWidth="1"/>
    <col min="14600" max="14600" width="11.1796875" style="1" customWidth="1"/>
    <col min="14601" max="14601" width="13.453125" style="1" customWidth="1"/>
    <col min="14602" max="14602" width="14.453125" style="1" customWidth="1"/>
    <col min="14603" max="14603" width="11.453125" style="1" customWidth="1"/>
    <col min="14604" max="14604" width="9.81640625" style="1" customWidth="1"/>
    <col min="14605" max="14605" width="7.81640625" style="1" customWidth="1"/>
    <col min="14606" max="14606" width="18.453125" style="1" customWidth="1"/>
    <col min="14607" max="14607" width="3.81640625" style="1" customWidth="1"/>
    <col min="14608" max="14608" width="14.1796875" style="1" customWidth="1"/>
    <col min="14609" max="14609" width="6.1796875" style="1" customWidth="1"/>
    <col min="14610" max="14610" width="12.81640625" style="1" bestFit="1" customWidth="1"/>
    <col min="14611" max="14611" width="21.1796875" style="1" bestFit="1" customWidth="1"/>
    <col min="14612" max="14612" width="14.1796875" style="1" bestFit="1" customWidth="1"/>
    <col min="14613" max="14613" width="12.1796875" style="1" bestFit="1" customWidth="1"/>
    <col min="14614" max="14848" width="9.1796875" style="1"/>
    <col min="14849" max="14849" width="4.81640625" style="1" customWidth="1"/>
    <col min="14850" max="14850" width="86.453125" style="1" customWidth="1"/>
    <col min="14851" max="14851" width="10.1796875" style="1" bestFit="1" customWidth="1"/>
    <col min="14852" max="14852" width="9.453125" style="1" customWidth="1"/>
    <col min="14853" max="14853" width="9.1796875" style="1"/>
    <col min="14854" max="14854" width="10.1796875" style="1" customWidth="1"/>
    <col min="14855" max="14855" width="10.81640625" style="1" customWidth="1"/>
    <col min="14856" max="14856" width="11.1796875" style="1" customWidth="1"/>
    <col min="14857" max="14857" width="13.453125" style="1" customWidth="1"/>
    <col min="14858" max="14858" width="14.453125" style="1" customWidth="1"/>
    <col min="14859" max="14859" width="11.453125" style="1" customWidth="1"/>
    <col min="14860" max="14860" width="9.81640625" style="1" customWidth="1"/>
    <col min="14861" max="14861" width="7.81640625" style="1" customWidth="1"/>
    <col min="14862" max="14862" width="18.453125" style="1" customWidth="1"/>
    <col min="14863" max="14863" width="3.81640625" style="1" customWidth="1"/>
    <col min="14864" max="14864" width="14.1796875" style="1" customWidth="1"/>
    <col min="14865" max="14865" width="6.1796875" style="1" customWidth="1"/>
    <col min="14866" max="14866" width="12.81640625" style="1" bestFit="1" customWidth="1"/>
    <col min="14867" max="14867" width="21.1796875" style="1" bestFit="1" customWidth="1"/>
    <col min="14868" max="14868" width="14.1796875" style="1" bestFit="1" customWidth="1"/>
    <col min="14869" max="14869" width="12.1796875" style="1" bestFit="1" customWidth="1"/>
    <col min="14870" max="15104" width="9.1796875" style="1"/>
    <col min="15105" max="15105" width="4.81640625" style="1" customWidth="1"/>
    <col min="15106" max="15106" width="86.453125" style="1" customWidth="1"/>
    <col min="15107" max="15107" width="10.1796875" style="1" bestFit="1" customWidth="1"/>
    <col min="15108" max="15108" width="9.453125" style="1" customWidth="1"/>
    <col min="15109" max="15109" width="9.1796875" style="1"/>
    <col min="15110" max="15110" width="10.1796875" style="1" customWidth="1"/>
    <col min="15111" max="15111" width="10.81640625" style="1" customWidth="1"/>
    <col min="15112" max="15112" width="11.1796875" style="1" customWidth="1"/>
    <col min="15113" max="15113" width="13.453125" style="1" customWidth="1"/>
    <col min="15114" max="15114" width="14.453125" style="1" customWidth="1"/>
    <col min="15115" max="15115" width="11.453125" style="1" customWidth="1"/>
    <col min="15116" max="15116" width="9.81640625" style="1" customWidth="1"/>
    <col min="15117" max="15117" width="7.81640625" style="1" customWidth="1"/>
    <col min="15118" max="15118" width="18.453125" style="1" customWidth="1"/>
    <col min="15119" max="15119" width="3.81640625" style="1" customWidth="1"/>
    <col min="15120" max="15120" width="14.1796875" style="1" customWidth="1"/>
    <col min="15121" max="15121" width="6.1796875" style="1" customWidth="1"/>
    <col min="15122" max="15122" width="12.81640625" style="1" bestFit="1" customWidth="1"/>
    <col min="15123" max="15123" width="21.1796875" style="1" bestFit="1" customWidth="1"/>
    <col min="15124" max="15124" width="14.1796875" style="1" bestFit="1" customWidth="1"/>
    <col min="15125" max="15125" width="12.1796875" style="1" bestFit="1" customWidth="1"/>
    <col min="15126" max="15360" width="9.1796875" style="1"/>
    <col min="15361" max="15361" width="4.81640625" style="1" customWidth="1"/>
    <col min="15362" max="15362" width="86.453125" style="1" customWidth="1"/>
    <col min="15363" max="15363" width="10.1796875" style="1" bestFit="1" customWidth="1"/>
    <col min="15364" max="15364" width="9.453125" style="1" customWidth="1"/>
    <col min="15365" max="15365" width="9.1796875" style="1"/>
    <col min="15366" max="15366" width="10.1796875" style="1" customWidth="1"/>
    <col min="15367" max="15367" width="10.81640625" style="1" customWidth="1"/>
    <col min="15368" max="15368" width="11.1796875" style="1" customWidth="1"/>
    <col min="15369" max="15369" width="13.453125" style="1" customWidth="1"/>
    <col min="15370" max="15370" width="14.453125" style="1" customWidth="1"/>
    <col min="15371" max="15371" width="11.453125" style="1" customWidth="1"/>
    <col min="15372" max="15372" width="9.81640625" style="1" customWidth="1"/>
    <col min="15373" max="15373" width="7.81640625" style="1" customWidth="1"/>
    <col min="15374" max="15374" width="18.453125" style="1" customWidth="1"/>
    <col min="15375" max="15375" width="3.81640625" style="1" customWidth="1"/>
    <col min="15376" max="15376" width="14.1796875" style="1" customWidth="1"/>
    <col min="15377" max="15377" width="6.1796875" style="1" customWidth="1"/>
    <col min="15378" max="15378" width="12.81640625" style="1" bestFit="1" customWidth="1"/>
    <col min="15379" max="15379" width="21.1796875" style="1" bestFit="1" customWidth="1"/>
    <col min="15380" max="15380" width="14.1796875" style="1" bestFit="1" customWidth="1"/>
    <col min="15381" max="15381" width="12.1796875" style="1" bestFit="1" customWidth="1"/>
    <col min="15382" max="15616" width="9.1796875" style="1"/>
    <col min="15617" max="15617" width="4.81640625" style="1" customWidth="1"/>
    <col min="15618" max="15618" width="86.453125" style="1" customWidth="1"/>
    <col min="15619" max="15619" width="10.1796875" style="1" bestFit="1" customWidth="1"/>
    <col min="15620" max="15620" width="9.453125" style="1" customWidth="1"/>
    <col min="15621" max="15621" width="9.1796875" style="1"/>
    <col min="15622" max="15622" width="10.1796875" style="1" customWidth="1"/>
    <col min="15623" max="15623" width="10.81640625" style="1" customWidth="1"/>
    <col min="15624" max="15624" width="11.1796875" style="1" customWidth="1"/>
    <col min="15625" max="15625" width="13.453125" style="1" customWidth="1"/>
    <col min="15626" max="15626" width="14.453125" style="1" customWidth="1"/>
    <col min="15627" max="15627" width="11.453125" style="1" customWidth="1"/>
    <col min="15628" max="15628" width="9.81640625" style="1" customWidth="1"/>
    <col min="15629" max="15629" width="7.81640625" style="1" customWidth="1"/>
    <col min="15630" max="15630" width="18.453125" style="1" customWidth="1"/>
    <col min="15631" max="15631" width="3.81640625" style="1" customWidth="1"/>
    <col min="15632" max="15632" width="14.1796875" style="1" customWidth="1"/>
    <col min="15633" max="15633" width="6.1796875" style="1" customWidth="1"/>
    <col min="15634" max="15634" width="12.81640625" style="1" bestFit="1" customWidth="1"/>
    <col min="15635" max="15635" width="21.1796875" style="1" bestFit="1" customWidth="1"/>
    <col min="15636" max="15636" width="14.1796875" style="1" bestFit="1" customWidth="1"/>
    <col min="15637" max="15637" width="12.1796875" style="1" bestFit="1" customWidth="1"/>
    <col min="15638" max="15872" width="9.1796875" style="1"/>
    <col min="15873" max="15873" width="4.81640625" style="1" customWidth="1"/>
    <col min="15874" max="15874" width="86.453125" style="1" customWidth="1"/>
    <col min="15875" max="15875" width="10.1796875" style="1" bestFit="1" customWidth="1"/>
    <col min="15876" max="15876" width="9.453125" style="1" customWidth="1"/>
    <col min="15877" max="15877" width="9.1796875" style="1"/>
    <col min="15878" max="15878" width="10.1796875" style="1" customWidth="1"/>
    <col min="15879" max="15879" width="10.81640625" style="1" customWidth="1"/>
    <col min="15880" max="15880" width="11.1796875" style="1" customWidth="1"/>
    <col min="15881" max="15881" width="13.453125" style="1" customWidth="1"/>
    <col min="15882" max="15882" width="14.453125" style="1" customWidth="1"/>
    <col min="15883" max="15883" width="11.453125" style="1" customWidth="1"/>
    <col min="15884" max="15884" width="9.81640625" style="1" customWidth="1"/>
    <col min="15885" max="15885" width="7.81640625" style="1" customWidth="1"/>
    <col min="15886" max="15886" width="18.453125" style="1" customWidth="1"/>
    <col min="15887" max="15887" width="3.81640625" style="1" customWidth="1"/>
    <col min="15888" max="15888" width="14.1796875" style="1" customWidth="1"/>
    <col min="15889" max="15889" width="6.1796875" style="1" customWidth="1"/>
    <col min="15890" max="15890" width="12.81640625" style="1" bestFit="1" customWidth="1"/>
    <col min="15891" max="15891" width="21.1796875" style="1" bestFit="1" customWidth="1"/>
    <col min="15892" max="15892" width="14.1796875" style="1" bestFit="1" customWidth="1"/>
    <col min="15893" max="15893" width="12.1796875" style="1" bestFit="1" customWidth="1"/>
    <col min="15894" max="16128" width="9.1796875" style="1"/>
    <col min="16129" max="16129" width="4.81640625" style="1" customWidth="1"/>
    <col min="16130" max="16130" width="86.453125" style="1" customWidth="1"/>
    <col min="16131" max="16131" width="10.1796875" style="1" bestFit="1" customWidth="1"/>
    <col min="16132" max="16132" width="9.453125" style="1" customWidth="1"/>
    <col min="16133" max="16133" width="9.1796875" style="1"/>
    <col min="16134" max="16134" width="10.1796875" style="1" customWidth="1"/>
    <col min="16135" max="16135" width="10.81640625" style="1" customWidth="1"/>
    <col min="16136" max="16136" width="11.1796875" style="1" customWidth="1"/>
    <col min="16137" max="16137" width="13.453125" style="1" customWidth="1"/>
    <col min="16138" max="16138" width="14.453125" style="1" customWidth="1"/>
    <col min="16139" max="16139" width="11.453125" style="1" customWidth="1"/>
    <col min="16140" max="16140" width="9.81640625" style="1" customWidth="1"/>
    <col min="16141" max="16141" width="7.81640625" style="1" customWidth="1"/>
    <col min="16142" max="16142" width="18.453125" style="1" customWidth="1"/>
    <col min="16143" max="16143" width="3.81640625" style="1" customWidth="1"/>
    <col min="16144" max="16144" width="14.1796875" style="1" customWidth="1"/>
    <col min="16145" max="16145" width="6.1796875" style="1" customWidth="1"/>
    <col min="16146" max="16146" width="12.81640625" style="1" bestFit="1" customWidth="1"/>
    <col min="16147" max="16147" width="21.1796875" style="1" bestFit="1" customWidth="1"/>
    <col min="16148" max="16148" width="14.1796875" style="1" bestFit="1" customWidth="1"/>
    <col min="16149" max="16149" width="12.1796875" style="1" bestFit="1" customWidth="1"/>
    <col min="16150" max="16384" width="9.1796875" style="1"/>
  </cols>
  <sheetData>
    <row r="1" spans="1:20" ht="28" customHeight="1" x14ac:dyDescent="0.35">
      <c r="A1" s="121" t="s">
        <v>0</v>
      </c>
      <c r="B1" s="122"/>
      <c r="C1" s="123"/>
      <c r="D1" s="124"/>
    </row>
    <row r="2" spans="1:20" ht="17.5" x14ac:dyDescent="0.35">
      <c r="A2" s="142" t="s">
        <v>1</v>
      </c>
      <c r="B2" s="134"/>
      <c r="C2" s="134"/>
      <c r="D2" s="135"/>
    </row>
    <row r="3" spans="1:20" ht="42" customHeight="1" x14ac:dyDescent="0.35">
      <c r="A3" s="142" t="s">
        <v>2</v>
      </c>
      <c r="B3" s="134"/>
      <c r="C3" s="134"/>
      <c r="D3" s="135"/>
    </row>
    <row r="4" spans="1:20" ht="41.15" customHeight="1" x14ac:dyDescent="0.35">
      <c r="A4" s="142" t="s">
        <v>3</v>
      </c>
      <c r="B4" s="134"/>
      <c r="C4" s="134"/>
      <c r="D4" s="135"/>
    </row>
    <row r="5" spans="1:20" ht="78" customHeight="1" x14ac:dyDescent="0.35">
      <c r="A5" s="133" t="s">
        <v>4</v>
      </c>
      <c r="B5" s="134"/>
      <c r="C5" s="134"/>
      <c r="D5" s="135"/>
    </row>
    <row r="6" spans="1:20" ht="41.15" customHeight="1" x14ac:dyDescent="0.35">
      <c r="A6" s="133" t="s">
        <v>5</v>
      </c>
      <c r="B6" s="134"/>
      <c r="C6" s="134"/>
      <c r="D6" s="135"/>
    </row>
    <row r="7" spans="1:20" s="29" customFormat="1" ht="32.15" customHeight="1" x14ac:dyDescent="0.35">
      <c r="A7" s="136" t="s">
        <v>6</v>
      </c>
      <c r="B7" s="137"/>
      <c r="C7" s="137"/>
      <c r="D7" s="138"/>
      <c r="F7" s="30"/>
      <c r="G7" s="120"/>
      <c r="H7" s="30"/>
      <c r="I7" s="30"/>
      <c r="J7" s="30"/>
      <c r="R7" s="31"/>
      <c r="T7" s="31"/>
    </row>
    <row r="8" spans="1:20" s="29" customFormat="1" ht="42" customHeight="1" x14ac:dyDescent="0.35">
      <c r="A8" s="136" t="s">
        <v>7</v>
      </c>
      <c r="B8" s="137"/>
      <c r="C8" s="137"/>
      <c r="D8" s="138"/>
      <c r="F8" s="30"/>
      <c r="G8" s="120"/>
      <c r="H8" s="30"/>
      <c r="I8" s="30"/>
      <c r="J8" s="30"/>
      <c r="R8" s="31"/>
      <c r="T8" s="31"/>
    </row>
    <row r="9" spans="1:20" s="29" customFormat="1" ht="42" customHeight="1" x14ac:dyDescent="0.35">
      <c r="A9" s="136" t="s">
        <v>8</v>
      </c>
      <c r="B9" s="137"/>
      <c r="C9" s="137"/>
      <c r="D9" s="138"/>
      <c r="F9" s="30"/>
      <c r="G9" s="120"/>
      <c r="H9" s="30"/>
      <c r="I9" s="30"/>
      <c r="J9" s="30"/>
      <c r="R9" s="31"/>
      <c r="T9" s="31"/>
    </row>
    <row r="10" spans="1:20" s="29" customFormat="1" ht="34" customHeight="1" thickBot="1" x14ac:dyDescent="0.4">
      <c r="A10" s="139" t="s">
        <v>9</v>
      </c>
      <c r="B10" s="140"/>
      <c r="C10" s="140"/>
      <c r="D10" s="141"/>
      <c r="F10" s="30"/>
      <c r="G10" s="120"/>
      <c r="H10" s="30"/>
      <c r="I10" s="30"/>
      <c r="J10" s="30"/>
      <c r="R10" s="31"/>
      <c r="T10" s="31"/>
    </row>
    <row r="11" spans="1:20" ht="14" thickBot="1" x14ac:dyDescent="0.4"/>
    <row r="12" spans="1:20" s="29" customFormat="1" ht="42.65" customHeight="1" thickBot="1" x14ac:dyDescent="0.4">
      <c r="A12" s="126" t="s">
        <v>10</v>
      </c>
      <c r="B12" s="127"/>
      <c r="C12" s="127"/>
      <c r="D12" s="127"/>
      <c r="E12" s="30"/>
      <c r="F12" s="131" t="s">
        <v>11</v>
      </c>
      <c r="G12" s="54" t="s">
        <v>12</v>
      </c>
      <c r="I12" s="30"/>
      <c r="R12" s="31"/>
      <c r="T12" s="31"/>
    </row>
    <row r="13" spans="1:20" s="29" customFormat="1" ht="29.15" customHeight="1" thickBot="1" x14ac:dyDescent="0.4">
      <c r="A13" s="43" t="s">
        <v>13</v>
      </c>
      <c r="B13" s="69"/>
      <c r="C13" s="70"/>
      <c r="D13" s="71"/>
      <c r="E13" s="30"/>
      <c r="F13" s="132"/>
      <c r="G13" s="84">
        <v>7</v>
      </c>
      <c r="I13" s="30"/>
      <c r="R13" s="37"/>
      <c r="T13" s="37"/>
    </row>
    <row r="14" spans="1:20" s="29" customFormat="1" ht="29.15" customHeight="1" thickBot="1" x14ac:dyDescent="0.4">
      <c r="A14" s="44" t="s">
        <v>14</v>
      </c>
      <c r="B14" s="72"/>
      <c r="C14" s="73"/>
      <c r="D14" s="74"/>
      <c r="E14" s="30"/>
      <c r="F14" s="67" t="s">
        <v>15</v>
      </c>
      <c r="G14" s="85">
        <v>5</v>
      </c>
      <c r="H14" s="67">
        <f>G14*G13</f>
        <v>35</v>
      </c>
      <c r="I14" s="30"/>
      <c r="R14" s="37"/>
      <c r="T14" s="37"/>
    </row>
    <row r="15" spans="1:20" s="29" customFormat="1" ht="29.15" customHeight="1" x14ac:dyDescent="0.35">
      <c r="A15" s="44" t="s">
        <v>16</v>
      </c>
      <c r="B15" s="72"/>
      <c r="C15" s="73"/>
      <c r="D15" s="74"/>
      <c r="E15" s="30"/>
      <c r="F15" s="53" t="s">
        <v>17</v>
      </c>
      <c r="G15" s="54" t="s">
        <v>12</v>
      </c>
      <c r="H15" s="30"/>
      <c r="I15" s="30"/>
      <c r="R15" s="37"/>
      <c r="T15" s="37"/>
    </row>
    <row r="16" spans="1:20" s="29" customFormat="1" ht="29.15" customHeight="1" thickBot="1" x14ac:dyDescent="0.4">
      <c r="A16" s="49" t="s">
        <v>18</v>
      </c>
      <c r="B16" s="75"/>
      <c r="C16" s="76"/>
      <c r="D16" s="77"/>
      <c r="E16" s="30"/>
      <c r="F16" s="55" t="s">
        <v>19</v>
      </c>
      <c r="G16" s="56">
        <v>7.5</v>
      </c>
      <c r="H16" s="30"/>
      <c r="I16" s="30"/>
      <c r="R16" s="37"/>
      <c r="T16" s="37"/>
    </row>
    <row r="17" spans="1:20" s="29" customFormat="1" ht="16" customHeight="1" x14ac:dyDescent="0.35">
      <c r="A17" s="32"/>
      <c r="B17" s="38"/>
      <c r="C17" s="39"/>
      <c r="D17" s="45"/>
      <c r="E17" s="30"/>
      <c r="F17" s="55" t="s">
        <v>20</v>
      </c>
      <c r="G17" s="56">
        <v>6.5</v>
      </c>
      <c r="H17" s="30"/>
      <c r="I17" s="30"/>
      <c r="R17" s="37"/>
      <c r="T17" s="37"/>
    </row>
    <row r="18" spans="1:20" s="29" customFormat="1" ht="50.15" customHeight="1" thickBot="1" x14ac:dyDescent="0.4">
      <c r="A18" s="47" t="s">
        <v>21</v>
      </c>
      <c r="B18" s="47" t="s">
        <v>22</v>
      </c>
      <c r="C18" s="47" t="s">
        <v>23</v>
      </c>
      <c r="D18" s="47" t="s">
        <v>24</v>
      </c>
      <c r="E18" s="33"/>
      <c r="F18" s="57" t="s">
        <v>25</v>
      </c>
      <c r="G18" s="58">
        <v>8.5</v>
      </c>
      <c r="H18" s="30"/>
      <c r="I18" s="33"/>
      <c r="J18" s="34"/>
      <c r="R18" s="31"/>
      <c r="T18" s="31"/>
    </row>
    <row r="19" spans="1:20" s="29" customFormat="1" ht="45.5" thickBot="1" x14ac:dyDescent="0.4">
      <c r="A19" s="27">
        <v>1</v>
      </c>
      <c r="B19" s="78" t="s">
        <v>26</v>
      </c>
      <c r="C19" s="86"/>
      <c r="D19" s="27" t="s">
        <v>27</v>
      </c>
      <c r="E19" s="33"/>
      <c r="F19" s="51" t="s">
        <v>28</v>
      </c>
      <c r="G19" s="52">
        <f>AVERAGE(G16:G18)</f>
        <v>7.5</v>
      </c>
      <c r="H19" s="67">
        <f>G19*6</f>
        <v>45</v>
      </c>
      <c r="I19" s="33"/>
      <c r="J19" s="34"/>
      <c r="R19" s="31"/>
      <c r="T19" s="31"/>
    </row>
    <row r="20" spans="1:20" s="29" customFormat="1" ht="15.5" thickBot="1" x14ac:dyDescent="0.4">
      <c r="A20" s="27">
        <v>2</v>
      </c>
      <c r="B20" s="78" t="s">
        <v>29</v>
      </c>
      <c r="C20" s="87" t="e" cm="1">
        <f t="array" ref="C20">_xlfn.IFS(C19=G13,H14,C19=G19,H20,C19=G24,H25)</f>
        <v>#N/A</v>
      </c>
      <c r="D20" s="27" t="s">
        <v>30</v>
      </c>
      <c r="E20" s="33"/>
      <c r="F20" s="67" t="s">
        <v>15</v>
      </c>
      <c r="G20" s="85">
        <v>6</v>
      </c>
      <c r="H20" s="67">
        <f>G20*G19</f>
        <v>45</v>
      </c>
      <c r="I20" s="33"/>
      <c r="J20" s="34"/>
      <c r="R20" s="31"/>
      <c r="T20" s="31"/>
    </row>
    <row r="21" spans="1:20" s="29" customFormat="1" ht="30" x14ac:dyDescent="0.35">
      <c r="A21" s="27">
        <v>3</v>
      </c>
      <c r="B21" s="78" t="s">
        <v>31</v>
      </c>
      <c r="C21" s="87">
        <v>366</v>
      </c>
      <c r="D21" s="27" t="s">
        <v>32</v>
      </c>
      <c r="E21" s="33"/>
      <c r="F21" s="53" t="s">
        <v>33</v>
      </c>
      <c r="G21" s="54" t="s">
        <v>12</v>
      </c>
      <c r="H21" s="33"/>
      <c r="I21" s="33"/>
      <c r="J21" s="34"/>
      <c r="R21" s="31"/>
      <c r="T21" s="31"/>
    </row>
    <row r="22" spans="1:20" s="29" customFormat="1" ht="15" x14ac:dyDescent="0.35">
      <c r="A22" s="27">
        <v>4</v>
      </c>
      <c r="B22" s="78" t="s">
        <v>34</v>
      </c>
      <c r="C22" s="87">
        <v>52</v>
      </c>
      <c r="D22" s="27" t="s">
        <v>35</v>
      </c>
      <c r="E22" s="33"/>
      <c r="F22" s="55" t="s">
        <v>36</v>
      </c>
      <c r="G22" s="56">
        <v>10</v>
      </c>
      <c r="H22" s="33"/>
      <c r="I22" s="33"/>
      <c r="J22" s="34"/>
      <c r="R22" s="31"/>
      <c r="T22" s="31"/>
    </row>
    <row r="23" spans="1:20" s="29" customFormat="1" ht="15.5" thickBot="1" x14ac:dyDescent="0.4">
      <c r="A23" s="27">
        <v>5</v>
      </c>
      <c r="B23" s="78" t="s">
        <v>37</v>
      </c>
      <c r="C23" s="88">
        <v>12</v>
      </c>
      <c r="D23" s="27" t="s">
        <v>32</v>
      </c>
      <c r="E23" s="33"/>
      <c r="F23" s="55" t="s">
        <v>38</v>
      </c>
      <c r="G23" s="56">
        <v>10</v>
      </c>
      <c r="H23" s="33"/>
      <c r="I23" s="33"/>
      <c r="J23" s="34"/>
      <c r="R23" s="31"/>
      <c r="T23" s="31"/>
    </row>
    <row r="24" spans="1:20" s="29" customFormat="1" ht="45.5" thickBot="1" x14ac:dyDescent="0.4">
      <c r="A24" s="27">
        <v>6</v>
      </c>
      <c r="B24" s="78" t="s">
        <v>39</v>
      </c>
      <c r="C24" s="89">
        <f>IF(C19=7,17,0)</f>
        <v>0</v>
      </c>
      <c r="D24" s="27" t="s">
        <v>32</v>
      </c>
      <c r="E24" s="33"/>
      <c r="F24" s="51" t="s">
        <v>28</v>
      </c>
      <c r="G24" s="52">
        <f>AVERAGE(G22:G23)</f>
        <v>10</v>
      </c>
      <c r="H24" s="68">
        <f>G24*4</f>
        <v>40</v>
      </c>
      <c r="I24" s="33"/>
      <c r="J24" s="34"/>
      <c r="R24" s="31"/>
      <c r="T24" s="31"/>
    </row>
    <row r="25" spans="1:20" s="29" customFormat="1" ht="15" x14ac:dyDescent="0.35">
      <c r="A25" s="27">
        <v>7</v>
      </c>
      <c r="B25" s="79" t="s">
        <v>40</v>
      </c>
      <c r="C25" s="90">
        <v>6</v>
      </c>
      <c r="D25" s="27" t="s">
        <v>32</v>
      </c>
      <c r="E25" s="33"/>
      <c r="F25" s="67" t="s">
        <v>15</v>
      </c>
      <c r="G25" s="85">
        <v>4</v>
      </c>
      <c r="H25" s="68">
        <f>G25*G24</f>
        <v>40</v>
      </c>
      <c r="I25" s="33"/>
      <c r="J25" s="34"/>
      <c r="R25" s="31"/>
      <c r="T25" s="31"/>
    </row>
    <row r="26" spans="1:20" s="29" customFormat="1" ht="15" x14ac:dyDescent="0.35">
      <c r="A26" s="27">
        <v>8</v>
      </c>
      <c r="B26" s="78" t="s">
        <v>41</v>
      </c>
      <c r="C26" s="89">
        <f>IF(C19=7,52,0)</f>
        <v>0</v>
      </c>
      <c r="D26" s="27" t="s">
        <v>32</v>
      </c>
      <c r="E26" s="33"/>
      <c r="F26" s="33"/>
      <c r="G26" s="80"/>
      <c r="H26" s="33"/>
      <c r="I26" s="33"/>
      <c r="J26" s="34"/>
      <c r="R26" s="31"/>
      <c r="T26" s="31"/>
    </row>
    <row r="27" spans="1:20" s="29" customFormat="1" ht="15" x14ac:dyDescent="0.35">
      <c r="A27" s="27">
        <v>9</v>
      </c>
      <c r="B27" s="79" t="s">
        <v>42</v>
      </c>
      <c r="C27" s="89">
        <f>IF(C19=7,52,0)</f>
        <v>0</v>
      </c>
      <c r="D27" s="27" t="s">
        <v>32</v>
      </c>
      <c r="E27" s="33"/>
      <c r="F27" s="33"/>
      <c r="G27" s="80"/>
      <c r="H27" s="33"/>
      <c r="I27" s="33"/>
      <c r="J27" s="34"/>
      <c r="R27" s="31"/>
      <c r="T27" s="31"/>
    </row>
    <row r="28" spans="1:20" s="29" customFormat="1" ht="15" x14ac:dyDescent="0.35">
      <c r="A28" s="27">
        <v>10</v>
      </c>
      <c r="B28" s="78" t="s">
        <v>361</v>
      </c>
      <c r="C28" s="87">
        <f>C21-C23-C24-C25-C26-C27</f>
        <v>348</v>
      </c>
      <c r="D28" s="27" t="s">
        <v>32</v>
      </c>
      <c r="E28" s="36"/>
      <c r="F28" s="68" t="s">
        <v>32</v>
      </c>
      <c r="G28" s="80"/>
      <c r="H28" s="33"/>
      <c r="I28" s="33"/>
      <c r="J28" s="34"/>
      <c r="R28" s="31"/>
      <c r="T28" s="31"/>
    </row>
    <row r="29" spans="1:20" s="29" customFormat="1" ht="15" x14ac:dyDescent="0.35">
      <c r="A29" s="27">
        <v>11</v>
      </c>
      <c r="B29" s="78" t="s">
        <v>362</v>
      </c>
      <c r="C29" s="87">
        <f>C28*C19</f>
        <v>0</v>
      </c>
      <c r="D29" s="27" t="s">
        <v>43</v>
      </c>
      <c r="E29" s="33"/>
      <c r="F29" s="68" t="s">
        <v>35</v>
      </c>
      <c r="G29" s="80"/>
      <c r="H29" s="33"/>
      <c r="I29" s="33"/>
      <c r="J29" s="34"/>
      <c r="Q29" s="31"/>
      <c r="S29" s="31"/>
    </row>
    <row r="30" spans="1:20" s="29" customFormat="1" ht="15" x14ac:dyDescent="0.35">
      <c r="A30" s="27">
        <v>12</v>
      </c>
      <c r="B30" s="78" t="s">
        <v>44</v>
      </c>
      <c r="C30" s="108">
        <v>0.9</v>
      </c>
      <c r="D30" s="27" t="s">
        <v>45</v>
      </c>
      <c r="E30" s="33"/>
      <c r="F30" s="68" t="s">
        <v>46</v>
      </c>
      <c r="G30" s="100"/>
      <c r="H30" s="101"/>
      <c r="I30" s="102"/>
      <c r="J30" s="34"/>
      <c r="Q30" s="31"/>
      <c r="S30" s="31"/>
    </row>
    <row r="31" spans="1:20" s="29" customFormat="1" ht="15" x14ac:dyDescent="0.35">
      <c r="A31" s="27">
        <v>13</v>
      </c>
      <c r="B31" s="50" t="s">
        <v>47</v>
      </c>
      <c r="C31" s="91">
        <f>C29*(C30)</f>
        <v>0</v>
      </c>
      <c r="D31" s="27" t="s">
        <v>48</v>
      </c>
      <c r="E31" s="103"/>
      <c r="F31" s="68" t="s">
        <v>49</v>
      </c>
      <c r="G31" s="104"/>
      <c r="H31" s="34"/>
      <c r="I31" s="105"/>
      <c r="J31" s="34"/>
      <c r="Q31" s="31"/>
      <c r="S31" s="31"/>
    </row>
    <row r="32" spans="1:20" s="29" customFormat="1" ht="15" x14ac:dyDescent="0.35">
      <c r="A32" s="22"/>
      <c r="B32" s="35"/>
      <c r="C32" s="92">
        <f>C31/12</f>
        <v>0</v>
      </c>
      <c r="D32" s="27" t="s">
        <v>50</v>
      </c>
      <c r="E32" s="103"/>
      <c r="F32" s="34"/>
      <c r="G32" s="106"/>
      <c r="H32" s="34"/>
      <c r="I32" s="107"/>
      <c r="J32" s="34"/>
      <c r="Q32" s="31"/>
      <c r="S32" s="31"/>
    </row>
    <row r="33" spans="1:20" s="29" customFormat="1" ht="15" x14ac:dyDescent="0.35">
      <c r="A33" s="22"/>
      <c r="B33" s="35"/>
      <c r="C33" s="92">
        <f>C31/C22</f>
        <v>0</v>
      </c>
      <c r="D33" s="27" t="s">
        <v>51</v>
      </c>
      <c r="E33" s="103"/>
      <c r="F33" s="34"/>
      <c r="G33" s="106"/>
      <c r="H33" s="34"/>
      <c r="I33" s="33"/>
      <c r="J33" s="34"/>
      <c r="Q33" s="31"/>
      <c r="S33" s="31"/>
    </row>
    <row r="34" spans="1:20" s="29" customFormat="1" ht="15" x14ac:dyDescent="0.35">
      <c r="A34" s="22"/>
      <c r="B34" s="35"/>
      <c r="C34" s="92">
        <f>C31/C28</f>
        <v>0</v>
      </c>
      <c r="D34" s="27" t="s">
        <v>52</v>
      </c>
      <c r="E34" s="103"/>
      <c r="F34" s="34"/>
      <c r="G34" s="106"/>
      <c r="H34" s="34"/>
      <c r="I34" s="33"/>
      <c r="J34" s="34"/>
      <c r="Q34" s="31"/>
      <c r="S34" s="31"/>
    </row>
    <row r="35" spans="1:20" x14ac:dyDescent="0.35">
      <c r="B35" s="5"/>
      <c r="C35" s="40"/>
      <c r="H35" s="1"/>
      <c r="J35" s="1"/>
      <c r="Q35" s="3"/>
      <c r="R35" s="1"/>
      <c r="S35" s="3"/>
      <c r="T35" s="1"/>
    </row>
    <row r="36" spans="1:20" ht="26.15" customHeight="1" x14ac:dyDescent="0.35">
      <c r="A36" s="42" t="s">
        <v>53</v>
      </c>
      <c r="B36" s="42">
        <f>B13</f>
        <v>0</v>
      </c>
      <c r="C36" s="15"/>
      <c r="D36" s="46"/>
      <c r="E36" s="13"/>
      <c r="F36" s="12"/>
      <c r="G36" s="82"/>
      <c r="H36" s="12"/>
      <c r="I36" s="12"/>
      <c r="J36" s="12"/>
      <c r="K36" s="13"/>
      <c r="L36" s="13"/>
      <c r="M36" s="13"/>
      <c r="N36" s="13"/>
    </row>
    <row r="37" spans="1:20" ht="25" customHeight="1" x14ac:dyDescent="0.35">
      <c r="A37" s="128" t="s">
        <v>21</v>
      </c>
      <c r="B37" s="128" t="s">
        <v>54</v>
      </c>
      <c r="C37" s="128" t="s">
        <v>55</v>
      </c>
      <c r="D37" s="128" t="s">
        <v>56</v>
      </c>
      <c r="E37" s="119" t="s">
        <v>57</v>
      </c>
      <c r="F37" s="59"/>
      <c r="G37" s="59"/>
      <c r="H37" s="59"/>
      <c r="I37" s="59"/>
      <c r="J37" s="60"/>
      <c r="K37" s="60"/>
      <c r="L37" s="60"/>
      <c r="M37" s="130"/>
      <c r="N37" s="16"/>
      <c r="O37" s="4"/>
    </row>
    <row r="38" spans="1:20" ht="25" customHeight="1" x14ac:dyDescent="0.35">
      <c r="A38" s="129"/>
      <c r="B38" s="129"/>
      <c r="C38" s="129"/>
      <c r="D38" s="129"/>
      <c r="E38" s="119" t="s">
        <v>58</v>
      </c>
      <c r="F38" s="59"/>
      <c r="G38" s="59"/>
      <c r="H38" s="59"/>
      <c r="I38" s="59"/>
      <c r="J38" s="60"/>
      <c r="K38" s="60"/>
      <c r="L38" s="60"/>
      <c r="M38" s="130"/>
      <c r="N38" s="16"/>
      <c r="O38" s="4"/>
    </row>
    <row r="39" spans="1:20" ht="45" x14ac:dyDescent="0.35">
      <c r="A39" s="109" t="s">
        <v>59</v>
      </c>
      <c r="B39" s="110" t="s">
        <v>60</v>
      </c>
      <c r="C39" s="109">
        <v>1</v>
      </c>
      <c r="D39" s="109" t="s">
        <v>32</v>
      </c>
      <c r="E39" s="109">
        <v>6</v>
      </c>
      <c r="F39" s="111"/>
      <c r="G39" s="59"/>
      <c r="H39" s="59"/>
      <c r="I39" s="59"/>
      <c r="J39" s="60"/>
      <c r="K39" s="60"/>
      <c r="L39" s="60"/>
      <c r="M39" s="59"/>
      <c r="N39" s="16"/>
      <c r="O39" s="4"/>
    </row>
    <row r="40" spans="1:20" ht="24" customHeight="1" x14ac:dyDescent="0.35">
      <c r="A40" s="26">
        <v>1</v>
      </c>
      <c r="B40" s="93"/>
      <c r="C40" s="94"/>
      <c r="D40" s="94"/>
      <c r="E40" s="95"/>
      <c r="F40" s="61"/>
      <c r="G40" s="83"/>
      <c r="H40" s="61"/>
      <c r="I40" s="61"/>
      <c r="J40" s="61"/>
      <c r="K40" s="62"/>
      <c r="L40" s="63"/>
      <c r="M40" s="64"/>
      <c r="N40" s="17"/>
      <c r="O40" s="7"/>
    </row>
    <row r="41" spans="1:20" ht="24" customHeight="1" x14ac:dyDescent="0.35">
      <c r="A41" s="26">
        <v>2</v>
      </c>
      <c r="B41" s="93"/>
      <c r="C41" s="94"/>
      <c r="D41" s="94"/>
      <c r="E41" s="95"/>
      <c r="F41" s="61"/>
      <c r="G41" s="83"/>
      <c r="H41" s="61"/>
      <c r="I41" s="61"/>
      <c r="J41" s="61"/>
      <c r="K41" s="62"/>
      <c r="L41" s="63"/>
      <c r="M41" s="64"/>
      <c r="N41" s="17"/>
      <c r="O41" s="7"/>
    </row>
    <row r="42" spans="1:20" ht="24" customHeight="1" x14ac:dyDescent="0.35">
      <c r="A42" s="26">
        <v>3</v>
      </c>
      <c r="B42" s="93"/>
      <c r="C42" s="94"/>
      <c r="D42" s="94"/>
      <c r="E42" s="95"/>
      <c r="F42" s="61"/>
      <c r="G42" s="83"/>
      <c r="H42" s="61"/>
      <c r="I42" s="61"/>
      <c r="J42" s="61"/>
      <c r="K42" s="62"/>
      <c r="L42" s="63"/>
      <c r="M42" s="64"/>
      <c r="N42" s="17"/>
      <c r="O42" s="7"/>
    </row>
    <row r="43" spans="1:20" ht="24" customHeight="1" x14ac:dyDescent="0.35">
      <c r="A43" s="26">
        <v>4</v>
      </c>
      <c r="B43" s="93"/>
      <c r="C43" s="94"/>
      <c r="D43" s="94"/>
      <c r="E43" s="95"/>
      <c r="F43" s="61"/>
      <c r="G43" s="83"/>
      <c r="H43" s="61"/>
      <c r="I43" s="61"/>
      <c r="J43" s="61"/>
      <c r="K43" s="62"/>
      <c r="L43" s="63"/>
      <c r="M43" s="64"/>
      <c r="N43" s="17"/>
      <c r="O43" s="7"/>
    </row>
    <row r="44" spans="1:20" ht="24" customHeight="1" x14ac:dyDescent="0.35">
      <c r="A44" s="26">
        <v>5</v>
      </c>
      <c r="B44" s="93"/>
      <c r="C44" s="94"/>
      <c r="D44" s="94"/>
      <c r="E44" s="95"/>
      <c r="F44" s="61"/>
      <c r="G44" s="83"/>
      <c r="H44" s="61"/>
      <c r="I44" s="61"/>
      <c r="J44" s="61"/>
      <c r="K44" s="62"/>
      <c r="L44" s="63"/>
      <c r="M44" s="64"/>
      <c r="N44" s="17"/>
      <c r="O44" s="7"/>
    </row>
    <row r="45" spans="1:20" ht="24" customHeight="1" x14ac:dyDescent="0.35">
      <c r="A45" s="26">
        <v>6</v>
      </c>
      <c r="B45" s="93"/>
      <c r="C45" s="94"/>
      <c r="D45" s="94"/>
      <c r="E45" s="95"/>
      <c r="F45" s="61"/>
      <c r="G45" s="83"/>
      <c r="H45" s="61"/>
      <c r="I45" s="61"/>
      <c r="J45" s="61"/>
      <c r="K45" s="62"/>
      <c r="L45" s="63"/>
      <c r="M45" s="64"/>
      <c r="N45" s="17"/>
      <c r="O45" s="7"/>
    </row>
    <row r="46" spans="1:20" ht="24" customHeight="1" x14ac:dyDescent="0.35">
      <c r="A46" s="26">
        <v>7</v>
      </c>
      <c r="B46" s="93"/>
      <c r="C46" s="94"/>
      <c r="D46" s="94"/>
      <c r="E46" s="95"/>
      <c r="F46" s="61"/>
      <c r="G46" s="83"/>
      <c r="H46" s="61"/>
      <c r="I46" s="61"/>
      <c r="J46" s="61"/>
      <c r="K46" s="62"/>
      <c r="L46" s="63"/>
      <c r="M46" s="64"/>
      <c r="N46" s="17"/>
      <c r="O46" s="7"/>
    </row>
    <row r="47" spans="1:20" ht="24" customHeight="1" x14ac:dyDescent="0.35">
      <c r="A47" s="26">
        <v>8</v>
      </c>
      <c r="B47" s="93"/>
      <c r="C47" s="94"/>
      <c r="D47" s="94"/>
      <c r="E47" s="95"/>
      <c r="F47" s="61"/>
      <c r="G47" s="83"/>
      <c r="H47" s="61"/>
      <c r="I47" s="61"/>
      <c r="J47" s="61"/>
      <c r="K47" s="62"/>
      <c r="L47" s="63"/>
      <c r="M47" s="64"/>
      <c r="N47" s="17"/>
      <c r="O47" s="7"/>
    </row>
    <row r="48" spans="1:20" ht="24" customHeight="1" x14ac:dyDescent="0.35">
      <c r="A48" s="26">
        <v>9</v>
      </c>
      <c r="B48" s="93"/>
      <c r="C48" s="94"/>
      <c r="D48" s="94"/>
      <c r="E48" s="95"/>
      <c r="F48" s="61"/>
      <c r="G48" s="83"/>
      <c r="H48" s="61"/>
      <c r="I48" s="61"/>
      <c r="J48" s="61"/>
      <c r="K48" s="62"/>
      <c r="L48" s="63"/>
      <c r="M48" s="64"/>
      <c r="N48" s="17"/>
      <c r="O48" s="7"/>
    </row>
    <row r="49" spans="1:23" ht="24" customHeight="1" x14ac:dyDescent="0.35">
      <c r="A49" s="26">
        <v>10</v>
      </c>
      <c r="B49" s="93"/>
      <c r="C49" s="94"/>
      <c r="D49" s="94"/>
      <c r="E49" s="95"/>
      <c r="F49" s="61"/>
      <c r="G49" s="83"/>
      <c r="H49" s="61"/>
      <c r="I49" s="61"/>
      <c r="J49" s="61"/>
      <c r="K49" s="62"/>
      <c r="L49" s="63"/>
      <c r="M49" s="64"/>
      <c r="N49" s="17"/>
      <c r="O49" s="7"/>
    </row>
    <row r="50" spans="1:23" ht="24" customHeight="1" x14ac:dyDescent="0.35">
      <c r="A50" s="26">
        <v>11</v>
      </c>
      <c r="B50" s="93"/>
      <c r="C50" s="94"/>
      <c r="D50" s="94"/>
      <c r="E50" s="95"/>
      <c r="F50" s="61"/>
      <c r="G50" s="83"/>
      <c r="H50" s="61"/>
      <c r="I50" s="61"/>
      <c r="J50" s="61"/>
      <c r="K50" s="62"/>
      <c r="L50" s="63"/>
      <c r="M50" s="64"/>
      <c r="N50" s="17"/>
      <c r="O50" s="7"/>
    </row>
    <row r="51" spans="1:23" ht="24" customHeight="1" x14ac:dyDescent="0.35">
      <c r="A51" s="26">
        <v>12</v>
      </c>
      <c r="B51" s="96"/>
      <c r="C51" s="97"/>
      <c r="D51" s="94"/>
      <c r="E51" s="95"/>
      <c r="F51" s="61"/>
      <c r="G51" s="83"/>
      <c r="H51" s="61"/>
      <c r="I51" s="61"/>
      <c r="J51" s="61"/>
      <c r="K51" s="62"/>
      <c r="L51" s="63"/>
      <c r="M51" s="64"/>
      <c r="N51" s="17"/>
      <c r="O51" s="7"/>
    </row>
    <row r="52" spans="1:23" ht="24" customHeight="1" x14ac:dyDescent="0.35">
      <c r="A52" s="26">
        <v>13</v>
      </c>
      <c r="B52" s="93"/>
      <c r="C52" s="97"/>
      <c r="D52" s="94"/>
      <c r="E52" s="95"/>
      <c r="F52" s="61"/>
      <c r="G52" s="83"/>
      <c r="H52" s="61"/>
      <c r="I52" s="61"/>
      <c r="J52" s="61"/>
      <c r="K52" s="62"/>
      <c r="L52" s="63"/>
      <c r="M52" s="64"/>
      <c r="N52" s="13"/>
    </row>
    <row r="53" spans="1:23" ht="24" customHeight="1" x14ac:dyDescent="0.35">
      <c r="A53" s="26">
        <v>14</v>
      </c>
      <c r="B53" s="93"/>
      <c r="C53" s="97"/>
      <c r="D53" s="94"/>
      <c r="E53" s="95"/>
      <c r="F53" s="61"/>
      <c r="G53" s="83"/>
      <c r="H53" s="61"/>
      <c r="I53" s="61"/>
      <c r="J53" s="61"/>
      <c r="K53" s="62"/>
      <c r="L53" s="63"/>
      <c r="M53" s="64"/>
      <c r="N53" s="13"/>
      <c r="P53" s="8"/>
    </row>
    <row r="54" spans="1:23" ht="24" customHeight="1" x14ac:dyDescent="0.35">
      <c r="A54" s="26">
        <v>15</v>
      </c>
      <c r="B54" s="96"/>
      <c r="C54" s="97"/>
      <c r="D54" s="94"/>
      <c r="E54" s="95"/>
      <c r="F54" s="61"/>
      <c r="G54" s="83"/>
      <c r="H54" s="61"/>
      <c r="I54" s="61"/>
      <c r="J54" s="61"/>
      <c r="K54" s="62"/>
      <c r="L54" s="63"/>
      <c r="M54" s="64"/>
      <c r="N54" s="13"/>
    </row>
    <row r="55" spans="1:23" ht="24" customHeight="1" x14ac:dyDescent="0.35">
      <c r="A55" s="26">
        <v>16</v>
      </c>
      <c r="B55" s="96"/>
      <c r="C55" s="97"/>
      <c r="D55" s="94"/>
      <c r="E55" s="95"/>
      <c r="F55" s="61"/>
      <c r="G55" s="83"/>
      <c r="H55" s="61"/>
      <c r="I55" s="61"/>
      <c r="J55" s="61"/>
      <c r="K55" s="62"/>
      <c r="L55" s="63"/>
      <c r="M55" s="64"/>
      <c r="N55" s="13"/>
    </row>
    <row r="56" spans="1:23" ht="24" customHeight="1" x14ac:dyDescent="0.35">
      <c r="A56" s="26">
        <v>17</v>
      </c>
      <c r="B56" s="96"/>
      <c r="C56" s="97"/>
      <c r="D56" s="94"/>
      <c r="E56" s="95"/>
      <c r="F56" s="61"/>
      <c r="G56" s="83"/>
      <c r="H56" s="61"/>
      <c r="I56" s="61"/>
      <c r="J56" s="61"/>
      <c r="K56" s="62"/>
      <c r="L56" s="63"/>
      <c r="M56" s="64"/>
      <c r="N56" s="13"/>
    </row>
    <row r="57" spans="1:23" ht="24" customHeight="1" x14ac:dyDescent="0.35">
      <c r="A57" s="26">
        <v>18</v>
      </c>
      <c r="B57" s="96"/>
      <c r="C57" s="97"/>
      <c r="D57" s="94"/>
      <c r="E57" s="95"/>
      <c r="F57" s="61"/>
      <c r="G57" s="83"/>
      <c r="H57" s="61"/>
      <c r="I57" s="61"/>
      <c r="J57" s="61"/>
      <c r="K57" s="62"/>
      <c r="L57" s="63"/>
      <c r="M57" s="64"/>
      <c r="N57" s="13"/>
    </row>
    <row r="58" spans="1:23" ht="24" customHeight="1" x14ac:dyDescent="0.35">
      <c r="A58" s="26">
        <v>19</v>
      </c>
      <c r="B58" s="96"/>
      <c r="C58" s="97"/>
      <c r="D58" s="94"/>
      <c r="E58" s="98"/>
      <c r="F58" s="61"/>
      <c r="G58" s="83"/>
      <c r="H58" s="61"/>
      <c r="I58" s="61"/>
      <c r="J58" s="61"/>
      <c r="K58" s="62"/>
      <c r="L58" s="63"/>
      <c r="M58" s="64"/>
      <c r="N58" s="13"/>
    </row>
    <row r="59" spans="1:23" ht="24" customHeight="1" x14ac:dyDescent="0.35">
      <c r="A59" s="26">
        <v>20</v>
      </c>
      <c r="B59" s="99"/>
      <c r="C59" s="97"/>
      <c r="D59" s="94"/>
      <c r="E59" s="98"/>
      <c r="F59" s="61"/>
      <c r="G59" s="83"/>
      <c r="H59" s="61"/>
      <c r="I59" s="61"/>
      <c r="J59" s="61"/>
      <c r="K59" s="62"/>
      <c r="L59" s="63"/>
      <c r="M59" s="64"/>
      <c r="N59" s="18"/>
      <c r="O59" s="9"/>
      <c r="P59" s="9"/>
      <c r="Q59" s="9"/>
      <c r="R59" s="1"/>
      <c r="T59" s="1"/>
      <c r="U59" s="3"/>
      <c r="W59" s="3"/>
    </row>
    <row r="60" spans="1:23" s="10" customFormat="1" ht="15" x14ac:dyDescent="0.3">
      <c r="A60" s="21"/>
      <c r="B60" s="20"/>
      <c r="C60" s="21"/>
      <c r="D60" s="21"/>
      <c r="E60" s="19"/>
      <c r="F60" s="19"/>
      <c r="G60" s="21"/>
      <c r="H60" s="19"/>
      <c r="I60" s="22"/>
      <c r="J60" s="22"/>
      <c r="K60" s="22"/>
      <c r="L60" s="22"/>
      <c r="N60" s="19"/>
    </row>
    <row r="61" spans="1:23" s="10" customFormat="1" ht="24.65" customHeight="1" x14ac:dyDescent="0.3">
      <c r="A61" s="21"/>
      <c r="B61" s="20"/>
      <c r="C61" s="21"/>
      <c r="D61" s="21"/>
      <c r="E61" s="19"/>
      <c r="F61" s="19"/>
      <c r="G61" s="21"/>
      <c r="H61" s="19"/>
      <c r="I61" s="22"/>
      <c r="J61" s="60"/>
      <c r="K61" s="60"/>
      <c r="L61" s="60"/>
      <c r="M61" s="125"/>
      <c r="N61" s="19"/>
    </row>
    <row r="62" spans="1:23" s="10" customFormat="1" ht="24.65" customHeight="1" x14ac:dyDescent="0.3">
      <c r="A62" s="21"/>
      <c r="B62" s="20"/>
      <c r="C62" s="21"/>
      <c r="D62" s="21"/>
      <c r="E62" s="19"/>
      <c r="F62" s="19"/>
      <c r="G62" s="21"/>
      <c r="H62" s="19"/>
      <c r="I62" s="22"/>
      <c r="J62" s="60"/>
      <c r="K62" s="60"/>
      <c r="L62" s="60"/>
      <c r="M62" s="125"/>
      <c r="N62" s="19"/>
    </row>
    <row r="63" spans="1:23" ht="35.5" customHeight="1" x14ac:dyDescent="0.3">
      <c r="A63" s="15"/>
      <c r="C63" s="15"/>
      <c r="D63" s="15"/>
      <c r="E63" s="13"/>
      <c r="F63" s="19"/>
      <c r="G63" s="21"/>
      <c r="H63" s="23"/>
      <c r="I63" s="19"/>
      <c r="J63" s="65"/>
      <c r="K63" s="62"/>
      <c r="L63" s="62"/>
      <c r="M63" s="66"/>
      <c r="N63" s="28"/>
      <c r="R63" s="1"/>
      <c r="T63" s="1"/>
      <c r="U63" s="3"/>
      <c r="W63" s="3"/>
    </row>
    <row r="64" spans="1:23" ht="15" x14ac:dyDescent="0.3">
      <c r="A64" s="15"/>
      <c r="C64" s="15"/>
      <c r="D64" s="15"/>
      <c r="E64" s="13"/>
      <c r="F64" s="19"/>
      <c r="G64" s="21"/>
      <c r="H64" s="23"/>
      <c r="I64" s="19"/>
      <c r="J64" s="24"/>
      <c r="K64" s="25"/>
      <c r="L64" s="25"/>
      <c r="M64" s="13"/>
      <c r="N64" s="13"/>
      <c r="R64" s="1"/>
      <c r="T64" s="1"/>
      <c r="U64" s="3"/>
      <c r="W64" s="3"/>
    </row>
    <row r="65" spans="3:14" ht="15" x14ac:dyDescent="0.35">
      <c r="E65" s="11"/>
      <c r="L65" s="34"/>
      <c r="N65" s="8"/>
    </row>
    <row r="66" spans="3:14" ht="15" x14ac:dyDescent="0.35">
      <c r="L66" s="13"/>
    </row>
    <row r="67" spans="3:14" ht="15" x14ac:dyDescent="0.35">
      <c r="C67" s="41" t="s">
        <v>32</v>
      </c>
      <c r="L67" s="13"/>
    </row>
    <row r="68" spans="3:14" ht="15" x14ac:dyDescent="0.35">
      <c r="C68" s="41" t="s">
        <v>35</v>
      </c>
      <c r="L68" s="13"/>
    </row>
    <row r="69" spans="3:14" ht="15" x14ac:dyDescent="0.35">
      <c r="C69" s="41" t="s">
        <v>46</v>
      </c>
      <c r="L69" s="13"/>
    </row>
    <row r="70" spans="3:14" ht="15" x14ac:dyDescent="0.35">
      <c r="L70" s="48"/>
    </row>
    <row r="71" spans="3:14" ht="15" x14ac:dyDescent="0.35">
      <c r="L71" s="14"/>
    </row>
  </sheetData>
  <mergeCells count="17">
    <mergeCell ref="A6:D6"/>
    <mergeCell ref="A8:D8"/>
    <mergeCell ref="A9:D9"/>
    <mergeCell ref="A10:D10"/>
    <mergeCell ref="A2:D2"/>
    <mergeCell ref="A3:D3"/>
    <mergeCell ref="A4:D4"/>
    <mergeCell ref="A7:D7"/>
    <mergeCell ref="A5:D5"/>
    <mergeCell ref="M61:M62"/>
    <mergeCell ref="A12:D12"/>
    <mergeCell ref="A37:A38"/>
    <mergeCell ref="B37:B38"/>
    <mergeCell ref="C37:C38"/>
    <mergeCell ref="D37:D38"/>
    <mergeCell ref="M37:M38"/>
    <mergeCell ref="F12:F13"/>
  </mergeCells>
  <dataValidations count="3">
    <dataValidation type="list" allowBlank="1" showInputMessage="1" showErrorMessage="1" sqref="WVL983083 IZ59 SV59 ACR59 AMN59 AWJ59 BGF59 BQB59 BZX59 CJT59 CTP59 DDL59 DNH59 DXD59 EGZ59 EQV59 FAR59 FKN59 FUJ59 GEF59 GOB59 GXX59 HHT59 HRP59 IBL59 ILH59 IVD59 JEZ59 JOV59 JYR59 KIN59 KSJ59 LCF59 LMB59 LVX59 MFT59 MPP59 MZL59 NJH59 NTD59 OCZ59 OMV59 OWR59 PGN59 PQJ59 QAF59 QKB59 QTX59 RDT59 RNP59 RXL59 SHH59 SRD59 TAZ59 TKV59 TUR59 UEN59 UOJ59 UYF59 VIB59 VRX59 WBT59 WLP59 WVL59 RDT983083 IZ65579 SV65579 ACR65579 AMN65579 AWJ65579 BGF65579 BQB65579 BZX65579 CJT65579 CTP65579 DDL65579 DNH65579 DXD65579 EGZ65579 EQV65579 FAR65579 FKN65579 FUJ65579 GEF65579 GOB65579 GXX65579 HHT65579 HRP65579 IBL65579 ILH65579 IVD65579 JEZ65579 JOV65579 JYR65579 KIN65579 KSJ65579 LCF65579 LMB65579 LVX65579 MFT65579 MPP65579 MZL65579 NJH65579 NTD65579 OCZ65579 OMV65579 OWR65579 PGN65579 PQJ65579 QAF65579 QKB65579 QTX65579 RDT65579 RNP65579 RXL65579 SHH65579 SRD65579 TAZ65579 TKV65579 TUR65579 UEN65579 UOJ65579 UYF65579 VIB65579 VRX65579 WBT65579 WLP65579 WVL65579 RNP983083 IZ131115 SV131115 ACR131115 AMN131115 AWJ131115 BGF131115 BQB131115 BZX131115 CJT131115 CTP131115 DDL131115 DNH131115 DXD131115 EGZ131115 EQV131115 FAR131115 FKN131115 FUJ131115 GEF131115 GOB131115 GXX131115 HHT131115 HRP131115 IBL131115 ILH131115 IVD131115 JEZ131115 JOV131115 JYR131115 KIN131115 KSJ131115 LCF131115 LMB131115 LVX131115 MFT131115 MPP131115 MZL131115 NJH131115 NTD131115 OCZ131115 OMV131115 OWR131115 PGN131115 PQJ131115 QAF131115 QKB131115 QTX131115 RDT131115 RNP131115 RXL131115 SHH131115 SRD131115 TAZ131115 TKV131115 TUR131115 UEN131115 UOJ131115 UYF131115 VIB131115 VRX131115 WBT131115 WLP131115 WVL131115 RXL983083 IZ196651 SV196651 ACR196651 AMN196651 AWJ196651 BGF196651 BQB196651 BZX196651 CJT196651 CTP196651 DDL196651 DNH196651 DXD196651 EGZ196651 EQV196651 FAR196651 FKN196651 FUJ196651 GEF196651 GOB196651 GXX196651 HHT196651 HRP196651 IBL196651 ILH196651 IVD196651 JEZ196651 JOV196651 JYR196651 KIN196651 KSJ196651 LCF196651 LMB196651 LVX196651 MFT196651 MPP196651 MZL196651 NJH196651 NTD196651 OCZ196651 OMV196651 OWR196651 PGN196651 PQJ196651 QAF196651 QKB196651 QTX196651 RDT196651 RNP196651 RXL196651 SHH196651 SRD196651 TAZ196651 TKV196651 TUR196651 UEN196651 UOJ196651 UYF196651 VIB196651 VRX196651 WBT196651 WLP196651 WVL196651 SHH983083 IZ262187 SV262187 ACR262187 AMN262187 AWJ262187 BGF262187 BQB262187 BZX262187 CJT262187 CTP262187 DDL262187 DNH262187 DXD262187 EGZ262187 EQV262187 FAR262187 FKN262187 FUJ262187 GEF262187 GOB262187 GXX262187 HHT262187 HRP262187 IBL262187 ILH262187 IVD262187 JEZ262187 JOV262187 JYR262187 KIN262187 KSJ262187 LCF262187 LMB262187 LVX262187 MFT262187 MPP262187 MZL262187 NJH262187 NTD262187 OCZ262187 OMV262187 OWR262187 PGN262187 PQJ262187 QAF262187 QKB262187 QTX262187 RDT262187 RNP262187 RXL262187 SHH262187 SRD262187 TAZ262187 TKV262187 TUR262187 UEN262187 UOJ262187 UYF262187 VIB262187 VRX262187 WBT262187 WLP262187 WVL262187 SRD983083 IZ327723 SV327723 ACR327723 AMN327723 AWJ327723 BGF327723 BQB327723 BZX327723 CJT327723 CTP327723 DDL327723 DNH327723 DXD327723 EGZ327723 EQV327723 FAR327723 FKN327723 FUJ327723 GEF327723 GOB327723 GXX327723 HHT327723 HRP327723 IBL327723 ILH327723 IVD327723 JEZ327723 JOV327723 JYR327723 KIN327723 KSJ327723 LCF327723 LMB327723 LVX327723 MFT327723 MPP327723 MZL327723 NJH327723 NTD327723 OCZ327723 OMV327723 OWR327723 PGN327723 PQJ327723 QAF327723 QKB327723 QTX327723 RDT327723 RNP327723 RXL327723 SHH327723 SRD327723 TAZ327723 TKV327723 TUR327723 UEN327723 UOJ327723 UYF327723 VIB327723 VRX327723 WBT327723 WLP327723 WVL327723 TAZ983083 IZ393259 SV393259 ACR393259 AMN393259 AWJ393259 BGF393259 BQB393259 BZX393259 CJT393259 CTP393259 DDL393259 DNH393259 DXD393259 EGZ393259 EQV393259 FAR393259 FKN393259 FUJ393259 GEF393259 GOB393259 GXX393259 HHT393259 HRP393259 IBL393259 ILH393259 IVD393259 JEZ393259 JOV393259 JYR393259 KIN393259 KSJ393259 LCF393259 LMB393259 LVX393259 MFT393259 MPP393259 MZL393259 NJH393259 NTD393259 OCZ393259 OMV393259 OWR393259 PGN393259 PQJ393259 QAF393259 QKB393259 QTX393259 RDT393259 RNP393259 RXL393259 SHH393259 SRD393259 TAZ393259 TKV393259 TUR393259 UEN393259 UOJ393259 UYF393259 VIB393259 VRX393259 WBT393259 WLP393259 WVL393259 TKV983083 IZ458795 SV458795 ACR458795 AMN458795 AWJ458795 BGF458795 BQB458795 BZX458795 CJT458795 CTP458795 DDL458795 DNH458795 DXD458795 EGZ458795 EQV458795 FAR458795 FKN458795 FUJ458795 GEF458795 GOB458795 GXX458795 HHT458795 HRP458795 IBL458795 ILH458795 IVD458795 JEZ458795 JOV458795 JYR458795 KIN458795 KSJ458795 LCF458795 LMB458795 LVX458795 MFT458795 MPP458795 MZL458795 NJH458795 NTD458795 OCZ458795 OMV458795 OWR458795 PGN458795 PQJ458795 QAF458795 QKB458795 QTX458795 RDT458795 RNP458795 RXL458795 SHH458795 SRD458795 TAZ458795 TKV458795 TUR458795 UEN458795 UOJ458795 UYF458795 VIB458795 VRX458795 WBT458795 WLP458795 WVL458795 TUR983083 IZ524331 SV524331 ACR524331 AMN524331 AWJ524331 BGF524331 BQB524331 BZX524331 CJT524331 CTP524331 DDL524331 DNH524331 DXD524331 EGZ524331 EQV524331 FAR524331 FKN524331 FUJ524331 GEF524331 GOB524331 GXX524331 HHT524331 HRP524331 IBL524331 ILH524331 IVD524331 JEZ524331 JOV524331 JYR524331 KIN524331 KSJ524331 LCF524331 LMB524331 LVX524331 MFT524331 MPP524331 MZL524331 NJH524331 NTD524331 OCZ524331 OMV524331 OWR524331 PGN524331 PQJ524331 QAF524331 QKB524331 QTX524331 RDT524331 RNP524331 RXL524331 SHH524331 SRD524331 TAZ524331 TKV524331 TUR524331 UEN524331 UOJ524331 UYF524331 VIB524331 VRX524331 WBT524331 WLP524331 WVL524331 UEN983083 IZ589867 SV589867 ACR589867 AMN589867 AWJ589867 BGF589867 BQB589867 BZX589867 CJT589867 CTP589867 DDL589867 DNH589867 DXD589867 EGZ589867 EQV589867 FAR589867 FKN589867 FUJ589867 GEF589867 GOB589867 GXX589867 HHT589867 HRP589867 IBL589867 ILH589867 IVD589867 JEZ589867 JOV589867 JYR589867 KIN589867 KSJ589867 LCF589867 LMB589867 LVX589867 MFT589867 MPP589867 MZL589867 NJH589867 NTD589867 OCZ589867 OMV589867 OWR589867 PGN589867 PQJ589867 QAF589867 QKB589867 QTX589867 RDT589867 RNP589867 RXL589867 SHH589867 SRD589867 TAZ589867 TKV589867 TUR589867 UEN589867 UOJ589867 UYF589867 VIB589867 VRX589867 WBT589867 WLP589867 WVL589867 UOJ983083 IZ655403 SV655403 ACR655403 AMN655403 AWJ655403 BGF655403 BQB655403 BZX655403 CJT655403 CTP655403 DDL655403 DNH655403 DXD655403 EGZ655403 EQV655403 FAR655403 FKN655403 FUJ655403 GEF655403 GOB655403 GXX655403 HHT655403 HRP655403 IBL655403 ILH655403 IVD655403 JEZ655403 JOV655403 JYR655403 KIN655403 KSJ655403 LCF655403 LMB655403 LVX655403 MFT655403 MPP655403 MZL655403 NJH655403 NTD655403 OCZ655403 OMV655403 OWR655403 PGN655403 PQJ655403 QAF655403 QKB655403 QTX655403 RDT655403 RNP655403 RXL655403 SHH655403 SRD655403 TAZ655403 TKV655403 TUR655403 UEN655403 UOJ655403 UYF655403 VIB655403 VRX655403 WBT655403 WLP655403 WVL655403 UYF983083 IZ720939 SV720939 ACR720939 AMN720939 AWJ720939 BGF720939 BQB720939 BZX720939 CJT720939 CTP720939 DDL720939 DNH720939 DXD720939 EGZ720939 EQV720939 FAR720939 FKN720939 FUJ720939 GEF720939 GOB720939 GXX720939 HHT720939 HRP720939 IBL720939 ILH720939 IVD720939 JEZ720939 JOV720939 JYR720939 KIN720939 KSJ720939 LCF720939 LMB720939 LVX720939 MFT720939 MPP720939 MZL720939 NJH720939 NTD720939 OCZ720939 OMV720939 OWR720939 PGN720939 PQJ720939 QAF720939 QKB720939 QTX720939 RDT720939 RNP720939 RXL720939 SHH720939 SRD720939 TAZ720939 TKV720939 TUR720939 UEN720939 UOJ720939 UYF720939 VIB720939 VRX720939 WBT720939 WLP720939 WVL720939 VIB983083 IZ786475 SV786475 ACR786475 AMN786475 AWJ786475 BGF786475 BQB786475 BZX786475 CJT786475 CTP786475 DDL786475 DNH786475 DXD786475 EGZ786475 EQV786475 FAR786475 FKN786475 FUJ786475 GEF786475 GOB786475 GXX786475 HHT786475 HRP786475 IBL786475 ILH786475 IVD786475 JEZ786475 JOV786475 JYR786475 KIN786475 KSJ786475 LCF786475 LMB786475 LVX786475 MFT786475 MPP786475 MZL786475 NJH786475 NTD786475 OCZ786475 OMV786475 OWR786475 PGN786475 PQJ786475 QAF786475 QKB786475 QTX786475 RDT786475 RNP786475 RXL786475 SHH786475 SRD786475 TAZ786475 TKV786475 TUR786475 UEN786475 UOJ786475 UYF786475 VIB786475 VRX786475 WBT786475 WLP786475 WVL786475 VRX983083 IZ852011 SV852011 ACR852011 AMN852011 AWJ852011 BGF852011 BQB852011 BZX852011 CJT852011 CTP852011 DDL852011 DNH852011 DXD852011 EGZ852011 EQV852011 FAR852011 FKN852011 FUJ852011 GEF852011 GOB852011 GXX852011 HHT852011 HRP852011 IBL852011 ILH852011 IVD852011 JEZ852011 JOV852011 JYR852011 KIN852011 KSJ852011 LCF852011 LMB852011 LVX852011 MFT852011 MPP852011 MZL852011 NJH852011 NTD852011 OCZ852011 OMV852011 OWR852011 PGN852011 PQJ852011 QAF852011 QKB852011 QTX852011 RDT852011 RNP852011 RXL852011 SHH852011 SRD852011 TAZ852011 TKV852011 TUR852011 UEN852011 UOJ852011 UYF852011 VIB852011 VRX852011 WBT852011 WLP852011 WVL852011 WBT983083 IZ917547 SV917547 ACR917547 AMN917547 AWJ917547 BGF917547 BQB917547 BZX917547 CJT917547 CTP917547 DDL917547 DNH917547 DXD917547 EGZ917547 EQV917547 FAR917547 FKN917547 FUJ917547 GEF917547 GOB917547 GXX917547 HHT917547 HRP917547 IBL917547 ILH917547 IVD917547 JEZ917547 JOV917547 JYR917547 KIN917547 KSJ917547 LCF917547 LMB917547 LVX917547 MFT917547 MPP917547 MZL917547 NJH917547 NTD917547 OCZ917547 OMV917547 OWR917547 PGN917547 PQJ917547 QAF917547 QKB917547 QTX917547 RDT917547 RNP917547 RXL917547 SHH917547 SRD917547 TAZ917547 TKV917547 TUR917547 UEN917547 UOJ917547 UYF917547 VIB917547 VRX917547 WBT917547 WLP917547 WVL917547 WLP983083 IZ983083 SV983083 ACR983083 AMN983083 AWJ983083 BGF983083 BQB983083 BZX983083 CJT983083 CTP983083 DDL983083 DNH983083 DXD983083 EGZ983083 EQV983083 FAR983083 FKN983083 FUJ983083 GEF983083 GOB983083 GXX983083 HHT983083 HRP983083 IBL983083 ILH983083 IVD983083 JEZ983083 JOV983083 JYR983083 KIN983083 KSJ983083 LCF983083 LMB983083 LVX983083 MFT983083 MPP983083 MZL983083 NJH983083 NTD983083 OCZ983083 OMV983083 OWR983083 PGN983083 PQJ983083 QAF983083 QKB983083 QTX983083" xr:uid="{E3DEB79F-30E0-9C4A-B949-D4EA3A4FBC63}">
      <formula1>#REF!</formula1>
    </dataValidation>
    <dataValidation type="list" allowBlank="1" showInputMessage="1" showErrorMessage="1" sqref="RDT983067:RDT983082 RNP983067:RNP983082 IZ40:IZ58 SV40:SV58 ACR40:ACR58 AMN40:AMN58 AWJ40:AWJ58 BGF40:BGF58 BQB40:BQB58 BZX40:BZX58 CJT40:CJT58 CTP40:CTP58 DDL40:DDL58 DNH40:DNH58 DXD40:DXD58 EGZ40:EGZ58 EQV40:EQV58 FAR40:FAR58 FKN40:FKN58 FUJ40:FUJ58 GEF40:GEF58 GOB40:GOB58 GXX40:GXX58 HHT40:HHT58 HRP40:HRP58 IBL40:IBL58 ILH40:ILH58 IVD40:IVD58 JEZ40:JEZ58 JOV40:JOV58 JYR40:JYR58 KIN40:KIN58 KSJ40:KSJ58 LCF40:LCF58 LMB40:LMB58 LVX40:LVX58 MFT40:MFT58 MPP40:MPP58 MZL40:MZL58 NJH40:NJH58 NTD40:NTD58 OCZ40:OCZ58 OMV40:OMV58 OWR40:OWR58 PGN40:PGN58 PQJ40:PQJ58 QAF40:QAF58 QKB40:QKB58 QTX40:QTX58 RDT40:RDT58 RNP40:RNP58 RXL40:RXL58 SHH40:SHH58 SRD40:SRD58 TAZ40:TAZ58 TKV40:TKV58 TUR40:TUR58 UEN40:UEN58 UOJ40:UOJ58 UYF40:UYF58 VIB40:VIB58 VRX40:VRX58 WBT40:WBT58 WLP40:WLP58 WVL40:WVL58 IZ65563:IZ65578 SV65563:SV65578 ACR65563:ACR65578 AMN65563:AMN65578 AWJ65563:AWJ65578 BGF65563:BGF65578 BQB65563:BQB65578 BZX65563:BZX65578 CJT65563:CJT65578 CTP65563:CTP65578 DDL65563:DDL65578 DNH65563:DNH65578 DXD65563:DXD65578 EGZ65563:EGZ65578 EQV65563:EQV65578 FAR65563:FAR65578 FKN65563:FKN65578 FUJ65563:FUJ65578 GEF65563:GEF65578 GOB65563:GOB65578 GXX65563:GXX65578 HHT65563:HHT65578 HRP65563:HRP65578 IBL65563:IBL65578 ILH65563:ILH65578 IVD65563:IVD65578 JEZ65563:JEZ65578 JOV65563:JOV65578 JYR65563:JYR65578 KIN65563:KIN65578 KSJ65563:KSJ65578 LCF65563:LCF65578 LMB65563:LMB65578 LVX65563:LVX65578 MFT65563:MFT65578 MPP65563:MPP65578 MZL65563:MZL65578 NJH65563:NJH65578 NTD65563:NTD65578 OCZ65563:OCZ65578 OMV65563:OMV65578 OWR65563:OWR65578 PGN65563:PGN65578 PQJ65563:PQJ65578 QAF65563:QAF65578 QKB65563:QKB65578 QTX65563:QTX65578 RDT65563:RDT65578 RNP65563:RNP65578 RXL65563:RXL65578 SHH65563:SHH65578 SRD65563:SRD65578 TAZ65563:TAZ65578 TKV65563:TKV65578 TUR65563:TUR65578 UEN65563:UEN65578 UOJ65563:UOJ65578 UYF65563:UYF65578 VIB65563:VIB65578 VRX65563:VRX65578 WBT65563:WBT65578 WLP65563:WLP65578 WVL65563:WVL65578 RXL983067:RXL983082 IZ131099:IZ131114 SV131099:SV131114 ACR131099:ACR131114 AMN131099:AMN131114 AWJ131099:AWJ131114 BGF131099:BGF131114 BQB131099:BQB131114 BZX131099:BZX131114 CJT131099:CJT131114 CTP131099:CTP131114 DDL131099:DDL131114 DNH131099:DNH131114 DXD131099:DXD131114 EGZ131099:EGZ131114 EQV131099:EQV131114 FAR131099:FAR131114 FKN131099:FKN131114 FUJ131099:FUJ131114 GEF131099:GEF131114 GOB131099:GOB131114 GXX131099:GXX131114 HHT131099:HHT131114 HRP131099:HRP131114 IBL131099:IBL131114 ILH131099:ILH131114 IVD131099:IVD131114 JEZ131099:JEZ131114 JOV131099:JOV131114 JYR131099:JYR131114 KIN131099:KIN131114 KSJ131099:KSJ131114 LCF131099:LCF131114 LMB131099:LMB131114 LVX131099:LVX131114 MFT131099:MFT131114 MPP131099:MPP131114 MZL131099:MZL131114 NJH131099:NJH131114 NTD131099:NTD131114 OCZ131099:OCZ131114 OMV131099:OMV131114 OWR131099:OWR131114 PGN131099:PGN131114 PQJ131099:PQJ131114 QAF131099:QAF131114 QKB131099:QKB131114 QTX131099:QTX131114 RDT131099:RDT131114 RNP131099:RNP131114 RXL131099:RXL131114 SHH131099:SHH131114 SRD131099:SRD131114 TAZ131099:TAZ131114 TKV131099:TKV131114 TUR131099:TUR131114 UEN131099:UEN131114 UOJ131099:UOJ131114 UYF131099:UYF131114 VIB131099:VIB131114 VRX131099:VRX131114 WBT131099:WBT131114 WLP131099:WLP131114 WVL131099:WVL131114 SHH983067:SHH983082 IZ196635:IZ196650 SV196635:SV196650 ACR196635:ACR196650 AMN196635:AMN196650 AWJ196635:AWJ196650 BGF196635:BGF196650 BQB196635:BQB196650 BZX196635:BZX196650 CJT196635:CJT196650 CTP196635:CTP196650 DDL196635:DDL196650 DNH196635:DNH196650 DXD196635:DXD196650 EGZ196635:EGZ196650 EQV196635:EQV196650 FAR196635:FAR196650 FKN196635:FKN196650 FUJ196635:FUJ196650 GEF196635:GEF196650 GOB196635:GOB196650 GXX196635:GXX196650 HHT196635:HHT196650 HRP196635:HRP196650 IBL196635:IBL196650 ILH196635:ILH196650 IVD196635:IVD196650 JEZ196635:JEZ196650 JOV196635:JOV196650 JYR196635:JYR196650 KIN196635:KIN196650 KSJ196635:KSJ196650 LCF196635:LCF196650 LMB196635:LMB196650 LVX196635:LVX196650 MFT196635:MFT196650 MPP196635:MPP196650 MZL196635:MZL196650 NJH196635:NJH196650 NTD196635:NTD196650 OCZ196635:OCZ196650 OMV196635:OMV196650 OWR196635:OWR196650 PGN196635:PGN196650 PQJ196635:PQJ196650 QAF196635:QAF196650 QKB196635:QKB196650 QTX196635:QTX196650 RDT196635:RDT196650 RNP196635:RNP196650 RXL196635:RXL196650 SHH196635:SHH196650 SRD196635:SRD196650 TAZ196635:TAZ196650 TKV196635:TKV196650 TUR196635:TUR196650 UEN196635:UEN196650 UOJ196635:UOJ196650 UYF196635:UYF196650 VIB196635:VIB196650 VRX196635:VRX196650 WBT196635:WBT196650 WLP196635:WLP196650 WVL196635:WVL196650 SRD983067:SRD983082 IZ262171:IZ262186 SV262171:SV262186 ACR262171:ACR262186 AMN262171:AMN262186 AWJ262171:AWJ262186 BGF262171:BGF262186 BQB262171:BQB262186 BZX262171:BZX262186 CJT262171:CJT262186 CTP262171:CTP262186 DDL262171:DDL262186 DNH262171:DNH262186 DXD262171:DXD262186 EGZ262171:EGZ262186 EQV262171:EQV262186 FAR262171:FAR262186 FKN262171:FKN262186 FUJ262171:FUJ262186 GEF262171:GEF262186 GOB262171:GOB262186 GXX262171:GXX262186 HHT262171:HHT262186 HRP262171:HRP262186 IBL262171:IBL262186 ILH262171:ILH262186 IVD262171:IVD262186 JEZ262171:JEZ262186 JOV262171:JOV262186 JYR262171:JYR262186 KIN262171:KIN262186 KSJ262171:KSJ262186 LCF262171:LCF262186 LMB262171:LMB262186 LVX262171:LVX262186 MFT262171:MFT262186 MPP262171:MPP262186 MZL262171:MZL262186 NJH262171:NJH262186 NTD262171:NTD262186 OCZ262171:OCZ262186 OMV262171:OMV262186 OWR262171:OWR262186 PGN262171:PGN262186 PQJ262171:PQJ262186 QAF262171:QAF262186 QKB262171:QKB262186 QTX262171:QTX262186 RDT262171:RDT262186 RNP262171:RNP262186 RXL262171:RXL262186 SHH262171:SHH262186 SRD262171:SRD262186 TAZ262171:TAZ262186 TKV262171:TKV262186 TUR262171:TUR262186 UEN262171:UEN262186 UOJ262171:UOJ262186 UYF262171:UYF262186 VIB262171:VIB262186 VRX262171:VRX262186 WBT262171:WBT262186 WLP262171:WLP262186 WVL262171:WVL262186 TAZ983067:TAZ983082 IZ327707:IZ327722 SV327707:SV327722 ACR327707:ACR327722 AMN327707:AMN327722 AWJ327707:AWJ327722 BGF327707:BGF327722 BQB327707:BQB327722 BZX327707:BZX327722 CJT327707:CJT327722 CTP327707:CTP327722 DDL327707:DDL327722 DNH327707:DNH327722 DXD327707:DXD327722 EGZ327707:EGZ327722 EQV327707:EQV327722 FAR327707:FAR327722 FKN327707:FKN327722 FUJ327707:FUJ327722 GEF327707:GEF327722 GOB327707:GOB327722 GXX327707:GXX327722 HHT327707:HHT327722 HRP327707:HRP327722 IBL327707:IBL327722 ILH327707:ILH327722 IVD327707:IVD327722 JEZ327707:JEZ327722 JOV327707:JOV327722 JYR327707:JYR327722 KIN327707:KIN327722 KSJ327707:KSJ327722 LCF327707:LCF327722 LMB327707:LMB327722 LVX327707:LVX327722 MFT327707:MFT327722 MPP327707:MPP327722 MZL327707:MZL327722 NJH327707:NJH327722 NTD327707:NTD327722 OCZ327707:OCZ327722 OMV327707:OMV327722 OWR327707:OWR327722 PGN327707:PGN327722 PQJ327707:PQJ327722 QAF327707:QAF327722 QKB327707:QKB327722 QTX327707:QTX327722 RDT327707:RDT327722 RNP327707:RNP327722 RXL327707:RXL327722 SHH327707:SHH327722 SRD327707:SRD327722 TAZ327707:TAZ327722 TKV327707:TKV327722 TUR327707:TUR327722 UEN327707:UEN327722 UOJ327707:UOJ327722 UYF327707:UYF327722 VIB327707:VIB327722 VRX327707:VRX327722 WBT327707:WBT327722 WLP327707:WLP327722 WVL327707:WVL327722 TKV983067:TKV983082 IZ393243:IZ393258 SV393243:SV393258 ACR393243:ACR393258 AMN393243:AMN393258 AWJ393243:AWJ393258 BGF393243:BGF393258 BQB393243:BQB393258 BZX393243:BZX393258 CJT393243:CJT393258 CTP393243:CTP393258 DDL393243:DDL393258 DNH393243:DNH393258 DXD393243:DXD393258 EGZ393243:EGZ393258 EQV393243:EQV393258 FAR393243:FAR393258 FKN393243:FKN393258 FUJ393243:FUJ393258 GEF393243:GEF393258 GOB393243:GOB393258 GXX393243:GXX393258 HHT393243:HHT393258 HRP393243:HRP393258 IBL393243:IBL393258 ILH393243:ILH393258 IVD393243:IVD393258 JEZ393243:JEZ393258 JOV393243:JOV393258 JYR393243:JYR393258 KIN393243:KIN393258 KSJ393243:KSJ393258 LCF393243:LCF393258 LMB393243:LMB393258 LVX393243:LVX393258 MFT393243:MFT393258 MPP393243:MPP393258 MZL393243:MZL393258 NJH393243:NJH393258 NTD393243:NTD393258 OCZ393243:OCZ393258 OMV393243:OMV393258 OWR393243:OWR393258 PGN393243:PGN393258 PQJ393243:PQJ393258 QAF393243:QAF393258 QKB393243:QKB393258 QTX393243:QTX393258 RDT393243:RDT393258 RNP393243:RNP393258 RXL393243:RXL393258 SHH393243:SHH393258 SRD393243:SRD393258 TAZ393243:TAZ393258 TKV393243:TKV393258 TUR393243:TUR393258 UEN393243:UEN393258 UOJ393243:UOJ393258 UYF393243:UYF393258 VIB393243:VIB393258 VRX393243:VRX393258 WBT393243:WBT393258 WLP393243:WLP393258 WVL393243:WVL393258 TUR983067:TUR983082 IZ458779:IZ458794 SV458779:SV458794 ACR458779:ACR458794 AMN458779:AMN458794 AWJ458779:AWJ458794 BGF458779:BGF458794 BQB458779:BQB458794 BZX458779:BZX458794 CJT458779:CJT458794 CTP458779:CTP458794 DDL458779:DDL458794 DNH458779:DNH458794 DXD458779:DXD458794 EGZ458779:EGZ458794 EQV458779:EQV458794 FAR458779:FAR458794 FKN458779:FKN458794 FUJ458779:FUJ458794 GEF458779:GEF458794 GOB458779:GOB458794 GXX458779:GXX458794 HHT458779:HHT458794 HRP458779:HRP458794 IBL458779:IBL458794 ILH458779:ILH458794 IVD458779:IVD458794 JEZ458779:JEZ458794 JOV458779:JOV458794 JYR458779:JYR458794 KIN458779:KIN458794 KSJ458779:KSJ458794 LCF458779:LCF458794 LMB458779:LMB458794 LVX458779:LVX458794 MFT458779:MFT458794 MPP458779:MPP458794 MZL458779:MZL458794 NJH458779:NJH458794 NTD458779:NTD458794 OCZ458779:OCZ458794 OMV458779:OMV458794 OWR458779:OWR458794 PGN458779:PGN458794 PQJ458779:PQJ458794 QAF458779:QAF458794 QKB458779:QKB458794 QTX458779:QTX458794 RDT458779:RDT458794 RNP458779:RNP458794 RXL458779:RXL458794 SHH458779:SHH458794 SRD458779:SRD458794 TAZ458779:TAZ458794 TKV458779:TKV458794 TUR458779:TUR458794 UEN458779:UEN458794 UOJ458779:UOJ458794 UYF458779:UYF458794 VIB458779:VIB458794 VRX458779:VRX458794 WBT458779:WBT458794 WLP458779:WLP458794 WVL458779:WVL458794 UEN983067:UEN983082 IZ524315:IZ524330 SV524315:SV524330 ACR524315:ACR524330 AMN524315:AMN524330 AWJ524315:AWJ524330 BGF524315:BGF524330 BQB524315:BQB524330 BZX524315:BZX524330 CJT524315:CJT524330 CTP524315:CTP524330 DDL524315:DDL524330 DNH524315:DNH524330 DXD524315:DXD524330 EGZ524315:EGZ524330 EQV524315:EQV524330 FAR524315:FAR524330 FKN524315:FKN524330 FUJ524315:FUJ524330 GEF524315:GEF524330 GOB524315:GOB524330 GXX524315:GXX524330 HHT524315:HHT524330 HRP524315:HRP524330 IBL524315:IBL524330 ILH524315:ILH524330 IVD524315:IVD524330 JEZ524315:JEZ524330 JOV524315:JOV524330 JYR524315:JYR524330 KIN524315:KIN524330 KSJ524315:KSJ524330 LCF524315:LCF524330 LMB524315:LMB524330 LVX524315:LVX524330 MFT524315:MFT524330 MPP524315:MPP524330 MZL524315:MZL524330 NJH524315:NJH524330 NTD524315:NTD524330 OCZ524315:OCZ524330 OMV524315:OMV524330 OWR524315:OWR524330 PGN524315:PGN524330 PQJ524315:PQJ524330 QAF524315:QAF524330 QKB524315:QKB524330 QTX524315:QTX524330 RDT524315:RDT524330 RNP524315:RNP524330 RXL524315:RXL524330 SHH524315:SHH524330 SRD524315:SRD524330 TAZ524315:TAZ524330 TKV524315:TKV524330 TUR524315:TUR524330 UEN524315:UEN524330 UOJ524315:UOJ524330 UYF524315:UYF524330 VIB524315:VIB524330 VRX524315:VRX524330 WBT524315:WBT524330 WLP524315:WLP524330 WVL524315:WVL524330 UOJ983067:UOJ983082 IZ589851:IZ589866 SV589851:SV589866 ACR589851:ACR589866 AMN589851:AMN589866 AWJ589851:AWJ589866 BGF589851:BGF589866 BQB589851:BQB589866 BZX589851:BZX589866 CJT589851:CJT589866 CTP589851:CTP589866 DDL589851:DDL589866 DNH589851:DNH589866 DXD589851:DXD589866 EGZ589851:EGZ589866 EQV589851:EQV589866 FAR589851:FAR589866 FKN589851:FKN589866 FUJ589851:FUJ589866 GEF589851:GEF589866 GOB589851:GOB589866 GXX589851:GXX589866 HHT589851:HHT589866 HRP589851:HRP589866 IBL589851:IBL589866 ILH589851:ILH589866 IVD589851:IVD589866 JEZ589851:JEZ589866 JOV589851:JOV589866 JYR589851:JYR589866 KIN589851:KIN589866 KSJ589851:KSJ589866 LCF589851:LCF589866 LMB589851:LMB589866 LVX589851:LVX589866 MFT589851:MFT589866 MPP589851:MPP589866 MZL589851:MZL589866 NJH589851:NJH589866 NTD589851:NTD589866 OCZ589851:OCZ589866 OMV589851:OMV589866 OWR589851:OWR589866 PGN589851:PGN589866 PQJ589851:PQJ589866 QAF589851:QAF589866 QKB589851:QKB589866 QTX589851:QTX589866 RDT589851:RDT589866 RNP589851:RNP589866 RXL589851:RXL589866 SHH589851:SHH589866 SRD589851:SRD589866 TAZ589851:TAZ589866 TKV589851:TKV589866 TUR589851:TUR589866 UEN589851:UEN589866 UOJ589851:UOJ589866 UYF589851:UYF589866 VIB589851:VIB589866 VRX589851:VRX589866 WBT589851:WBT589866 WLP589851:WLP589866 WVL589851:WVL589866 UYF983067:UYF983082 IZ655387:IZ655402 SV655387:SV655402 ACR655387:ACR655402 AMN655387:AMN655402 AWJ655387:AWJ655402 BGF655387:BGF655402 BQB655387:BQB655402 BZX655387:BZX655402 CJT655387:CJT655402 CTP655387:CTP655402 DDL655387:DDL655402 DNH655387:DNH655402 DXD655387:DXD655402 EGZ655387:EGZ655402 EQV655387:EQV655402 FAR655387:FAR655402 FKN655387:FKN655402 FUJ655387:FUJ655402 GEF655387:GEF655402 GOB655387:GOB655402 GXX655387:GXX655402 HHT655387:HHT655402 HRP655387:HRP655402 IBL655387:IBL655402 ILH655387:ILH655402 IVD655387:IVD655402 JEZ655387:JEZ655402 JOV655387:JOV655402 JYR655387:JYR655402 KIN655387:KIN655402 KSJ655387:KSJ655402 LCF655387:LCF655402 LMB655387:LMB655402 LVX655387:LVX655402 MFT655387:MFT655402 MPP655387:MPP655402 MZL655387:MZL655402 NJH655387:NJH655402 NTD655387:NTD655402 OCZ655387:OCZ655402 OMV655387:OMV655402 OWR655387:OWR655402 PGN655387:PGN655402 PQJ655387:PQJ655402 QAF655387:QAF655402 QKB655387:QKB655402 QTX655387:QTX655402 RDT655387:RDT655402 RNP655387:RNP655402 RXL655387:RXL655402 SHH655387:SHH655402 SRD655387:SRD655402 TAZ655387:TAZ655402 TKV655387:TKV655402 TUR655387:TUR655402 UEN655387:UEN655402 UOJ655387:UOJ655402 UYF655387:UYF655402 VIB655387:VIB655402 VRX655387:VRX655402 WBT655387:WBT655402 WLP655387:WLP655402 WVL655387:WVL655402 VIB983067:VIB983082 IZ720923:IZ720938 SV720923:SV720938 ACR720923:ACR720938 AMN720923:AMN720938 AWJ720923:AWJ720938 BGF720923:BGF720938 BQB720923:BQB720938 BZX720923:BZX720938 CJT720923:CJT720938 CTP720923:CTP720938 DDL720923:DDL720938 DNH720923:DNH720938 DXD720923:DXD720938 EGZ720923:EGZ720938 EQV720923:EQV720938 FAR720923:FAR720938 FKN720923:FKN720938 FUJ720923:FUJ720938 GEF720923:GEF720938 GOB720923:GOB720938 GXX720923:GXX720938 HHT720923:HHT720938 HRP720923:HRP720938 IBL720923:IBL720938 ILH720923:ILH720938 IVD720923:IVD720938 JEZ720923:JEZ720938 JOV720923:JOV720938 JYR720923:JYR720938 KIN720923:KIN720938 KSJ720923:KSJ720938 LCF720923:LCF720938 LMB720923:LMB720938 LVX720923:LVX720938 MFT720923:MFT720938 MPP720923:MPP720938 MZL720923:MZL720938 NJH720923:NJH720938 NTD720923:NTD720938 OCZ720923:OCZ720938 OMV720923:OMV720938 OWR720923:OWR720938 PGN720923:PGN720938 PQJ720923:PQJ720938 QAF720923:QAF720938 QKB720923:QKB720938 QTX720923:QTX720938 RDT720923:RDT720938 RNP720923:RNP720938 RXL720923:RXL720938 SHH720923:SHH720938 SRD720923:SRD720938 TAZ720923:TAZ720938 TKV720923:TKV720938 TUR720923:TUR720938 UEN720923:UEN720938 UOJ720923:UOJ720938 UYF720923:UYF720938 VIB720923:VIB720938 VRX720923:VRX720938 WBT720923:WBT720938 WLP720923:WLP720938 WVL720923:WVL720938 VRX983067:VRX983082 IZ786459:IZ786474 SV786459:SV786474 ACR786459:ACR786474 AMN786459:AMN786474 AWJ786459:AWJ786474 BGF786459:BGF786474 BQB786459:BQB786474 BZX786459:BZX786474 CJT786459:CJT786474 CTP786459:CTP786474 DDL786459:DDL786474 DNH786459:DNH786474 DXD786459:DXD786474 EGZ786459:EGZ786474 EQV786459:EQV786474 FAR786459:FAR786474 FKN786459:FKN786474 FUJ786459:FUJ786474 GEF786459:GEF786474 GOB786459:GOB786474 GXX786459:GXX786474 HHT786459:HHT786474 HRP786459:HRP786474 IBL786459:IBL786474 ILH786459:ILH786474 IVD786459:IVD786474 JEZ786459:JEZ786474 JOV786459:JOV786474 JYR786459:JYR786474 KIN786459:KIN786474 KSJ786459:KSJ786474 LCF786459:LCF786474 LMB786459:LMB786474 LVX786459:LVX786474 MFT786459:MFT786474 MPP786459:MPP786474 MZL786459:MZL786474 NJH786459:NJH786474 NTD786459:NTD786474 OCZ786459:OCZ786474 OMV786459:OMV786474 OWR786459:OWR786474 PGN786459:PGN786474 PQJ786459:PQJ786474 QAF786459:QAF786474 QKB786459:QKB786474 QTX786459:QTX786474 RDT786459:RDT786474 RNP786459:RNP786474 RXL786459:RXL786474 SHH786459:SHH786474 SRD786459:SRD786474 TAZ786459:TAZ786474 TKV786459:TKV786474 TUR786459:TUR786474 UEN786459:UEN786474 UOJ786459:UOJ786474 UYF786459:UYF786474 VIB786459:VIB786474 VRX786459:VRX786474 WBT786459:WBT786474 WLP786459:WLP786474 WVL786459:WVL786474 WBT983067:WBT983082 IZ851995:IZ852010 SV851995:SV852010 ACR851995:ACR852010 AMN851995:AMN852010 AWJ851995:AWJ852010 BGF851995:BGF852010 BQB851995:BQB852010 BZX851995:BZX852010 CJT851995:CJT852010 CTP851995:CTP852010 DDL851995:DDL852010 DNH851995:DNH852010 DXD851995:DXD852010 EGZ851995:EGZ852010 EQV851995:EQV852010 FAR851995:FAR852010 FKN851995:FKN852010 FUJ851995:FUJ852010 GEF851995:GEF852010 GOB851995:GOB852010 GXX851995:GXX852010 HHT851995:HHT852010 HRP851995:HRP852010 IBL851995:IBL852010 ILH851995:ILH852010 IVD851995:IVD852010 JEZ851995:JEZ852010 JOV851995:JOV852010 JYR851995:JYR852010 KIN851995:KIN852010 KSJ851995:KSJ852010 LCF851995:LCF852010 LMB851995:LMB852010 LVX851995:LVX852010 MFT851995:MFT852010 MPP851995:MPP852010 MZL851995:MZL852010 NJH851995:NJH852010 NTD851995:NTD852010 OCZ851995:OCZ852010 OMV851995:OMV852010 OWR851995:OWR852010 PGN851995:PGN852010 PQJ851995:PQJ852010 QAF851995:QAF852010 QKB851995:QKB852010 QTX851995:QTX852010 RDT851995:RDT852010 RNP851995:RNP852010 RXL851995:RXL852010 SHH851995:SHH852010 SRD851995:SRD852010 TAZ851995:TAZ852010 TKV851995:TKV852010 TUR851995:TUR852010 UEN851995:UEN852010 UOJ851995:UOJ852010 UYF851995:UYF852010 VIB851995:VIB852010 VRX851995:VRX852010 WBT851995:WBT852010 WLP851995:WLP852010 WVL851995:WVL852010 WLP983067:WLP983082 IZ917531:IZ917546 SV917531:SV917546 ACR917531:ACR917546 AMN917531:AMN917546 AWJ917531:AWJ917546 BGF917531:BGF917546 BQB917531:BQB917546 BZX917531:BZX917546 CJT917531:CJT917546 CTP917531:CTP917546 DDL917531:DDL917546 DNH917531:DNH917546 DXD917531:DXD917546 EGZ917531:EGZ917546 EQV917531:EQV917546 FAR917531:FAR917546 FKN917531:FKN917546 FUJ917531:FUJ917546 GEF917531:GEF917546 GOB917531:GOB917546 GXX917531:GXX917546 HHT917531:HHT917546 HRP917531:HRP917546 IBL917531:IBL917546 ILH917531:ILH917546 IVD917531:IVD917546 JEZ917531:JEZ917546 JOV917531:JOV917546 JYR917531:JYR917546 KIN917531:KIN917546 KSJ917531:KSJ917546 LCF917531:LCF917546 LMB917531:LMB917546 LVX917531:LVX917546 MFT917531:MFT917546 MPP917531:MPP917546 MZL917531:MZL917546 NJH917531:NJH917546 NTD917531:NTD917546 OCZ917531:OCZ917546 OMV917531:OMV917546 OWR917531:OWR917546 PGN917531:PGN917546 PQJ917531:PQJ917546 QAF917531:QAF917546 QKB917531:QKB917546 QTX917531:QTX917546 RDT917531:RDT917546 RNP917531:RNP917546 RXL917531:RXL917546 SHH917531:SHH917546 SRD917531:SRD917546 TAZ917531:TAZ917546 TKV917531:TKV917546 TUR917531:TUR917546 UEN917531:UEN917546 UOJ917531:UOJ917546 UYF917531:UYF917546 VIB917531:VIB917546 VRX917531:VRX917546 WBT917531:WBT917546 WLP917531:WLP917546 WVL917531:WVL917546 WVL983067:WVL983082 IZ983067:IZ983082 SV983067:SV983082 ACR983067:ACR983082 AMN983067:AMN983082 AWJ983067:AWJ983082 BGF983067:BGF983082 BQB983067:BQB983082 BZX983067:BZX983082 CJT983067:CJT983082 CTP983067:CTP983082 DDL983067:DDL983082 DNH983067:DNH983082 DXD983067:DXD983082 EGZ983067:EGZ983082 EQV983067:EQV983082 FAR983067:FAR983082 FKN983067:FKN983082 FUJ983067:FUJ983082 GEF983067:GEF983082 GOB983067:GOB983082 GXX983067:GXX983082 HHT983067:HHT983082 HRP983067:HRP983082 IBL983067:IBL983082 ILH983067:ILH983082 IVD983067:IVD983082 JEZ983067:JEZ983082 JOV983067:JOV983082 JYR983067:JYR983082 KIN983067:KIN983082 KSJ983067:KSJ983082 LCF983067:LCF983082 LMB983067:LMB983082 LVX983067:LVX983082 MFT983067:MFT983082 MPP983067:MPP983082 MZL983067:MZL983082 NJH983067:NJH983082 NTD983067:NTD983082 OCZ983067:OCZ983082 OMV983067:OMV983082 OWR983067:OWR983082 PGN983067:PGN983082 PQJ983067:PQJ983082 QAF983067:QAF983082 QKB983067:QKB983082 QTX983067:QTX983082" xr:uid="{C0EA0E1E-3033-634E-B5FA-057027221413}">
      <formula1>$C$67:$C$69</formula1>
    </dataValidation>
    <dataValidation type="list" allowBlank="1" showInputMessage="1" showErrorMessage="1" sqref="D39:D1048576" xr:uid="{919C58F5-2C3C-1747-BD54-232D6BEF370E}">
      <formula1>$F$28:$F$31</formula1>
    </dataValidation>
  </dataValidations>
  <printOptions horizontalCentered="1"/>
  <pageMargins left="3.937007874015748E-2" right="3.937007874015748E-2" top="0.98425196850393704" bottom="0.98425196850393704" header="0.51181102362204722" footer="0.51181102362204722"/>
  <pageSetup paperSize="9" scale="31" fitToHeight="0" orientation="portrait" horizontalDpi="4294967294" verticalDpi="1200" r:id="rId1"/>
  <headerFooter alignWithMargins="0"/>
  <colBreaks count="1" manualBreakCount="1">
    <brk id="14" min="11" max="54" man="1"/>
  </col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F81DE-F6D2-CD49-8881-AD6081399364}">
  <dimension ref="A2:D265"/>
  <sheetViews>
    <sheetView topLeftCell="A253" workbookViewId="0">
      <selection activeCell="D268" sqref="D268"/>
    </sheetView>
  </sheetViews>
  <sheetFormatPr defaultColWidth="10.81640625" defaultRowHeight="14.5" x14ac:dyDescent="0.35"/>
  <cols>
    <col min="1" max="1" width="6.81640625" bestFit="1" customWidth="1"/>
    <col min="2" max="2" width="32.1796875" bestFit="1" customWidth="1"/>
    <col min="3" max="3" width="29.54296875" bestFit="1" customWidth="1"/>
    <col min="4" max="4" width="41.54296875" bestFit="1" customWidth="1"/>
  </cols>
  <sheetData>
    <row r="2" spans="1:4" x14ac:dyDescent="0.35">
      <c r="A2" s="112" t="s">
        <v>21</v>
      </c>
      <c r="B2" s="112" t="s">
        <v>61</v>
      </c>
      <c r="C2" s="112" t="s">
        <v>24</v>
      </c>
      <c r="D2" s="113" t="s">
        <v>62</v>
      </c>
    </row>
    <row r="3" spans="1:4" x14ac:dyDescent="0.35">
      <c r="A3" s="114">
        <v>1</v>
      </c>
      <c r="B3" s="115" t="s">
        <v>63</v>
      </c>
      <c r="C3" s="116" t="s">
        <v>64</v>
      </c>
      <c r="D3" s="115" t="s">
        <v>65</v>
      </c>
    </row>
    <row r="4" spans="1:4" x14ac:dyDescent="0.35">
      <c r="A4" s="117">
        <v>2</v>
      </c>
      <c r="B4" s="115" t="s">
        <v>63</v>
      </c>
      <c r="C4" s="116" t="s">
        <v>64</v>
      </c>
      <c r="D4" s="115" t="s">
        <v>66</v>
      </c>
    </row>
    <row r="5" spans="1:4" x14ac:dyDescent="0.35">
      <c r="A5" s="114">
        <v>3</v>
      </c>
      <c r="B5" s="115" t="s">
        <v>67</v>
      </c>
      <c r="C5" s="116" t="s">
        <v>68</v>
      </c>
      <c r="D5" s="115" t="s">
        <v>69</v>
      </c>
    </row>
    <row r="6" spans="1:4" x14ac:dyDescent="0.35">
      <c r="A6" s="117">
        <v>4</v>
      </c>
      <c r="B6" s="115" t="s">
        <v>67</v>
      </c>
      <c r="C6" s="116" t="s">
        <v>70</v>
      </c>
      <c r="D6" s="115" t="s">
        <v>71</v>
      </c>
    </row>
    <row r="7" spans="1:4" x14ac:dyDescent="0.35">
      <c r="A7" s="114">
        <v>5</v>
      </c>
      <c r="B7" s="116" t="s">
        <v>72</v>
      </c>
      <c r="C7" s="116" t="s">
        <v>73</v>
      </c>
      <c r="D7" s="116" t="s">
        <v>74</v>
      </c>
    </row>
    <row r="8" spans="1:4" x14ac:dyDescent="0.35">
      <c r="A8" s="117">
        <v>6</v>
      </c>
      <c r="B8" s="116" t="s">
        <v>72</v>
      </c>
      <c r="C8" s="116" t="s">
        <v>75</v>
      </c>
      <c r="D8" s="116" t="s">
        <v>76</v>
      </c>
    </row>
    <row r="9" spans="1:4" x14ac:dyDescent="0.35">
      <c r="A9" s="114">
        <v>7</v>
      </c>
      <c r="B9" s="116" t="s">
        <v>72</v>
      </c>
      <c r="C9" s="116" t="s">
        <v>77</v>
      </c>
      <c r="D9" s="116" t="s">
        <v>78</v>
      </c>
    </row>
    <row r="10" spans="1:4" x14ac:dyDescent="0.35">
      <c r="A10" s="117">
        <v>8</v>
      </c>
      <c r="B10" s="116" t="s">
        <v>79</v>
      </c>
      <c r="C10" s="116" t="s">
        <v>80</v>
      </c>
      <c r="D10" s="115" t="s">
        <v>81</v>
      </c>
    </row>
    <row r="11" spans="1:4" x14ac:dyDescent="0.35">
      <c r="A11" s="114">
        <v>9</v>
      </c>
      <c r="B11" s="116" t="s">
        <v>79</v>
      </c>
      <c r="C11" s="116" t="s">
        <v>80</v>
      </c>
      <c r="D11" s="115" t="s">
        <v>82</v>
      </c>
    </row>
    <row r="12" spans="1:4" x14ac:dyDescent="0.35">
      <c r="A12" s="117">
        <v>10</v>
      </c>
      <c r="B12" s="116" t="s">
        <v>79</v>
      </c>
      <c r="C12" s="116" t="s">
        <v>80</v>
      </c>
      <c r="D12" s="118" t="s">
        <v>83</v>
      </c>
    </row>
    <row r="13" spans="1:4" x14ac:dyDescent="0.35">
      <c r="A13" s="114">
        <v>11</v>
      </c>
      <c r="B13" s="116" t="s">
        <v>79</v>
      </c>
      <c r="C13" s="116" t="s">
        <v>80</v>
      </c>
      <c r="D13" s="118" t="s">
        <v>84</v>
      </c>
    </row>
    <row r="14" spans="1:4" x14ac:dyDescent="0.35">
      <c r="A14" s="117">
        <v>12</v>
      </c>
      <c r="B14" s="116" t="s">
        <v>79</v>
      </c>
      <c r="C14" s="116" t="s">
        <v>80</v>
      </c>
      <c r="D14" s="116" t="s">
        <v>85</v>
      </c>
    </row>
    <row r="15" spans="1:4" x14ac:dyDescent="0.35">
      <c r="A15" s="114">
        <v>13</v>
      </c>
      <c r="B15" s="116" t="s">
        <v>79</v>
      </c>
      <c r="C15" s="116" t="s">
        <v>80</v>
      </c>
      <c r="D15" s="116" t="s">
        <v>86</v>
      </c>
    </row>
    <row r="16" spans="1:4" x14ac:dyDescent="0.35">
      <c r="A16" s="117">
        <v>14</v>
      </c>
      <c r="B16" s="116" t="s">
        <v>79</v>
      </c>
      <c r="C16" s="116" t="s">
        <v>80</v>
      </c>
      <c r="D16" s="116" t="s">
        <v>87</v>
      </c>
    </row>
    <row r="17" spans="1:4" x14ac:dyDescent="0.35">
      <c r="A17" s="114">
        <v>15</v>
      </c>
      <c r="B17" s="116" t="s">
        <v>79</v>
      </c>
      <c r="C17" s="116" t="s">
        <v>80</v>
      </c>
      <c r="D17" s="116" t="s">
        <v>88</v>
      </c>
    </row>
    <row r="18" spans="1:4" x14ac:dyDescent="0.35">
      <c r="A18" s="117">
        <v>16</v>
      </c>
      <c r="B18" s="116" t="s">
        <v>79</v>
      </c>
      <c r="C18" s="116" t="s">
        <v>80</v>
      </c>
      <c r="D18" s="116" t="s">
        <v>89</v>
      </c>
    </row>
    <row r="19" spans="1:4" x14ac:dyDescent="0.35">
      <c r="A19" s="114">
        <v>17</v>
      </c>
      <c r="B19" s="116" t="s">
        <v>79</v>
      </c>
      <c r="C19" s="116" t="s">
        <v>80</v>
      </c>
      <c r="D19" s="116" t="s">
        <v>90</v>
      </c>
    </row>
    <row r="20" spans="1:4" x14ac:dyDescent="0.35">
      <c r="A20" s="117">
        <v>18</v>
      </c>
      <c r="B20" s="116" t="s">
        <v>79</v>
      </c>
      <c r="C20" s="116" t="s">
        <v>80</v>
      </c>
      <c r="D20" s="116" t="s">
        <v>91</v>
      </c>
    </row>
    <row r="21" spans="1:4" x14ac:dyDescent="0.35">
      <c r="A21" s="114">
        <v>19</v>
      </c>
      <c r="B21" s="116" t="s">
        <v>79</v>
      </c>
      <c r="C21" s="116" t="s">
        <v>80</v>
      </c>
      <c r="D21" s="116" t="s">
        <v>92</v>
      </c>
    </row>
    <row r="22" spans="1:4" x14ac:dyDescent="0.35">
      <c r="A22" s="117">
        <v>20</v>
      </c>
      <c r="B22" s="116" t="s">
        <v>79</v>
      </c>
      <c r="C22" s="116" t="s">
        <v>80</v>
      </c>
      <c r="D22" s="116" t="s">
        <v>93</v>
      </c>
    </row>
    <row r="23" spans="1:4" x14ac:dyDescent="0.35">
      <c r="A23" s="114">
        <v>21</v>
      </c>
      <c r="B23" s="116" t="s">
        <v>79</v>
      </c>
      <c r="C23" s="116" t="s">
        <v>80</v>
      </c>
      <c r="D23" s="116" t="s">
        <v>94</v>
      </c>
    </row>
    <row r="24" spans="1:4" x14ac:dyDescent="0.35">
      <c r="A24" s="117">
        <v>22</v>
      </c>
      <c r="B24" s="116" t="s">
        <v>79</v>
      </c>
      <c r="C24" s="116" t="s">
        <v>80</v>
      </c>
      <c r="D24" s="116" t="s">
        <v>95</v>
      </c>
    </row>
    <row r="25" spans="1:4" x14ac:dyDescent="0.35">
      <c r="A25" s="114">
        <v>23</v>
      </c>
      <c r="B25" s="116" t="s">
        <v>79</v>
      </c>
      <c r="C25" s="116" t="s">
        <v>80</v>
      </c>
      <c r="D25" s="116" t="s">
        <v>96</v>
      </c>
    </row>
    <row r="26" spans="1:4" x14ac:dyDescent="0.35">
      <c r="A26" s="117">
        <v>24</v>
      </c>
      <c r="B26" s="116" t="s">
        <v>79</v>
      </c>
      <c r="C26" s="116" t="s">
        <v>80</v>
      </c>
      <c r="D26" s="116" t="s">
        <v>97</v>
      </c>
    </row>
    <row r="27" spans="1:4" x14ac:dyDescent="0.35">
      <c r="A27" s="114">
        <v>25</v>
      </c>
      <c r="B27" s="116" t="s">
        <v>79</v>
      </c>
      <c r="C27" s="116" t="s">
        <v>80</v>
      </c>
      <c r="D27" s="116" t="s">
        <v>98</v>
      </c>
    </row>
    <row r="28" spans="1:4" x14ac:dyDescent="0.35">
      <c r="A28" s="117">
        <v>26</v>
      </c>
      <c r="B28" s="116" t="s">
        <v>79</v>
      </c>
      <c r="C28" s="116" t="s">
        <v>80</v>
      </c>
      <c r="D28" s="116" t="s">
        <v>99</v>
      </c>
    </row>
    <row r="29" spans="1:4" x14ac:dyDescent="0.35">
      <c r="A29" s="114">
        <v>27</v>
      </c>
      <c r="B29" s="116" t="s">
        <v>79</v>
      </c>
      <c r="C29" s="116" t="s">
        <v>100</v>
      </c>
      <c r="D29" s="116" t="s">
        <v>101</v>
      </c>
    </row>
    <row r="30" spans="1:4" x14ac:dyDescent="0.35">
      <c r="A30" s="117">
        <v>28</v>
      </c>
      <c r="B30" s="116" t="s">
        <v>79</v>
      </c>
      <c r="C30" s="116" t="s">
        <v>100</v>
      </c>
      <c r="D30" s="116" t="s">
        <v>102</v>
      </c>
    </row>
    <row r="31" spans="1:4" x14ac:dyDescent="0.35">
      <c r="A31" s="114">
        <v>29</v>
      </c>
      <c r="B31" s="116" t="s">
        <v>79</v>
      </c>
      <c r="C31" s="116" t="s">
        <v>100</v>
      </c>
      <c r="D31" s="116" t="s">
        <v>103</v>
      </c>
    </row>
    <row r="32" spans="1:4" x14ac:dyDescent="0.35">
      <c r="A32" s="117">
        <v>30</v>
      </c>
      <c r="B32" s="116" t="s">
        <v>79</v>
      </c>
      <c r="C32" s="116" t="s">
        <v>100</v>
      </c>
      <c r="D32" s="116" t="s">
        <v>104</v>
      </c>
    </row>
    <row r="33" spans="1:4" x14ac:dyDescent="0.35">
      <c r="A33" s="114">
        <v>31</v>
      </c>
      <c r="B33" s="116" t="s">
        <v>79</v>
      </c>
      <c r="C33" s="116" t="s">
        <v>100</v>
      </c>
      <c r="D33" s="116" t="s">
        <v>105</v>
      </c>
    </row>
    <row r="34" spans="1:4" x14ac:dyDescent="0.35">
      <c r="A34" s="117">
        <v>32</v>
      </c>
      <c r="B34" s="116" t="s">
        <v>79</v>
      </c>
      <c r="C34" s="116" t="s">
        <v>100</v>
      </c>
      <c r="D34" s="116" t="s">
        <v>106</v>
      </c>
    </row>
    <row r="35" spans="1:4" x14ac:dyDescent="0.35">
      <c r="A35" s="114">
        <v>33</v>
      </c>
      <c r="B35" s="116" t="s">
        <v>79</v>
      </c>
      <c r="C35" s="116" t="s">
        <v>100</v>
      </c>
      <c r="D35" s="116" t="s">
        <v>107</v>
      </c>
    </row>
    <row r="36" spans="1:4" x14ac:dyDescent="0.35">
      <c r="A36" s="117">
        <v>34</v>
      </c>
      <c r="B36" s="116" t="s">
        <v>79</v>
      </c>
      <c r="C36" s="116" t="s">
        <v>100</v>
      </c>
      <c r="D36" s="116" t="s">
        <v>108</v>
      </c>
    </row>
    <row r="37" spans="1:4" x14ac:dyDescent="0.35">
      <c r="A37" s="114">
        <v>35</v>
      </c>
      <c r="B37" s="116" t="s">
        <v>79</v>
      </c>
      <c r="C37" s="116" t="s">
        <v>100</v>
      </c>
      <c r="D37" s="116" t="s">
        <v>109</v>
      </c>
    </row>
    <row r="38" spans="1:4" x14ac:dyDescent="0.35">
      <c r="A38" s="117">
        <v>36</v>
      </c>
      <c r="B38" s="116" t="s">
        <v>79</v>
      </c>
      <c r="C38" s="116" t="s">
        <v>100</v>
      </c>
      <c r="D38" s="116" t="s">
        <v>110</v>
      </c>
    </row>
    <row r="39" spans="1:4" x14ac:dyDescent="0.35">
      <c r="A39" s="114">
        <v>37</v>
      </c>
      <c r="B39" s="116" t="s">
        <v>79</v>
      </c>
      <c r="C39" s="116" t="s">
        <v>100</v>
      </c>
      <c r="D39" s="116" t="s">
        <v>111</v>
      </c>
    </row>
    <row r="40" spans="1:4" x14ac:dyDescent="0.35">
      <c r="A40" s="117">
        <v>38</v>
      </c>
      <c r="B40" s="116" t="s">
        <v>79</v>
      </c>
      <c r="C40" s="116" t="s">
        <v>100</v>
      </c>
      <c r="D40" s="116" t="s">
        <v>112</v>
      </c>
    </row>
    <row r="41" spans="1:4" x14ac:dyDescent="0.35">
      <c r="A41" s="114">
        <v>39</v>
      </c>
      <c r="B41" s="116" t="s">
        <v>79</v>
      </c>
      <c r="C41" s="116" t="s">
        <v>100</v>
      </c>
      <c r="D41" s="116" t="s">
        <v>113</v>
      </c>
    </row>
    <row r="42" spans="1:4" x14ac:dyDescent="0.35">
      <c r="A42" s="117">
        <v>40</v>
      </c>
      <c r="B42" s="116" t="s">
        <v>79</v>
      </c>
      <c r="C42" s="116" t="s">
        <v>100</v>
      </c>
      <c r="D42" s="116" t="s">
        <v>114</v>
      </c>
    </row>
    <row r="43" spans="1:4" x14ac:dyDescent="0.35">
      <c r="A43" s="114">
        <v>41</v>
      </c>
      <c r="B43" s="116" t="s">
        <v>79</v>
      </c>
      <c r="C43" s="116" t="s">
        <v>100</v>
      </c>
      <c r="D43" s="116" t="s">
        <v>115</v>
      </c>
    </row>
    <row r="44" spans="1:4" x14ac:dyDescent="0.35">
      <c r="A44" s="117">
        <v>42</v>
      </c>
      <c r="B44" s="116" t="s">
        <v>79</v>
      </c>
      <c r="C44" s="116" t="s">
        <v>100</v>
      </c>
      <c r="D44" s="116" t="s">
        <v>116</v>
      </c>
    </row>
    <row r="45" spans="1:4" x14ac:dyDescent="0.35">
      <c r="A45" s="114">
        <v>43</v>
      </c>
      <c r="B45" s="116" t="s">
        <v>79</v>
      </c>
      <c r="C45" s="116" t="s">
        <v>100</v>
      </c>
      <c r="D45" s="116" t="s">
        <v>117</v>
      </c>
    </row>
    <row r="46" spans="1:4" x14ac:dyDescent="0.35">
      <c r="A46" s="117">
        <v>44</v>
      </c>
      <c r="B46" s="116" t="s">
        <v>79</v>
      </c>
      <c r="C46" s="116" t="s">
        <v>100</v>
      </c>
      <c r="D46" s="116" t="s">
        <v>118</v>
      </c>
    </row>
    <row r="47" spans="1:4" x14ac:dyDescent="0.35">
      <c r="A47" s="114">
        <v>45</v>
      </c>
      <c r="B47" s="116" t="s">
        <v>79</v>
      </c>
      <c r="C47" s="116" t="s">
        <v>100</v>
      </c>
      <c r="D47" s="116" t="s">
        <v>119</v>
      </c>
    </row>
    <row r="48" spans="1:4" x14ac:dyDescent="0.35">
      <c r="A48" s="117">
        <v>46</v>
      </c>
      <c r="B48" s="116" t="s">
        <v>79</v>
      </c>
      <c r="C48" s="116" t="s">
        <v>100</v>
      </c>
      <c r="D48" s="116" t="s">
        <v>120</v>
      </c>
    </row>
    <row r="49" spans="1:4" x14ac:dyDescent="0.35">
      <c r="A49" s="114">
        <v>47</v>
      </c>
      <c r="B49" s="116" t="s">
        <v>79</v>
      </c>
      <c r="C49" s="116" t="s">
        <v>100</v>
      </c>
      <c r="D49" s="116" t="s">
        <v>121</v>
      </c>
    </row>
    <row r="50" spans="1:4" x14ac:dyDescent="0.35">
      <c r="A50" s="117">
        <v>48</v>
      </c>
      <c r="B50" s="116" t="s">
        <v>79</v>
      </c>
      <c r="C50" s="116" t="s">
        <v>100</v>
      </c>
      <c r="D50" s="116" t="s">
        <v>122</v>
      </c>
    </row>
    <row r="51" spans="1:4" x14ac:dyDescent="0.35">
      <c r="A51" s="114">
        <v>49</v>
      </c>
      <c r="B51" s="116" t="s">
        <v>79</v>
      </c>
      <c r="C51" s="116" t="s">
        <v>100</v>
      </c>
      <c r="D51" s="116" t="s">
        <v>123</v>
      </c>
    </row>
    <row r="52" spans="1:4" x14ac:dyDescent="0.35">
      <c r="A52" s="117">
        <v>50</v>
      </c>
      <c r="B52" s="116" t="s">
        <v>79</v>
      </c>
      <c r="C52" s="116" t="s">
        <v>100</v>
      </c>
      <c r="D52" s="116" t="s">
        <v>124</v>
      </c>
    </row>
    <row r="53" spans="1:4" x14ac:dyDescent="0.35">
      <c r="A53" s="114">
        <v>51</v>
      </c>
      <c r="B53" s="116" t="s">
        <v>79</v>
      </c>
      <c r="C53" s="116" t="s">
        <v>100</v>
      </c>
      <c r="D53" s="116" t="s">
        <v>125</v>
      </c>
    </row>
    <row r="54" spans="1:4" x14ac:dyDescent="0.35">
      <c r="A54" s="117">
        <v>52</v>
      </c>
      <c r="B54" s="116" t="s">
        <v>79</v>
      </c>
      <c r="C54" s="116" t="s">
        <v>100</v>
      </c>
      <c r="D54" s="116" t="s">
        <v>126</v>
      </c>
    </row>
    <row r="55" spans="1:4" x14ac:dyDescent="0.35">
      <c r="A55" s="114">
        <v>53</v>
      </c>
      <c r="B55" s="116" t="s">
        <v>79</v>
      </c>
      <c r="C55" s="116" t="s">
        <v>127</v>
      </c>
      <c r="D55" s="116" t="s">
        <v>128</v>
      </c>
    </row>
    <row r="56" spans="1:4" x14ac:dyDescent="0.35">
      <c r="A56" s="117">
        <v>54</v>
      </c>
      <c r="B56" s="116" t="s">
        <v>79</v>
      </c>
      <c r="C56" s="116" t="s">
        <v>127</v>
      </c>
      <c r="D56" s="116" t="s">
        <v>129</v>
      </c>
    </row>
    <row r="57" spans="1:4" x14ac:dyDescent="0.35">
      <c r="A57" s="114">
        <v>55</v>
      </c>
      <c r="B57" s="116" t="s">
        <v>79</v>
      </c>
      <c r="C57" s="116" t="s">
        <v>127</v>
      </c>
      <c r="D57" s="116" t="s">
        <v>130</v>
      </c>
    </row>
    <row r="58" spans="1:4" x14ac:dyDescent="0.35">
      <c r="A58" s="117">
        <v>56</v>
      </c>
      <c r="B58" s="116" t="s">
        <v>79</v>
      </c>
      <c r="C58" s="116" t="s">
        <v>127</v>
      </c>
      <c r="D58" s="116" t="s">
        <v>131</v>
      </c>
    </row>
    <row r="59" spans="1:4" x14ac:dyDescent="0.35">
      <c r="A59" s="114">
        <v>57</v>
      </c>
      <c r="B59" s="116" t="s">
        <v>79</v>
      </c>
      <c r="C59" s="116" t="s">
        <v>127</v>
      </c>
      <c r="D59" s="116" t="s">
        <v>132</v>
      </c>
    </row>
    <row r="60" spans="1:4" x14ac:dyDescent="0.35">
      <c r="A60" s="117">
        <v>58</v>
      </c>
      <c r="B60" s="116" t="s">
        <v>79</v>
      </c>
      <c r="C60" s="116" t="s">
        <v>127</v>
      </c>
      <c r="D60" s="116" t="s">
        <v>133</v>
      </c>
    </row>
    <row r="61" spans="1:4" x14ac:dyDescent="0.35">
      <c r="A61" s="114">
        <v>59</v>
      </c>
      <c r="B61" s="116" t="s">
        <v>79</v>
      </c>
      <c r="C61" s="116" t="s">
        <v>127</v>
      </c>
      <c r="D61" s="116" t="s">
        <v>134</v>
      </c>
    </row>
    <row r="62" spans="1:4" x14ac:dyDescent="0.35">
      <c r="A62" s="117">
        <v>60</v>
      </c>
      <c r="B62" s="116" t="s">
        <v>79</v>
      </c>
      <c r="C62" s="116" t="s">
        <v>127</v>
      </c>
      <c r="D62" s="116" t="s">
        <v>135</v>
      </c>
    </row>
    <row r="63" spans="1:4" x14ac:dyDescent="0.35">
      <c r="A63" s="114">
        <v>61</v>
      </c>
      <c r="B63" s="116" t="s">
        <v>79</v>
      </c>
      <c r="C63" s="116" t="s">
        <v>127</v>
      </c>
      <c r="D63" s="116" t="s">
        <v>136</v>
      </c>
    </row>
    <row r="64" spans="1:4" x14ac:dyDescent="0.35">
      <c r="A64" s="117">
        <v>62</v>
      </c>
      <c r="B64" s="116" t="s">
        <v>79</v>
      </c>
      <c r="C64" s="116" t="s">
        <v>127</v>
      </c>
      <c r="D64" s="116" t="s">
        <v>137</v>
      </c>
    </row>
    <row r="65" spans="1:4" x14ac:dyDescent="0.35">
      <c r="A65" s="114">
        <v>63</v>
      </c>
      <c r="B65" s="116" t="s">
        <v>79</v>
      </c>
      <c r="C65" s="116" t="s">
        <v>127</v>
      </c>
      <c r="D65" s="116" t="s">
        <v>138</v>
      </c>
    </row>
    <row r="66" spans="1:4" x14ac:dyDescent="0.35">
      <c r="A66" s="117">
        <v>64</v>
      </c>
      <c r="B66" s="116" t="s">
        <v>79</v>
      </c>
      <c r="C66" s="116" t="s">
        <v>127</v>
      </c>
      <c r="D66" s="116" t="s">
        <v>139</v>
      </c>
    </row>
    <row r="67" spans="1:4" x14ac:dyDescent="0.35">
      <c r="A67" s="114">
        <v>65</v>
      </c>
      <c r="B67" s="116" t="s">
        <v>79</v>
      </c>
      <c r="C67" s="116" t="s">
        <v>127</v>
      </c>
      <c r="D67" s="116" t="s">
        <v>140</v>
      </c>
    </row>
    <row r="68" spans="1:4" x14ac:dyDescent="0.35">
      <c r="A68" s="117">
        <v>66</v>
      </c>
      <c r="B68" s="116" t="s">
        <v>79</v>
      </c>
      <c r="C68" s="116" t="s">
        <v>127</v>
      </c>
      <c r="D68" s="116" t="s">
        <v>141</v>
      </c>
    </row>
    <row r="69" spans="1:4" x14ac:dyDescent="0.35">
      <c r="A69" s="114">
        <v>67</v>
      </c>
      <c r="B69" s="116" t="s">
        <v>79</v>
      </c>
      <c r="C69" s="116" t="s">
        <v>127</v>
      </c>
      <c r="D69" s="116" t="s">
        <v>142</v>
      </c>
    </row>
    <row r="70" spans="1:4" x14ac:dyDescent="0.35">
      <c r="A70" s="117">
        <v>68</v>
      </c>
      <c r="B70" s="116" t="s">
        <v>79</v>
      </c>
      <c r="C70" s="116" t="s">
        <v>127</v>
      </c>
      <c r="D70" s="116" t="s">
        <v>143</v>
      </c>
    </row>
    <row r="71" spans="1:4" x14ac:dyDescent="0.35">
      <c r="A71" s="114">
        <v>69</v>
      </c>
      <c r="B71" s="116" t="s">
        <v>79</v>
      </c>
      <c r="C71" s="116" t="s">
        <v>127</v>
      </c>
      <c r="D71" s="116" t="s">
        <v>144</v>
      </c>
    </row>
    <row r="72" spans="1:4" x14ac:dyDescent="0.35">
      <c r="A72" s="117">
        <v>70</v>
      </c>
      <c r="B72" s="116" t="s">
        <v>79</v>
      </c>
      <c r="C72" s="116" t="s">
        <v>127</v>
      </c>
      <c r="D72" s="116" t="s">
        <v>145</v>
      </c>
    </row>
    <row r="73" spans="1:4" x14ac:dyDescent="0.35">
      <c r="A73" s="114">
        <v>71</v>
      </c>
      <c r="B73" s="116" t="s">
        <v>79</v>
      </c>
      <c r="C73" s="116" t="s">
        <v>127</v>
      </c>
      <c r="D73" s="116" t="s">
        <v>146</v>
      </c>
    </row>
    <row r="74" spans="1:4" x14ac:dyDescent="0.35">
      <c r="A74" s="117">
        <v>72</v>
      </c>
      <c r="B74" s="116" t="s">
        <v>79</v>
      </c>
      <c r="C74" s="116" t="s">
        <v>147</v>
      </c>
      <c r="D74" s="116" t="s">
        <v>148</v>
      </c>
    </row>
    <row r="75" spans="1:4" x14ac:dyDescent="0.35">
      <c r="A75" s="114">
        <v>73</v>
      </c>
      <c r="B75" s="116" t="s">
        <v>79</v>
      </c>
      <c r="C75" s="116" t="s">
        <v>147</v>
      </c>
      <c r="D75" s="116" t="s">
        <v>149</v>
      </c>
    </row>
    <row r="76" spans="1:4" x14ac:dyDescent="0.35">
      <c r="A76" s="117">
        <v>74</v>
      </c>
      <c r="B76" s="116" t="s">
        <v>79</v>
      </c>
      <c r="C76" s="116" t="s">
        <v>147</v>
      </c>
      <c r="D76" s="116" t="s">
        <v>150</v>
      </c>
    </row>
    <row r="77" spans="1:4" x14ac:dyDescent="0.35">
      <c r="A77" s="114">
        <v>75</v>
      </c>
      <c r="B77" s="116" t="s">
        <v>79</v>
      </c>
      <c r="C77" s="116" t="s">
        <v>147</v>
      </c>
      <c r="D77" s="116" t="s">
        <v>151</v>
      </c>
    </row>
    <row r="78" spans="1:4" x14ac:dyDescent="0.35">
      <c r="A78" s="117">
        <v>76</v>
      </c>
      <c r="B78" s="116" t="s">
        <v>79</v>
      </c>
      <c r="C78" s="116" t="s">
        <v>147</v>
      </c>
      <c r="D78" s="116" t="s">
        <v>152</v>
      </c>
    </row>
    <row r="79" spans="1:4" x14ac:dyDescent="0.35">
      <c r="A79" s="114">
        <v>77</v>
      </c>
      <c r="B79" s="116" t="s">
        <v>79</v>
      </c>
      <c r="C79" s="116" t="s">
        <v>147</v>
      </c>
      <c r="D79" s="116" t="s">
        <v>153</v>
      </c>
    </row>
    <row r="80" spans="1:4" x14ac:dyDescent="0.35">
      <c r="A80" s="117">
        <v>78</v>
      </c>
      <c r="B80" s="116" t="s">
        <v>79</v>
      </c>
      <c r="C80" s="116" t="s">
        <v>147</v>
      </c>
      <c r="D80" s="116" t="s">
        <v>154</v>
      </c>
    </row>
    <row r="81" spans="1:4" x14ac:dyDescent="0.35">
      <c r="A81" s="114">
        <v>79</v>
      </c>
      <c r="B81" s="116" t="s">
        <v>79</v>
      </c>
      <c r="C81" s="116" t="s">
        <v>147</v>
      </c>
      <c r="D81" s="116" t="s">
        <v>155</v>
      </c>
    </row>
    <row r="82" spans="1:4" x14ac:dyDescent="0.35">
      <c r="A82" s="117">
        <v>80</v>
      </c>
      <c r="B82" s="116" t="s">
        <v>79</v>
      </c>
      <c r="C82" s="116" t="s">
        <v>147</v>
      </c>
      <c r="D82" s="116" t="s">
        <v>156</v>
      </c>
    </row>
    <row r="83" spans="1:4" x14ac:dyDescent="0.35">
      <c r="A83" s="114">
        <v>81</v>
      </c>
      <c r="B83" s="116" t="s">
        <v>79</v>
      </c>
      <c r="C83" s="116" t="s">
        <v>147</v>
      </c>
      <c r="D83" s="116" t="s">
        <v>157</v>
      </c>
    </row>
    <row r="84" spans="1:4" x14ac:dyDescent="0.35">
      <c r="A84" s="117">
        <v>82</v>
      </c>
      <c r="B84" s="116" t="s">
        <v>79</v>
      </c>
      <c r="C84" s="116" t="s">
        <v>147</v>
      </c>
      <c r="D84" s="116" t="s">
        <v>158</v>
      </c>
    </row>
    <row r="85" spans="1:4" x14ac:dyDescent="0.35">
      <c r="A85" s="114">
        <v>83</v>
      </c>
      <c r="B85" s="116" t="s">
        <v>79</v>
      </c>
      <c r="C85" s="116" t="s">
        <v>147</v>
      </c>
      <c r="D85" s="116" t="s">
        <v>159</v>
      </c>
    </row>
    <row r="86" spans="1:4" x14ac:dyDescent="0.35">
      <c r="A86" s="117">
        <v>84</v>
      </c>
      <c r="B86" s="116" t="s">
        <v>79</v>
      </c>
      <c r="C86" s="116" t="s">
        <v>147</v>
      </c>
      <c r="D86" s="116" t="s">
        <v>160</v>
      </c>
    </row>
    <row r="87" spans="1:4" x14ac:dyDescent="0.35">
      <c r="A87" s="114">
        <v>85</v>
      </c>
      <c r="B87" s="116" t="s">
        <v>79</v>
      </c>
      <c r="C87" s="116" t="s">
        <v>147</v>
      </c>
      <c r="D87" s="116" t="s">
        <v>161</v>
      </c>
    </row>
    <row r="88" spans="1:4" x14ac:dyDescent="0.35">
      <c r="A88" s="117">
        <v>86</v>
      </c>
      <c r="B88" s="116" t="s">
        <v>162</v>
      </c>
      <c r="C88" s="116" t="s">
        <v>163</v>
      </c>
      <c r="D88" s="116" t="s">
        <v>164</v>
      </c>
    </row>
    <row r="89" spans="1:4" x14ac:dyDescent="0.35">
      <c r="A89" s="114">
        <v>87</v>
      </c>
      <c r="B89" s="116" t="s">
        <v>162</v>
      </c>
      <c r="C89" s="116" t="s">
        <v>163</v>
      </c>
      <c r="D89" s="116" t="s">
        <v>165</v>
      </c>
    </row>
    <row r="90" spans="1:4" x14ac:dyDescent="0.35">
      <c r="A90" s="117">
        <v>88</v>
      </c>
      <c r="B90" s="116" t="s">
        <v>162</v>
      </c>
      <c r="C90" s="116" t="s">
        <v>163</v>
      </c>
      <c r="D90" s="116" t="s">
        <v>166</v>
      </c>
    </row>
    <row r="91" spans="1:4" x14ac:dyDescent="0.35">
      <c r="A91" s="114">
        <v>89</v>
      </c>
      <c r="B91" s="116" t="s">
        <v>162</v>
      </c>
      <c r="C91" s="116" t="s">
        <v>163</v>
      </c>
      <c r="D91" s="116" t="s">
        <v>167</v>
      </c>
    </row>
    <row r="92" spans="1:4" x14ac:dyDescent="0.35">
      <c r="A92" s="117">
        <v>90</v>
      </c>
      <c r="B92" s="116" t="s">
        <v>162</v>
      </c>
      <c r="C92" s="116" t="s">
        <v>163</v>
      </c>
      <c r="D92" s="116" t="s">
        <v>168</v>
      </c>
    </row>
    <row r="93" spans="1:4" x14ac:dyDescent="0.35">
      <c r="A93" s="114">
        <v>91</v>
      </c>
      <c r="B93" s="116" t="s">
        <v>162</v>
      </c>
      <c r="C93" s="116" t="s">
        <v>163</v>
      </c>
      <c r="D93" s="116" t="s">
        <v>169</v>
      </c>
    </row>
    <row r="94" spans="1:4" x14ac:dyDescent="0.35">
      <c r="A94" s="117">
        <v>92</v>
      </c>
      <c r="B94" s="116" t="s">
        <v>162</v>
      </c>
      <c r="C94" s="116" t="s">
        <v>163</v>
      </c>
      <c r="D94" s="116" t="s">
        <v>170</v>
      </c>
    </row>
    <row r="95" spans="1:4" x14ac:dyDescent="0.35">
      <c r="A95" s="114">
        <v>93</v>
      </c>
      <c r="B95" s="116" t="s">
        <v>162</v>
      </c>
      <c r="C95" s="116" t="s">
        <v>163</v>
      </c>
      <c r="D95" s="116" t="s">
        <v>171</v>
      </c>
    </row>
    <row r="96" spans="1:4" x14ac:dyDescent="0.35">
      <c r="A96" s="117">
        <v>94</v>
      </c>
      <c r="B96" s="116" t="s">
        <v>162</v>
      </c>
      <c r="C96" s="116" t="s">
        <v>163</v>
      </c>
      <c r="D96" s="116" t="s">
        <v>172</v>
      </c>
    </row>
    <row r="97" spans="1:4" x14ac:dyDescent="0.35">
      <c r="A97" s="114">
        <v>95</v>
      </c>
      <c r="B97" s="116" t="s">
        <v>162</v>
      </c>
      <c r="C97" s="116" t="s">
        <v>163</v>
      </c>
      <c r="D97" s="116" t="s">
        <v>173</v>
      </c>
    </row>
    <row r="98" spans="1:4" x14ac:dyDescent="0.35">
      <c r="A98" s="117">
        <v>96</v>
      </c>
      <c r="B98" s="116" t="s">
        <v>162</v>
      </c>
      <c r="C98" s="116" t="s">
        <v>163</v>
      </c>
      <c r="D98" s="116" t="s">
        <v>174</v>
      </c>
    </row>
    <row r="99" spans="1:4" x14ac:dyDescent="0.35">
      <c r="A99" s="114">
        <v>97</v>
      </c>
      <c r="B99" s="116" t="s">
        <v>162</v>
      </c>
      <c r="C99" s="116" t="s">
        <v>163</v>
      </c>
      <c r="D99" s="116" t="s">
        <v>175</v>
      </c>
    </row>
    <row r="100" spans="1:4" x14ac:dyDescent="0.35">
      <c r="A100" s="117">
        <v>98</v>
      </c>
      <c r="B100" s="116" t="s">
        <v>162</v>
      </c>
      <c r="C100" s="116" t="s">
        <v>163</v>
      </c>
      <c r="D100" s="116" t="s">
        <v>176</v>
      </c>
    </row>
    <row r="101" spans="1:4" x14ac:dyDescent="0.35">
      <c r="A101" s="114">
        <v>99</v>
      </c>
      <c r="B101" s="116" t="s">
        <v>162</v>
      </c>
      <c r="C101" s="116" t="s">
        <v>177</v>
      </c>
      <c r="D101" s="116" t="s">
        <v>178</v>
      </c>
    </row>
    <row r="102" spans="1:4" x14ac:dyDescent="0.35">
      <c r="A102" s="117">
        <v>100</v>
      </c>
      <c r="B102" s="116" t="s">
        <v>162</v>
      </c>
      <c r="C102" s="116" t="s">
        <v>177</v>
      </c>
      <c r="D102" s="116" t="s">
        <v>179</v>
      </c>
    </row>
    <row r="103" spans="1:4" x14ac:dyDescent="0.35">
      <c r="A103" s="114">
        <v>101</v>
      </c>
      <c r="B103" s="116" t="s">
        <v>162</v>
      </c>
      <c r="C103" s="116" t="s">
        <v>177</v>
      </c>
      <c r="D103" s="116" t="s">
        <v>180</v>
      </c>
    </row>
    <row r="104" spans="1:4" x14ac:dyDescent="0.35">
      <c r="A104" s="117">
        <v>102</v>
      </c>
      <c r="B104" s="116" t="s">
        <v>162</v>
      </c>
      <c r="C104" s="116" t="s">
        <v>177</v>
      </c>
      <c r="D104" s="116" t="s">
        <v>181</v>
      </c>
    </row>
    <row r="105" spans="1:4" x14ac:dyDescent="0.35">
      <c r="A105" s="114">
        <v>103</v>
      </c>
      <c r="B105" s="116" t="s">
        <v>162</v>
      </c>
      <c r="C105" s="116" t="s">
        <v>177</v>
      </c>
      <c r="D105" s="116" t="s">
        <v>182</v>
      </c>
    </row>
    <row r="106" spans="1:4" x14ac:dyDescent="0.35">
      <c r="A106" s="117">
        <v>104</v>
      </c>
      <c r="B106" s="116" t="s">
        <v>162</v>
      </c>
      <c r="C106" s="116" t="s">
        <v>177</v>
      </c>
      <c r="D106" s="116" t="s">
        <v>183</v>
      </c>
    </row>
    <row r="107" spans="1:4" x14ac:dyDescent="0.35">
      <c r="A107" s="114">
        <v>105</v>
      </c>
      <c r="B107" s="116" t="s">
        <v>162</v>
      </c>
      <c r="C107" s="116" t="s">
        <v>177</v>
      </c>
      <c r="D107" s="116" t="s">
        <v>184</v>
      </c>
    </row>
    <row r="108" spans="1:4" x14ac:dyDescent="0.35">
      <c r="A108" s="117">
        <v>106</v>
      </c>
      <c r="B108" s="116" t="s">
        <v>162</v>
      </c>
      <c r="C108" s="116" t="s">
        <v>177</v>
      </c>
      <c r="D108" s="116" t="s">
        <v>185</v>
      </c>
    </row>
    <row r="109" spans="1:4" x14ac:dyDescent="0.35">
      <c r="A109" s="114">
        <v>107</v>
      </c>
      <c r="B109" s="116" t="s">
        <v>162</v>
      </c>
      <c r="C109" s="116" t="s">
        <v>177</v>
      </c>
      <c r="D109" s="116" t="s">
        <v>186</v>
      </c>
    </row>
    <row r="110" spans="1:4" x14ac:dyDescent="0.35">
      <c r="A110" s="117">
        <v>108</v>
      </c>
      <c r="B110" s="116" t="s">
        <v>162</v>
      </c>
      <c r="C110" s="116" t="s">
        <v>177</v>
      </c>
      <c r="D110" s="116" t="s">
        <v>187</v>
      </c>
    </row>
    <row r="111" spans="1:4" x14ac:dyDescent="0.35">
      <c r="A111" s="114">
        <v>109</v>
      </c>
      <c r="B111" s="116" t="s">
        <v>162</v>
      </c>
      <c r="C111" s="116" t="s">
        <v>177</v>
      </c>
      <c r="D111" s="116" t="s">
        <v>188</v>
      </c>
    </row>
    <row r="112" spans="1:4" x14ac:dyDescent="0.35">
      <c r="A112" s="117">
        <v>110</v>
      </c>
      <c r="B112" s="116" t="s">
        <v>162</v>
      </c>
      <c r="C112" s="116" t="s">
        <v>177</v>
      </c>
      <c r="D112" s="116" t="s">
        <v>189</v>
      </c>
    </row>
    <row r="113" spans="1:4" x14ac:dyDescent="0.35">
      <c r="A113" s="114">
        <v>111</v>
      </c>
      <c r="B113" s="116" t="s">
        <v>162</v>
      </c>
      <c r="C113" s="116" t="s">
        <v>177</v>
      </c>
      <c r="D113" s="116" t="s">
        <v>190</v>
      </c>
    </row>
    <row r="114" spans="1:4" x14ac:dyDescent="0.35">
      <c r="A114" s="117">
        <v>112</v>
      </c>
      <c r="B114" s="116" t="s">
        <v>162</v>
      </c>
      <c r="C114" s="116" t="s">
        <v>177</v>
      </c>
      <c r="D114" s="116" t="s">
        <v>191</v>
      </c>
    </row>
    <row r="115" spans="1:4" x14ac:dyDescent="0.35">
      <c r="A115" s="114">
        <v>113</v>
      </c>
      <c r="B115" s="116" t="s">
        <v>162</v>
      </c>
      <c r="C115" s="116" t="s">
        <v>177</v>
      </c>
      <c r="D115" s="116" t="s">
        <v>192</v>
      </c>
    </row>
    <row r="116" spans="1:4" x14ac:dyDescent="0.35">
      <c r="A116" s="117">
        <v>114</v>
      </c>
      <c r="B116" s="116" t="s">
        <v>162</v>
      </c>
      <c r="C116" s="116" t="s">
        <v>177</v>
      </c>
      <c r="D116" s="116" t="s">
        <v>193</v>
      </c>
    </row>
    <row r="117" spans="1:4" x14ac:dyDescent="0.35">
      <c r="A117" s="114">
        <v>115</v>
      </c>
      <c r="B117" s="116" t="s">
        <v>162</v>
      </c>
      <c r="C117" s="116" t="s">
        <v>177</v>
      </c>
      <c r="D117" s="116" t="s">
        <v>194</v>
      </c>
    </row>
    <row r="118" spans="1:4" x14ac:dyDescent="0.35">
      <c r="A118" s="117">
        <v>116</v>
      </c>
      <c r="B118" s="116" t="s">
        <v>162</v>
      </c>
      <c r="C118" s="116" t="s">
        <v>177</v>
      </c>
      <c r="D118" s="116" t="s">
        <v>195</v>
      </c>
    </row>
    <row r="119" spans="1:4" x14ac:dyDescent="0.35">
      <c r="A119" s="114">
        <v>117</v>
      </c>
      <c r="B119" s="116" t="s">
        <v>162</v>
      </c>
      <c r="C119" s="116" t="s">
        <v>177</v>
      </c>
      <c r="D119" s="116" t="s">
        <v>196</v>
      </c>
    </row>
    <row r="120" spans="1:4" x14ac:dyDescent="0.35">
      <c r="A120" s="117">
        <v>118</v>
      </c>
      <c r="B120" s="116" t="s">
        <v>162</v>
      </c>
      <c r="C120" s="116" t="s">
        <v>177</v>
      </c>
      <c r="D120" s="116" t="s">
        <v>197</v>
      </c>
    </row>
    <row r="121" spans="1:4" x14ac:dyDescent="0.35">
      <c r="A121" s="114">
        <v>119</v>
      </c>
      <c r="B121" s="116" t="s">
        <v>162</v>
      </c>
      <c r="C121" s="116" t="s">
        <v>177</v>
      </c>
      <c r="D121" s="116" t="s">
        <v>198</v>
      </c>
    </row>
    <row r="122" spans="1:4" x14ac:dyDescent="0.35">
      <c r="A122" s="117">
        <v>120</v>
      </c>
      <c r="B122" s="116" t="s">
        <v>162</v>
      </c>
      <c r="C122" s="116" t="s">
        <v>177</v>
      </c>
      <c r="D122" s="116" t="s">
        <v>199</v>
      </c>
    </row>
    <row r="123" spans="1:4" x14ac:dyDescent="0.35">
      <c r="A123" s="114">
        <v>121</v>
      </c>
      <c r="B123" s="116" t="s">
        <v>162</v>
      </c>
      <c r="C123" s="116" t="s">
        <v>177</v>
      </c>
      <c r="D123" s="116" t="s">
        <v>200</v>
      </c>
    </row>
    <row r="124" spans="1:4" x14ac:dyDescent="0.35">
      <c r="A124" s="117">
        <v>122</v>
      </c>
      <c r="B124" s="116" t="s">
        <v>162</v>
      </c>
      <c r="C124" s="116" t="s">
        <v>201</v>
      </c>
      <c r="D124" s="116" t="s">
        <v>202</v>
      </c>
    </row>
    <row r="125" spans="1:4" x14ac:dyDescent="0.35">
      <c r="A125" s="114">
        <v>123</v>
      </c>
      <c r="B125" s="116" t="s">
        <v>162</v>
      </c>
      <c r="C125" s="116" t="s">
        <v>201</v>
      </c>
      <c r="D125" s="116" t="s">
        <v>203</v>
      </c>
    </row>
    <row r="126" spans="1:4" x14ac:dyDescent="0.35">
      <c r="A126" s="117">
        <v>124</v>
      </c>
      <c r="B126" s="116" t="s">
        <v>162</v>
      </c>
      <c r="C126" s="116" t="s">
        <v>201</v>
      </c>
      <c r="D126" s="116" t="s">
        <v>204</v>
      </c>
    </row>
    <row r="127" spans="1:4" x14ac:dyDescent="0.35">
      <c r="A127" s="114">
        <v>125</v>
      </c>
      <c r="B127" s="116" t="s">
        <v>162</v>
      </c>
      <c r="C127" s="116" t="s">
        <v>201</v>
      </c>
      <c r="D127" s="116" t="s">
        <v>205</v>
      </c>
    </row>
    <row r="128" spans="1:4" x14ac:dyDescent="0.35">
      <c r="A128" s="117">
        <v>126</v>
      </c>
      <c r="B128" s="116" t="s">
        <v>162</v>
      </c>
      <c r="C128" s="116" t="s">
        <v>201</v>
      </c>
      <c r="D128" s="116" t="s">
        <v>206</v>
      </c>
    </row>
    <row r="129" spans="1:4" x14ac:dyDescent="0.35">
      <c r="A129" s="114">
        <v>127</v>
      </c>
      <c r="B129" s="116" t="s">
        <v>162</v>
      </c>
      <c r="C129" s="116" t="s">
        <v>201</v>
      </c>
      <c r="D129" s="116" t="s">
        <v>207</v>
      </c>
    </row>
    <row r="130" spans="1:4" x14ac:dyDescent="0.35">
      <c r="A130" s="117">
        <v>128</v>
      </c>
      <c r="B130" s="116" t="s">
        <v>162</v>
      </c>
      <c r="C130" s="116" t="s">
        <v>201</v>
      </c>
      <c r="D130" s="116" t="s">
        <v>208</v>
      </c>
    </row>
    <row r="131" spans="1:4" x14ac:dyDescent="0.35">
      <c r="A131" s="114">
        <v>129</v>
      </c>
      <c r="B131" s="116" t="s">
        <v>162</v>
      </c>
      <c r="C131" s="116" t="s">
        <v>201</v>
      </c>
      <c r="D131" s="116" t="s">
        <v>209</v>
      </c>
    </row>
    <row r="132" spans="1:4" x14ac:dyDescent="0.35">
      <c r="A132" s="117">
        <v>130</v>
      </c>
      <c r="B132" s="116" t="s">
        <v>162</v>
      </c>
      <c r="C132" s="116" t="s">
        <v>201</v>
      </c>
      <c r="D132" s="116" t="s">
        <v>210</v>
      </c>
    </row>
    <row r="133" spans="1:4" x14ac:dyDescent="0.35">
      <c r="A133" s="114">
        <v>131</v>
      </c>
      <c r="B133" s="116" t="s">
        <v>162</v>
      </c>
      <c r="C133" s="116" t="s">
        <v>201</v>
      </c>
      <c r="D133" s="116" t="s">
        <v>211</v>
      </c>
    </row>
    <row r="134" spans="1:4" x14ac:dyDescent="0.35">
      <c r="A134" s="117">
        <v>132</v>
      </c>
      <c r="B134" s="116" t="s">
        <v>162</v>
      </c>
      <c r="C134" s="116" t="s">
        <v>201</v>
      </c>
      <c r="D134" s="116" t="s">
        <v>212</v>
      </c>
    </row>
    <row r="135" spans="1:4" x14ac:dyDescent="0.35">
      <c r="A135" s="114">
        <v>133</v>
      </c>
      <c r="B135" s="116" t="s">
        <v>162</v>
      </c>
      <c r="C135" s="116" t="s">
        <v>201</v>
      </c>
      <c r="D135" s="116" t="s">
        <v>213</v>
      </c>
    </row>
    <row r="136" spans="1:4" x14ac:dyDescent="0.35">
      <c r="A136" s="117">
        <v>134</v>
      </c>
      <c r="B136" s="116" t="s">
        <v>162</v>
      </c>
      <c r="C136" s="116" t="s">
        <v>214</v>
      </c>
      <c r="D136" s="116" t="s">
        <v>215</v>
      </c>
    </row>
    <row r="137" spans="1:4" x14ac:dyDescent="0.35">
      <c r="A137" s="114">
        <v>135</v>
      </c>
      <c r="B137" s="116" t="s">
        <v>162</v>
      </c>
      <c r="C137" s="116" t="s">
        <v>214</v>
      </c>
      <c r="D137" s="116" t="s">
        <v>216</v>
      </c>
    </row>
    <row r="138" spans="1:4" x14ac:dyDescent="0.35">
      <c r="A138" s="117">
        <v>136</v>
      </c>
      <c r="B138" s="116" t="s">
        <v>162</v>
      </c>
      <c r="C138" s="116" t="s">
        <v>214</v>
      </c>
      <c r="D138" s="116" t="s">
        <v>217</v>
      </c>
    </row>
    <row r="139" spans="1:4" x14ac:dyDescent="0.35">
      <c r="A139" s="114">
        <v>137</v>
      </c>
      <c r="B139" s="116" t="s">
        <v>162</v>
      </c>
      <c r="C139" s="116" t="s">
        <v>218</v>
      </c>
      <c r="D139" s="116" t="s">
        <v>219</v>
      </c>
    </row>
    <row r="140" spans="1:4" x14ac:dyDescent="0.35">
      <c r="A140" s="117">
        <v>138</v>
      </c>
      <c r="B140" s="116" t="s">
        <v>162</v>
      </c>
      <c r="C140" s="116" t="s">
        <v>218</v>
      </c>
      <c r="D140" s="116" t="s">
        <v>220</v>
      </c>
    </row>
    <row r="141" spans="1:4" x14ac:dyDescent="0.35">
      <c r="A141" s="114">
        <v>139</v>
      </c>
      <c r="B141" s="116" t="s">
        <v>162</v>
      </c>
      <c r="C141" s="116" t="s">
        <v>218</v>
      </c>
      <c r="D141" s="116" t="s">
        <v>221</v>
      </c>
    </row>
    <row r="142" spans="1:4" x14ac:dyDescent="0.35">
      <c r="A142" s="117">
        <v>140</v>
      </c>
      <c r="B142" s="116" t="s">
        <v>162</v>
      </c>
      <c r="C142" s="116" t="s">
        <v>218</v>
      </c>
      <c r="D142" s="116" t="s">
        <v>222</v>
      </c>
    </row>
    <row r="143" spans="1:4" x14ac:dyDescent="0.35">
      <c r="A143" s="114">
        <v>141</v>
      </c>
      <c r="B143" s="116" t="s">
        <v>162</v>
      </c>
      <c r="C143" s="116" t="s">
        <v>218</v>
      </c>
      <c r="D143" s="116" t="s">
        <v>223</v>
      </c>
    </row>
    <row r="144" spans="1:4" x14ac:dyDescent="0.35">
      <c r="A144" s="117">
        <v>142</v>
      </c>
      <c r="B144" s="116" t="s">
        <v>162</v>
      </c>
      <c r="C144" s="116" t="s">
        <v>218</v>
      </c>
      <c r="D144" s="116" t="s">
        <v>224</v>
      </c>
    </row>
    <row r="145" spans="1:4" x14ac:dyDescent="0.35">
      <c r="A145" s="114">
        <v>143</v>
      </c>
      <c r="B145" s="116" t="s">
        <v>162</v>
      </c>
      <c r="C145" s="116" t="s">
        <v>225</v>
      </c>
      <c r="D145" s="116" t="s">
        <v>226</v>
      </c>
    </row>
    <row r="146" spans="1:4" x14ac:dyDescent="0.35">
      <c r="A146" s="117">
        <v>144</v>
      </c>
      <c r="B146" s="116" t="s">
        <v>162</v>
      </c>
      <c r="C146" s="116" t="s">
        <v>225</v>
      </c>
      <c r="D146" s="116" t="s">
        <v>227</v>
      </c>
    </row>
    <row r="147" spans="1:4" x14ac:dyDescent="0.35">
      <c r="A147" s="114">
        <v>145</v>
      </c>
      <c r="B147" s="116" t="s">
        <v>162</v>
      </c>
      <c r="C147" s="116" t="s">
        <v>225</v>
      </c>
      <c r="D147" s="116" t="s">
        <v>228</v>
      </c>
    </row>
    <row r="148" spans="1:4" x14ac:dyDescent="0.35">
      <c r="A148" s="117">
        <v>146</v>
      </c>
      <c r="B148" s="116" t="s">
        <v>162</v>
      </c>
      <c r="C148" s="116" t="s">
        <v>225</v>
      </c>
      <c r="D148" s="116" t="s">
        <v>229</v>
      </c>
    </row>
    <row r="149" spans="1:4" x14ac:dyDescent="0.35">
      <c r="A149" s="114">
        <v>147</v>
      </c>
      <c r="B149" s="116" t="s">
        <v>162</v>
      </c>
      <c r="C149" s="116" t="s">
        <v>225</v>
      </c>
      <c r="D149" s="116" t="s">
        <v>230</v>
      </c>
    </row>
    <row r="150" spans="1:4" x14ac:dyDescent="0.35">
      <c r="A150" s="117">
        <v>148</v>
      </c>
      <c r="B150" s="116" t="s">
        <v>162</v>
      </c>
      <c r="C150" s="116" t="s">
        <v>225</v>
      </c>
      <c r="D150" s="116" t="s">
        <v>231</v>
      </c>
    </row>
    <row r="151" spans="1:4" x14ac:dyDescent="0.35">
      <c r="A151" s="114">
        <v>149</v>
      </c>
      <c r="B151" s="116" t="s">
        <v>232</v>
      </c>
      <c r="C151" s="116" t="s">
        <v>233</v>
      </c>
      <c r="D151" s="116" t="s">
        <v>234</v>
      </c>
    </row>
    <row r="152" spans="1:4" x14ac:dyDescent="0.35">
      <c r="A152" s="117">
        <v>150</v>
      </c>
      <c r="B152" s="116" t="s">
        <v>232</v>
      </c>
      <c r="C152" s="116" t="s">
        <v>233</v>
      </c>
      <c r="D152" s="116" t="s">
        <v>235</v>
      </c>
    </row>
    <row r="153" spans="1:4" x14ac:dyDescent="0.35">
      <c r="A153" s="114">
        <v>151</v>
      </c>
      <c r="B153" s="116" t="s">
        <v>232</v>
      </c>
      <c r="C153" s="116" t="s">
        <v>233</v>
      </c>
      <c r="D153" s="116" t="s">
        <v>236</v>
      </c>
    </row>
    <row r="154" spans="1:4" x14ac:dyDescent="0.35">
      <c r="A154" s="117">
        <v>152</v>
      </c>
      <c r="B154" s="116" t="s">
        <v>232</v>
      </c>
      <c r="C154" s="116" t="s">
        <v>233</v>
      </c>
      <c r="D154" s="116" t="s">
        <v>237</v>
      </c>
    </row>
    <row r="155" spans="1:4" x14ac:dyDescent="0.35">
      <c r="A155" s="114">
        <v>153</v>
      </c>
      <c r="B155" s="116" t="s">
        <v>232</v>
      </c>
      <c r="C155" s="116" t="s">
        <v>233</v>
      </c>
      <c r="D155" s="116" t="s">
        <v>238</v>
      </c>
    </row>
    <row r="156" spans="1:4" x14ac:dyDescent="0.35">
      <c r="A156" s="117">
        <v>154</v>
      </c>
      <c r="B156" s="116" t="s">
        <v>232</v>
      </c>
      <c r="C156" s="116" t="s">
        <v>233</v>
      </c>
      <c r="D156" s="116" t="s">
        <v>239</v>
      </c>
    </row>
    <row r="157" spans="1:4" x14ac:dyDescent="0.35">
      <c r="A157" s="114">
        <v>155</v>
      </c>
      <c r="B157" s="116" t="s">
        <v>232</v>
      </c>
      <c r="C157" s="116" t="s">
        <v>233</v>
      </c>
      <c r="D157" s="116" t="s">
        <v>240</v>
      </c>
    </row>
    <row r="158" spans="1:4" x14ac:dyDescent="0.35">
      <c r="A158" s="117">
        <v>156</v>
      </c>
      <c r="B158" s="116" t="s">
        <v>232</v>
      </c>
      <c r="C158" s="116" t="s">
        <v>233</v>
      </c>
      <c r="D158" s="116" t="s">
        <v>241</v>
      </c>
    </row>
    <row r="159" spans="1:4" x14ac:dyDescent="0.35">
      <c r="A159" s="114">
        <v>157</v>
      </c>
      <c r="B159" s="116" t="s">
        <v>232</v>
      </c>
      <c r="C159" s="116" t="s">
        <v>233</v>
      </c>
      <c r="D159" s="116" t="s">
        <v>242</v>
      </c>
    </row>
    <row r="160" spans="1:4" x14ac:dyDescent="0.35">
      <c r="A160" s="117">
        <v>158</v>
      </c>
      <c r="B160" s="116" t="s">
        <v>232</v>
      </c>
      <c r="C160" s="116" t="s">
        <v>233</v>
      </c>
      <c r="D160" s="116" t="s">
        <v>243</v>
      </c>
    </row>
    <row r="161" spans="1:4" x14ac:dyDescent="0.35">
      <c r="A161" s="114">
        <v>159</v>
      </c>
      <c r="B161" s="116" t="s">
        <v>232</v>
      </c>
      <c r="C161" s="116" t="s">
        <v>233</v>
      </c>
      <c r="D161" s="116" t="s">
        <v>244</v>
      </c>
    </row>
    <row r="162" spans="1:4" x14ac:dyDescent="0.35">
      <c r="A162" s="117">
        <v>160</v>
      </c>
      <c r="B162" s="116" t="s">
        <v>232</v>
      </c>
      <c r="C162" s="116" t="s">
        <v>233</v>
      </c>
      <c r="D162" s="116" t="s">
        <v>245</v>
      </c>
    </row>
    <row r="163" spans="1:4" x14ac:dyDescent="0.35">
      <c r="A163" s="114">
        <v>161</v>
      </c>
      <c r="B163" s="116" t="s">
        <v>232</v>
      </c>
      <c r="C163" s="116" t="s">
        <v>233</v>
      </c>
      <c r="D163" s="116" t="s">
        <v>246</v>
      </c>
    </row>
    <row r="164" spans="1:4" x14ac:dyDescent="0.35">
      <c r="A164" s="117">
        <v>162</v>
      </c>
      <c r="B164" s="116" t="s">
        <v>232</v>
      </c>
      <c r="C164" s="116" t="s">
        <v>233</v>
      </c>
      <c r="D164" s="116" t="s">
        <v>247</v>
      </c>
    </row>
    <row r="165" spans="1:4" x14ac:dyDescent="0.35">
      <c r="A165" s="114">
        <v>163</v>
      </c>
      <c r="B165" s="116" t="s">
        <v>232</v>
      </c>
      <c r="C165" s="116" t="s">
        <v>233</v>
      </c>
      <c r="D165" s="116" t="s">
        <v>248</v>
      </c>
    </row>
    <row r="166" spans="1:4" x14ac:dyDescent="0.35">
      <c r="A166" s="117">
        <v>164</v>
      </c>
      <c r="B166" s="116" t="s">
        <v>232</v>
      </c>
      <c r="C166" s="116" t="s">
        <v>233</v>
      </c>
      <c r="D166" s="116" t="s">
        <v>249</v>
      </c>
    </row>
    <row r="167" spans="1:4" x14ac:dyDescent="0.35">
      <c r="A167" s="114">
        <v>165</v>
      </c>
      <c r="B167" s="116" t="s">
        <v>232</v>
      </c>
      <c r="C167" s="116" t="s">
        <v>250</v>
      </c>
      <c r="D167" s="116" t="s">
        <v>251</v>
      </c>
    </row>
    <row r="168" spans="1:4" x14ac:dyDescent="0.35">
      <c r="A168" s="117">
        <v>166</v>
      </c>
      <c r="B168" s="116" t="s">
        <v>232</v>
      </c>
      <c r="C168" s="116" t="s">
        <v>250</v>
      </c>
      <c r="D168" s="116" t="s">
        <v>252</v>
      </c>
    </row>
    <row r="169" spans="1:4" x14ac:dyDescent="0.35">
      <c r="A169" s="114">
        <v>167</v>
      </c>
      <c r="B169" s="116" t="s">
        <v>232</v>
      </c>
      <c r="C169" s="116" t="s">
        <v>250</v>
      </c>
      <c r="D169" s="116" t="s">
        <v>253</v>
      </c>
    </row>
    <row r="170" spans="1:4" x14ac:dyDescent="0.35">
      <c r="A170" s="117">
        <v>168</v>
      </c>
      <c r="B170" s="116" t="s">
        <v>232</v>
      </c>
      <c r="C170" s="116" t="s">
        <v>250</v>
      </c>
      <c r="D170" s="116" t="s">
        <v>254</v>
      </c>
    </row>
    <row r="171" spans="1:4" x14ac:dyDescent="0.35">
      <c r="A171" s="114">
        <v>169</v>
      </c>
      <c r="B171" s="116" t="s">
        <v>232</v>
      </c>
      <c r="C171" s="116" t="s">
        <v>250</v>
      </c>
      <c r="D171" s="116" t="s">
        <v>255</v>
      </c>
    </row>
    <row r="172" spans="1:4" x14ac:dyDescent="0.35">
      <c r="A172" s="117">
        <v>170</v>
      </c>
      <c r="B172" s="116" t="s">
        <v>232</v>
      </c>
      <c r="C172" s="116" t="s">
        <v>250</v>
      </c>
      <c r="D172" s="116" t="s">
        <v>256</v>
      </c>
    </row>
    <row r="173" spans="1:4" x14ac:dyDescent="0.35">
      <c r="A173" s="114">
        <v>171</v>
      </c>
      <c r="B173" s="116" t="s">
        <v>232</v>
      </c>
      <c r="C173" s="116" t="s">
        <v>250</v>
      </c>
      <c r="D173" s="116" t="s">
        <v>257</v>
      </c>
    </row>
    <row r="174" spans="1:4" x14ac:dyDescent="0.35">
      <c r="A174" s="117">
        <v>172</v>
      </c>
      <c r="B174" s="116" t="s">
        <v>232</v>
      </c>
      <c r="C174" s="116" t="s">
        <v>250</v>
      </c>
      <c r="D174" s="116" t="s">
        <v>258</v>
      </c>
    </row>
    <row r="175" spans="1:4" x14ac:dyDescent="0.35">
      <c r="A175" s="114">
        <v>173</v>
      </c>
      <c r="B175" s="116" t="s">
        <v>232</v>
      </c>
      <c r="C175" s="116" t="s">
        <v>250</v>
      </c>
      <c r="D175" s="116" t="s">
        <v>259</v>
      </c>
    </row>
    <row r="176" spans="1:4" x14ac:dyDescent="0.35">
      <c r="A176" s="117">
        <v>174</v>
      </c>
      <c r="B176" s="116" t="s">
        <v>232</v>
      </c>
      <c r="C176" s="116" t="s">
        <v>250</v>
      </c>
      <c r="D176" s="116" t="s">
        <v>260</v>
      </c>
    </row>
    <row r="177" spans="1:4" x14ac:dyDescent="0.35">
      <c r="A177" s="114">
        <v>175</v>
      </c>
      <c r="B177" s="116" t="s">
        <v>232</v>
      </c>
      <c r="C177" s="116" t="s">
        <v>250</v>
      </c>
      <c r="D177" s="116" t="s">
        <v>261</v>
      </c>
    </row>
    <row r="178" spans="1:4" x14ac:dyDescent="0.35">
      <c r="A178" s="117">
        <v>176</v>
      </c>
      <c r="B178" s="116" t="s">
        <v>232</v>
      </c>
      <c r="C178" s="116" t="s">
        <v>250</v>
      </c>
      <c r="D178" s="116" t="s">
        <v>262</v>
      </c>
    </row>
    <row r="179" spans="1:4" x14ac:dyDescent="0.35">
      <c r="A179" s="114">
        <v>177</v>
      </c>
      <c r="B179" s="116" t="s">
        <v>232</v>
      </c>
      <c r="C179" s="116" t="s">
        <v>250</v>
      </c>
      <c r="D179" s="116" t="s">
        <v>263</v>
      </c>
    </row>
    <row r="180" spans="1:4" x14ac:dyDescent="0.35">
      <c r="A180" s="117">
        <v>178</v>
      </c>
      <c r="B180" s="116" t="s">
        <v>232</v>
      </c>
      <c r="C180" s="116" t="s">
        <v>250</v>
      </c>
      <c r="D180" s="116" t="s">
        <v>264</v>
      </c>
    </row>
    <row r="181" spans="1:4" x14ac:dyDescent="0.35">
      <c r="A181" s="114">
        <v>179</v>
      </c>
      <c r="B181" s="116" t="s">
        <v>232</v>
      </c>
      <c r="C181" s="116" t="s">
        <v>250</v>
      </c>
      <c r="D181" s="116" t="s">
        <v>265</v>
      </c>
    </row>
    <row r="182" spans="1:4" x14ac:dyDescent="0.35">
      <c r="A182" s="117">
        <v>180</v>
      </c>
      <c r="B182" s="116" t="s">
        <v>232</v>
      </c>
      <c r="C182" s="116" t="s">
        <v>266</v>
      </c>
      <c r="D182" s="116" t="s">
        <v>267</v>
      </c>
    </row>
    <row r="183" spans="1:4" x14ac:dyDescent="0.35">
      <c r="A183" s="114">
        <v>181</v>
      </c>
      <c r="B183" s="116" t="s">
        <v>232</v>
      </c>
      <c r="C183" s="116" t="s">
        <v>266</v>
      </c>
      <c r="D183" s="116" t="s">
        <v>268</v>
      </c>
    </row>
    <row r="184" spans="1:4" x14ac:dyDescent="0.35">
      <c r="A184" s="117">
        <v>182</v>
      </c>
      <c r="B184" s="116" t="s">
        <v>232</v>
      </c>
      <c r="C184" s="116" t="s">
        <v>266</v>
      </c>
      <c r="D184" s="116" t="s">
        <v>269</v>
      </c>
    </row>
    <row r="185" spans="1:4" x14ac:dyDescent="0.35">
      <c r="A185" s="114">
        <v>183</v>
      </c>
      <c r="B185" s="116" t="s">
        <v>232</v>
      </c>
      <c r="C185" s="116" t="s">
        <v>266</v>
      </c>
      <c r="D185" s="116" t="s">
        <v>270</v>
      </c>
    </row>
    <row r="186" spans="1:4" x14ac:dyDescent="0.35">
      <c r="A186" s="117">
        <v>184</v>
      </c>
      <c r="B186" s="116" t="s">
        <v>232</v>
      </c>
      <c r="C186" s="116" t="s">
        <v>266</v>
      </c>
      <c r="D186" s="116" t="s">
        <v>271</v>
      </c>
    </row>
    <row r="187" spans="1:4" x14ac:dyDescent="0.35">
      <c r="A187" s="114">
        <v>185</v>
      </c>
      <c r="B187" s="116" t="s">
        <v>232</v>
      </c>
      <c r="C187" s="116" t="s">
        <v>266</v>
      </c>
      <c r="D187" s="116" t="s">
        <v>272</v>
      </c>
    </row>
    <row r="188" spans="1:4" x14ac:dyDescent="0.35">
      <c r="A188" s="117">
        <v>186</v>
      </c>
      <c r="B188" s="116" t="s">
        <v>232</v>
      </c>
      <c r="C188" s="116" t="s">
        <v>266</v>
      </c>
      <c r="D188" s="116" t="s">
        <v>273</v>
      </c>
    </row>
    <row r="189" spans="1:4" x14ac:dyDescent="0.35">
      <c r="A189" s="114">
        <v>187</v>
      </c>
      <c r="B189" s="116" t="s">
        <v>232</v>
      </c>
      <c r="C189" s="116" t="s">
        <v>266</v>
      </c>
      <c r="D189" s="116" t="s">
        <v>274</v>
      </c>
    </row>
    <row r="190" spans="1:4" x14ac:dyDescent="0.35">
      <c r="A190" s="117">
        <v>188</v>
      </c>
      <c r="B190" s="116" t="s">
        <v>232</v>
      </c>
      <c r="C190" s="116" t="s">
        <v>266</v>
      </c>
      <c r="D190" s="116" t="s">
        <v>275</v>
      </c>
    </row>
    <row r="191" spans="1:4" x14ac:dyDescent="0.35">
      <c r="A191" s="114">
        <v>189</v>
      </c>
      <c r="B191" s="116" t="s">
        <v>232</v>
      </c>
      <c r="C191" s="116" t="s">
        <v>266</v>
      </c>
      <c r="D191" s="116" t="s">
        <v>276</v>
      </c>
    </row>
    <row r="192" spans="1:4" x14ac:dyDescent="0.35">
      <c r="A192" s="117">
        <v>190</v>
      </c>
      <c r="B192" s="116" t="s">
        <v>232</v>
      </c>
      <c r="C192" s="116" t="s">
        <v>266</v>
      </c>
      <c r="D192" s="116" t="s">
        <v>277</v>
      </c>
    </row>
    <row r="193" spans="1:4" x14ac:dyDescent="0.35">
      <c r="A193" s="114">
        <v>191</v>
      </c>
      <c r="B193" s="116" t="s">
        <v>232</v>
      </c>
      <c r="C193" s="116" t="s">
        <v>266</v>
      </c>
      <c r="D193" s="116" t="s">
        <v>278</v>
      </c>
    </row>
    <row r="194" spans="1:4" x14ac:dyDescent="0.35">
      <c r="A194" s="117">
        <v>192</v>
      </c>
      <c r="B194" s="116" t="s">
        <v>232</v>
      </c>
      <c r="C194" s="116" t="s">
        <v>279</v>
      </c>
      <c r="D194" s="116" t="s">
        <v>280</v>
      </c>
    </row>
    <row r="195" spans="1:4" x14ac:dyDescent="0.35">
      <c r="A195" s="114">
        <v>193</v>
      </c>
      <c r="B195" s="116" t="s">
        <v>232</v>
      </c>
      <c r="C195" s="116" t="s">
        <v>279</v>
      </c>
      <c r="D195" s="116" t="s">
        <v>281</v>
      </c>
    </row>
    <row r="196" spans="1:4" x14ac:dyDescent="0.35">
      <c r="A196" s="117">
        <v>194</v>
      </c>
      <c r="B196" s="116" t="s">
        <v>232</v>
      </c>
      <c r="C196" s="116" t="s">
        <v>279</v>
      </c>
      <c r="D196" s="116" t="s">
        <v>282</v>
      </c>
    </row>
    <row r="197" spans="1:4" x14ac:dyDescent="0.35">
      <c r="A197" s="114">
        <v>195</v>
      </c>
      <c r="B197" s="116" t="s">
        <v>232</v>
      </c>
      <c r="C197" s="116" t="s">
        <v>279</v>
      </c>
      <c r="D197" s="116" t="s">
        <v>283</v>
      </c>
    </row>
    <row r="198" spans="1:4" x14ac:dyDescent="0.35">
      <c r="A198" s="117">
        <v>196</v>
      </c>
      <c r="B198" s="116" t="s">
        <v>232</v>
      </c>
      <c r="C198" s="116" t="s">
        <v>279</v>
      </c>
      <c r="D198" s="116" t="s">
        <v>284</v>
      </c>
    </row>
    <row r="199" spans="1:4" x14ac:dyDescent="0.35">
      <c r="A199" s="114">
        <v>197</v>
      </c>
      <c r="B199" s="116" t="s">
        <v>232</v>
      </c>
      <c r="C199" s="116" t="s">
        <v>279</v>
      </c>
      <c r="D199" s="116" t="s">
        <v>285</v>
      </c>
    </row>
    <row r="200" spans="1:4" x14ac:dyDescent="0.35">
      <c r="A200" s="117">
        <v>198</v>
      </c>
      <c r="B200" s="116" t="s">
        <v>232</v>
      </c>
      <c r="C200" s="116" t="s">
        <v>279</v>
      </c>
      <c r="D200" s="116" t="s">
        <v>286</v>
      </c>
    </row>
    <row r="201" spans="1:4" x14ac:dyDescent="0.35">
      <c r="A201" s="114">
        <v>199</v>
      </c>
      <c r="B201" s="116" t="s">
        <v>232</v>
      </c>
      <c r="C201" s="116" t="s">
        <v>279</v>
      </c>
      <c r="D201" s="116" t="s">
        <v>287</v>
      </c>
    </row>
    <row r="202" spans="1:4" x14ac:dyDescent="0.35">
      <c r="A202" s="117">
        <v>200</v>
      </c>
      <c r="B202" s="116" t="s">
        <v>232</v>
      </c>
      <c r="C202" s="116" t="s">
        <v>279</v>
      </c>
      <c r="D202" s="116" t="s">
        <v>288</v>
      </c>
    </row>
    <row r="203" spans="1:4" x14ac:dyDescent="0.35">
      <c r="A203" s="114">
        <v>201</v>
      </c>
      <c r="B203" s="116" t="s">
        <v>232</v>
      </c>
      <c r="C203" s="116" t="s">
        <v>279</v>
      </c>
      <c r="D203" s="116" t="s">
        <v>289</v>
      </c>
    </row>
    <row r="204" spans="1:4" x14ac:dyDescent="0.35">
      <c r="A204" s="117">
        <v>202</v>
      </c>
      <c r="B204" s="116" t="s">
        <v>232</v>
      </c>
      <c r="C204" s="116" t="s">
        <v>279</v>
      </c>
      <c r="D204" s="116" t="s">
        <v>290</v>
      </c>
    </row>
    <row r="205" spans="1:4" x14ac:dyDescent="0.35">
      <c r="A205" s="114">
        <v>203</v>
      </c>
      <c r="B205" s="116" t="s">
        <v>232</v>
      </c>
      <c r="C205" s="116" t="s">
        <v>279</v>
      </c>
      <c r="D205" s="116" t="s">
        <v>291</v>
      </c>
    </row>
    <row r="206" spans="1:4" x14ac:dyDescent="0.35">
      <c r="A206" s="117">
        <v>204</v>
      </c>
      <c r="B206" s="116" t="s">
        <v>232</v>
      </c>
      <c r="C206" s="116" t="s">
        <v>279</v>
      </c>
      <c r="D206" s="116" t="s">
        <v>292</v>
      </c>
    </row>
    <row r="207" spans="1:4" x14ac:dyDescent="0.35">
      <c r="A207" s="114">
        <v>205</v>
      </c>
      <c r="B207" s="116" t="s">
        <v>232</v>
      </c>
      <c r="C207" s="116" t="s">
        <v>279</v>
      </c>
      <c r="D207" s="116" t="s">
        <v>293</v>
      </c>
    </row>
    <row r="208" spans="1:4" x14ac:dyDescent="0.35">
      <c r="A208" s="117">
        <v>206</v>
      </c>
      <c r="B208" s="116" t="s">
        <v>232</v>
      </c>
      <c r="C208" s="116" t="s">
        <v>279</v>
      </c>
      <c r="D208" s="116" t="s">
        <v>294</v>
      </c>
    </row>
    <row r="209" spans="1:4" x14ac:dyDescent="0.35">
      <c r="A209" s="114">
        <v>207</v>
      </c>
      <c r="B209" s="116" t="s">
        <v>232</v>
      </c>
      <c r="C209" s="116" t="s">
        <v>279</v>
      </c>
      <c r="D209" s="116" t="s">
        <v>295</v>
      </c>
    </row>
    <row r="210" spans="1:4" x14ac:dyDescent="0.35">
      <c r="A210" s="117">
        <v>208</v>
      </c>
      <c r="B210" s="116" t="s">
        <v>232</v>
      </c>
      <c r="C210" s="116" t="s">
        <v>279</v>
      </c>
      <c r="D210" s="116" t="s">
        <v>296</v>
      </c>
    </row>
    <row r="211" spans="1:4" x14ac:dyDescent="0.35">
      <c r="A211" s="114">
        <v>209</v>
      </c>
      <c r="B211" s="116" t="s">
        <v>232</v>
      </c>
      <c r="C211" s="116" t="s">
        <v>279</v>
      </c>
      <c r="D211" s="116" t="s">
        <v>297</v>
      </c>
    </row>
    <row r="212" spans="1:4" x14ac:dyDescent="0.35">
      <c r="A212" s="117">
        <v>210</v>
      </c>
      <c r="B212" s="116" t="s">
        <v>232</v>
      </c>
      <c r="C212" s="116" t="s">
        <v>279</v>
      </c>
      <c r="D212" s="116" t="s">
        <v>298</v>
      </c>
    </row>
    <row r="213" spans="1:4" x14ac:dyDescent="0.35">
      <c r="A213" s="114">
        <v>211</v>
      </c>
      <c r="B213" s="116" t="s">
        <v>232</v>
      </c>
      <c r="C213" s="116" t="s">
        <v>279</v>
      </c>
      <c r="D213" s="116" t="s">
        <v>299</v>
      </c>
    </row>
    <row r="214" spans="1:4" x14ac:dyDescent="0.35">
      <c r="A214" s="117">
        <v>212</v>
      </c>
      <c r="B214" s="116" t="s">
        <v>232</v>
      </c>
      <c r="C214" s="116" t="s">
        <v>279</v>
      </c>
      <c r="D214" s="116" t="s">
        <v>300</v>
      </c>
    </row>
    <row r="215" spans="1:4" x14ac:dyDescent="0.35">
      <c r="A215" s="114">
        <v>213</v>
      </c>
      <c r="B215" s="116" t="s">
        <v>232</v>
      </c>
      <c r="C215" s="116" t="s">
        <v>279</v>
      </c>
      <c r="D215" s="116" t="s">
        <v>301</v>
      </c>
    </row>
    <row r="216" spans="1:4" x14ac:dyDescent="0.35">
      <c r="A216" s="117">
        <v>214</v>
      </c>
      <c r="B216" s="116" t="s">
        <v>232</v>
      </c>
      <c r="C216" s="116" t="s">
        <v>302</v>
      </c>
      <c r="D216" s="116" t="s">
        <v>303</v>
      </c>
    </row>
    <row r="217" spans="1:4" x14ac:dyDescent="0.35">
      <c r="A217" s="114">
        <v>215</v>
      </c>
      <c r="B217" s="116" t="s">
        <v>232</v>
      </c>
      <c r="C217" s="116" t="s">
        <v>302</v>
      </c>
      <c r="D217" s="116" t="s">
        <v>304</v>
      </c>
    </row>
    <row r="218" spans="1:4" x14ac:dyDescent="0.35">
      <c r="A218" s="117">
        <v>216</v>
      </c>
      <c r="B218" s="116" t="s">
        <v>232</v>
      </c>
      <c r="C218" s="116" t="s">
        <v>302</v>
      </c>
      <c r="D218" s="116" t="s">
        <v>305</v>
      </c>
    </row>
    <row r="219" spans="1:4" x14ac:dyDescent="0.35">
      <c r="A219" s="114">
        <v>217</v>
      </c>
      <c r="B219" s="116" t="s">
        <v>232</v>
      </c>
      <c r="C219" s="116" t="s">
        <v>302</v>
      </c>
      <c r="D219" s="116" t="s">
        <v>306</v>
      </c>
    </row>
    <row r="220" spans="1:4" x14ac:dyDescent="0.35">
      <c r="A220" s="117">
        <v>218</v>
      </c>
      <c r="B220" s="116" t="s">
        <v>232</v>
      </c>
      <c r="C220" s="116" t="s">
        <v>307</v>
      </c>
      <c r="D220" s="116" t="s">
        <v>308</v>
      </c>
    </row>
    <row r="221" spans="1:4" x14ac:dyDescent="0.35">
      <c r="A221" s="114">
        <v>219</v>
      </c>
      <c r="B221" s="116" t="s">
        <v>232</v>
      </c>
      <c r="C221" s="116" t="s">
        <v>307</v>
      </c>
      <c r="D221" s="116" t="s">
        <v>309</v>
      </c>
    </row>
    <row r="222" spans="1:4" x14ac:dyDescent="0.35">
      <c r="A222" s="117">
        <v>220</v>
      </c>
      <c r="B222" s="116" t="s">
        <v>232</v>
      </c>
      <c r="C222" s="116" t="s">
        <v>307</v>
      </c>
      <c r="D222" s="116" t="s">
        <v>310</v>
      </c>
    </row>
    <row r="223" spans="1:4" x14ac:dyDescent="0.35">
      <c r="A223" s="114">
        <v>221</v>
      </c>
      <c r="B223" s="116" t="s">
        <v>232</v>
      </c>
      <c r="C223" s="116" t="s">
        <v>307</v>
      </c>
      <c r="D223" s="116" t="s">
        <v>311</v>
      </c>
    </row>
    <row r="224" spans="1:4" x14ac:dyDescent="0.35">
      <c r="A224" s="117">
        <v>222</v>
      </c>
      <c r="B224" s="116" t="s">
        <v>232</v>
      </c>
      <c r="C224" s="116" t="s">
        <v>312</v>
      </c>
      <c r="D224" s="116" t="s">
        <v>313</v>
      </c>
    </row>
    <row r="225" spans="1:4" x14ac:dyDescent="0.35">
      <c r="A225" s="114">
        <v>223</v>
      </c>
      <c r="B225" s="116" t="s">
        <v>232</v>
      </c>
      <c r="C225" s="116" t="s">
        <v>312</v>
      </c>
      <c r="D225" s="116" t="s">
        <v>314</v>
      </c>
    </row>
    <row r="226" spans="1:4" x14ac:dyDescent="0.35">
      <c r="A226" s="117">
        <v>224</v>
      </c>
      <c r="B226" s="116" t="s">
        <v>232</v>
      </c>
      <c r="C226" s="116" t="s">
        <v>312</v>
      </c>
      <c r="D226" s="116" t="s">
        <v>315</v>
      </c>
    </row>
    <row r="227" spans="1:4" x14ac:dyDescent="0.35">
      <c r="A227" s="114">
        <v>225</v>
      </c>
      <c r="B227" s="116" t="s">
        <v>232</v>
      </c>
      <c r="C227" s="116" t="s">
        <v>312</v>
      </c>
      <c r="D227" s="116" t="s">
        <v>316</v>
      </c>
    </row>
    <row r="228" spans="1:4" x14ac:dyDescent="0.35">
      <c r="A228" s="117">
        <v>226</v>
      </c>
      <c r="B228" s="116" t="s">
        <v>232</v>
      </c>
      <c r="C228" s="116" t="s">
        <v>312</v>
      </c>
      <c r="D228" s="116" t="s">
        <v>317</v>
      </c>
    </row>
    <row r="229" spans="1:4" x14ac:dyDescent="0.35">
      <c r="A229" s="114">
        <v>227</v>
      </c>
      <c r="B229" s="116" t="s">
        <v>232</v>
      </c>
      <c r="C229" s="116" t="s">
        <v>312</v>
      </c>
      <c r="D229" s="116" t="s">
        <v>318</v>
      </c>
    </row>
    <row r="230" spans="1:4" x14ac:dyDescent="0.35">
      <c r="A230" s="117">
        <v>228</v>
      </c>
      <c r="B230" s="116" t="s">
        <v>232</v>
      </c>
      <c r="C230" s="116" t="s">
        <v>312</v>
      </c>
      <c r="D230" s="116" t="s">
        <v>319</v>
      </c>
    </row>
    <row r="231" spans="1:4" x14ac:dyDescent="0.35">
      <c r="A231" s="114">
        <v>229</v>
      </c>
      <c r="B231" s="116" t="s">
        <v>232</v>
      </c>
      <c r="C231" s="116" t="s">
        <v>312</v>
      </c>
      <c r="D231" s="116" t="s">
        <v>320</v>
      </c>
    </row>
    <row r="232" spans="1:4" x14ac:dyDescent="0.35">
      <c r="A232" s="117">
        <v>230</v>
      </c>
      <c r="B232" s="116" t="s">
        <v>232</v>
      </c>
      <c r="C232" s="116" t="s">
        <v>312</v>
      </c>
      <c r="D232" s="116" t="s">
        <v>321</v>
      </c>
    </row>
    <row r="233" spans="1:4" x14ac:dyDescent="0.35">
      <c r="A233" s="114">
        <v>231</v>
      </c>
      <c r="B233" s="116" t="s">
        <v>232</v>
      </c>
      <c r="C233" s="116" t="s">
        <v>312</v>
      </c>
      <c r="D233" s="116" t="s">
        <v>322</v>
      </c>
    </row>
    <row r="234" spans="1:4" x14ac:dyDescent="0.35">
      <c r="A234" s="117">
        <v>232</v>
      </c>
      <c r="B234" s="116" t="s">
        <v>323</v>
      </c>
      <c r="C234" s="116" t="s">
        <v>324</v>
      </c>
      <c r="D234" s="116" t="s">
        <v>325</v>
      </c>
    </row>
    <row r="235" spans="1:4" x14ac:dyDescent="0.35">
      <c r="A235" s="114">
        <v>233</v>
      </c>
      <c r="B235" s="116" t="s">
        <v>323</v>
      </c>
      <c r="C235" s="116" t="s">
        <v>324</v>
      </c>
      <c r="D235" s="116" t="s">
        <v>326</v>
      </c>
    </row>
    <row r="236" spans="1:4" x14ac:dyDescent="0.35">
      <c r="A236" s="117">
        <v>234</v>
      </c>
      <c r="B236" s="116" t="s">
        <v>323</v>
      </c>
      <c r="C236" s="116" t="s">
        <v>324</v>
      </c>
      <c r="D236" s="116" t="s">
        <v>327</v>
      </c>
    </row>
    <row r="237" spans="1:4" x14ac:dyDescent="0.35">
      <c r="A237" s="114">
        <v>235</v>
      </c>
      <c r="B237" s="116" t="s">
        <v>323</v>
      </c>
      <c r="C237" s="116" t="s">
        <v>328</v>
      </c>
      <c r="D237" s="116" t="s">
        <v>329</v>
      </c>
    </row>
    <row r="238" spans="1:4" x14ac:dyDescent="0.35">
      <c r="A238" s="117">
        <v>236</v>
      </c>
      <c r="B238" s="116" t="s">
        <v>323</v>
      </c>
      <c r="C238" s="116" t="s">
        <v>328</v>
      </c>
      <c r="D238" s="116" t="s">
        <v>330</v>
      </c>
    </row>
    <row r="239" spans="1:4" x14ac:dyDescent="0.35">
      <c r="A239" s="114">
        <v>237</v>
      </c>
      <c r="B239" s="116" t="s">
        <v>323</v>
      </c>
      <c r="C239" s="116" t="s">
        <v>328</v>
      </c>
      <c r="D239" s="116" t="s">
        <v>331</v>
      </c>
    </row>
    <row r="240" spans="1:4" x14ac:dyDescent="0.35">
      <c r="A240" s="117">
        <v>238</v>
      </c>
      <c r="B240" s="116" t="s">
        <v>323</v>
      </c>
      <c r="C240" s="116" t="s">
        <v>328</v>
      </c>
      <c r="D240" s="116" t="s">
        <v>332</v>
      </c>
    </row>
    <row r="241" spans="1:4" x14ac:dyDescent="0.35">
      <c r="A241" s="114">
        <v>239</v>
      </c>
      <c r="B241" s="116" t="s">
        <v>323</v>
      </c>
      <c r="C241" s="116" t="s">
        <v>328</v>
      </c>
      <c r="D241" s="116" t="s">
        <v>333</v>
      </c>
    </row>
    <row r="242" spans="1:4" x14ac:dyDescent="0.35">
      <c r="A242" s="117">
        <v>240</v>
      </c>
      <c r="B242" s="116" t="s">
        <v>323</v>
      </c>
      <c r="C242" s="116" t="s">
        <v>328</v>
      </c>
      <c r="D242" s="116" t="s">
        <v>334</v>
      </c>
    </row>
    <row r="243" spans="1:4" x14ac:dyDescent="0.35">
      <c r="A243" s="114">
        <v>241</v>
      </c>
      <c r="B243" s="116" t="s">
        <v>323</v>
      </c>
      <c r="C243" s="116" t="s">
        <v>328</v>
      </c>
      <c r="D243" s="116" t="s">
        <v>335</v>
      </c>
    </row>
    <row r="244" spans="1:4" x14ac:dyDescent="0.35">
      <c r="A244" s="117">
        <v>242</v>
      </c>
      <c r="B244" s="116" t="s">
        <v>323</v>
      </c>
      <c r="C244" s="116" t="s">
        <v>336</v>
      </c>
      <c r="D244" s="116" t="s">
        <v>337</v>
      </c>
    </row>
    <row r="245" spans="1:4" x14ac:dyDescent="0.35">
      <c r="A245" s="114">
        <v>243</v>
      </c>
      <c r="B245" s="116" t="s">
        <v>323</v>
      </c>
      <c r="C245" s="116" t="s">
        <v>336</v>
      </c>
      <c r="D245" s="116" t="s">
        <v>338</v>
      </c>
    </row>
    <row r="246" spans="1:4" x14ac:dyDescent="0.35">
      <c r="A246" s="117">
        <v>244</v>
      </c>
      <c r="B246" s="116" t="s">
        <v>323</v>
      </c>
      <c r="C246" s="116" t="s">
        <v>336</v>
      </c>
      <c r="D246" s="116" t="s">
        <v>339</v>
      </c>
    </row>
    <row r="247" spans="1:4" x14ac:dyDescent="0.35">
      <c r="A247" s="114">
        <v>245</v>
      </c>
      <c r="B247" s="116" t="s">
        <v>323</v>
      </c>
      <c r="C247" s="116" t="s">
        <v>336</v>
      </c>
      <c r="D247" s="116" t="s">
        <v>340</v>
      </c>
    </row>
    <row r="248" spans="1:4" x14ac:dyDescent="0.35">
      <c r="A248" s="117">
        <v>246</v>
      </c>
      <c r="B248" s="116" t="s">
        <v>323</v>
      </c>
      <c r="C248" s="116" t="s">
        <v>336</v>
      </c>
      <c r="D248" s="116" t="s">
        <v>341</v>
      </c>
    </row>
    <row r="249" spans="1:4" x14ac:dyDescent="0.35">
      <c r="A249" s="114">
        <v>247</v>
      </c>
      <c r="B249" s="116" t="s">
        <v>323</v>
      </c>
      <c r="C249" s="116" t="s">
        <v>336</v>
      </c>
      <c r="D249" s="116" t="s">
        <v>342</v>
      </c>
    </row>
    <row r="250" spans="1:4" x14ac:dyDescent="0.35">
      <c r="A250" s="117">
        <v>248</v>
      </c>
      <c r="B250" s="116" t="s">
        <v>323</v>
      </c>
      <c r="C250" s="116" t="s">
        <v>336</v>
      </c>
      <c r="D250" s="116" t="s">
        <v>343</v>
      </c>
    </row>
    <row r="251" spans="1:4" x14ac:dyDescent="0.35">
      <c r="A251" s="114">
        <v>249</v>
      </c>
      <c r="B251" s="116" t="s">
        <v>323</v>
      </c>
      <c r="C251" s="116" t="s">
        <v>336</v>
      </c>
      <c r="D251" s="116" t="s">
        <v>344</v>
      </c>
    </row>
    <row r="252" spans="1:4" x14ac:dyDescent="0.35">
      <c r="A252" s="117">
        <v>250</v>
      </c>
      <c r="B252" s="116" t="s">
        <v>323</v>
      </c>
      <c r="C252" s="116" t="s">
        <v>336</v>
      </c>
      <c r="D252" s="116" t="s">
        <v>345</v>
      </c>
    </row>
    <row r="253" spans="1:4" x14ac:dyDescent="0.35">
      <c r="A253" s="114">
        <v>251</v>
      </c>
      <c r="B253" s="116" t="s">
        <v>323</v>
      </c>
      <c r="C253" s="116" t="s">
        <v>336</v>
      </c>
      <c r="D253" s="116" t="s">
        <v>346</v>
      </c>
    </row>
    <row r="254" spans="1:4" x14ac:dyDescent="0.35">
      <c r="A254" s="117">
        <v>252</v>
      </c>
      <c r="B254" s="116" t="s">
        <v>323</v>
      </c>
      <c r="C254" s="116" t="s">
        <v>347</v>
      </c>
      <c r="D254" s="116" t="s">
        <v>348</v>
      </c>
    </row>
    <row r="255" spans="1:4" x14ac:dyDescent="0.35">
      <c r="A255" s="114">
        <v>253</v>
      </c>
      <c r="B255" s="116" t="s">
        <v>323</v>
      </c>
      <c r="C255" s="116" t="s">
        <v>347</v>
      </c>
      <c r="D255" s="116" t="s">
        <v>349</v>
      </c>
    </row>
    <row r="256" spans="1:4" x14ac:dyDescent="0.35">
      <c r="A256" s="117">
        <v>254</v>
      </c>
      <c r="B256" s="116" t="s">
        <v>323</v>
      </c>
      <c r="C256" s="116" t="s">
        <v>347</v>
      </c>
      <c r="D256" s="116" t="s">
        <v>350</v>
      </c>
    </row>
    <row r="257" spans="1:4" x14ac:dyDescent="0.35">
      <c r="A257" s="114">
        <v>255</v>
      </c>
      <c r="B257" s="116" t="s">
        <v>323</v>
      </c>
      <c r="C257" s="116" t="s">
        <v>347</v>
      </c>
      <c r="D257" s="116" t="s">
        <v>351</v>
      </c>
    </row>
    <row r="258" spans="1:4" x14ac:dyDescent="0.35">
      <c r="A258" s="117">
        <v>256</v>
      </c>
      <c r="B258" s="116" t="s">
        <v>323</v>
      </c>
      <c r="C258" s="116" t="s">
        <v>347</v>
      </c>
      <c r="D258" s="116" t="s">
        <v>352</v>
      </c>
    </row>
    <row r="259" spans="1:4" x14ac:dyDescent="0.35">
      <c r="A259" s="114">
        <v>257</v>
      </c>
      <c r="B259" s="116" t="s">
        <v>323</v>
      </c>
      <c r="C259" s="116" t="s">
        <v>347</v>
      </c>
      <c r="D259" s="116" t="s">
        <v>353</v>
      </c>
    </row>
    <row r="260" spans="1:4" x14ac:dyDescent="0.35">
      <c r="A260" s="117">
        <v>258</v>
      </c>
      <c r="B260" s="116" t="s">
        <v>323</v>
      </c>
      <c r="C260" s="116" t="s">
        <v>347</v>
      </c>
      <c r="D260" s="116" t="s">
        <v>354</v>
      </c>
    </row>
    <row r="261" spans="1:4" x14ac:dyDescent="0.35">
      <c r="A261" s="114">
        <v>259</v>
      </c>
      <c r="B261" s="116" t="s">
        <v>323</v>
      </c>
      <c r="C261" s="116" t="s">
        <v>347</v>
      </c>
      <c r="D261" s="116" t="s">
        <v>355</v>
      </c>
    </row>
    <row r="262" spans="1:4" x14ac:dyDescent="0.35">
      <c r="A262" s="117">
        <v>260</v>
      </c>
      <c r="B262" s="116" t="s">
        <v>323</v>
      </c>
      <c r="C262" s="116" t="s">
        <v>347</v>
      </c>
      <c r="D262" s="116" t="s">
        <v>356</v>
      </c>
    </row>
    <row r="263" spans="1:4" x14ac:dyDescent="0.35">
      <c r="A263" s="114">
        <v>261</v>
      </c>
      <c r="B263" s="116" t="s">
        <v>323</v>
      </c>
      <c r="C263" s="116" t="s">
        <v>357</v>
      </c>
      <c r="D263" s="116" t="s">
        <v>358</v>
      </c>
    </row>
    <row r="264" spans="1:4" x14ac:dyDescent="0.35">
      <c r="A264" s="117">
        <v>262</v>
      </c>
      <c r="B264" s="116" t="s">
        <v>323</v>
      </c>
      <c r="C264" s="116" t="s">
        <v>357</v>
      </c>
      <c r="D264" s="116" t="s">
        <v>359</v>
      </c>
    </row>
    <row r="265" spans="1:4" x14ac:dyDescent="0.35">
      <c r="A265" s="114">
        <v>263</v>
      </c>
      <c r="B265" s="116" t="s">
        <v>323</v>
      </c>
      <c r="C265" s="116" t="s">
        <v>357</v>
      </c>
      <c r="D265" s="116" t="s">
        <v>360</v>
      </c>
    </row>
  </sheetData>
  <conditionalFormatting sqref="D216:D218">
    <cfRule type="duplicateValues" dxfId="2" priority="2"/>
  </conditionalFormatting>
  <conditionalFormatting sqref="D219">
    <cfRule type="duplicateValues" dxfId="1" priority="1"/>
  </conditionalFormatting>
  <conditionalFormatting sqref="D220:D265 D10:D215">
    <cfRule type="duplicateValues" dxfId="0" priority="3"/>
  </conditionalFormatting>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C68C48D0DAAB449AB81C3683335F68" ma:contentTypeVersion="14" ma:contentTypeDescription="Create a new document." ma:contentTypeScope="" ma:versionID="9ee7e1abdbd6368e95b535cd7c3cba6b">
  <xsd:schema xmlns:xsd="http://www.w3.org/2001/XMLSchema" xmlns:xs="http://www.w3.org/2001/XMLSchema" xmlns:p="http://schemas.microsoft.com/office/2006/metadata/properties" xmlns:ns2="9d81f885-27ac-4286-8081-f8c5f9593a2b" xmlns:ns3="da2a13c8-cb00-459f-be34-51aaadcdb0f7" targetNamespace="http://schemas.microsoft.com/office/2006/metadata/properties" ma:root="true" ma:fieldsID="de13fd721e62aa0e14720a77284b0080" ns2:_="" ns3:_="">
    <xsd:import namespace="9d81f885-27ac-4286-8081-f8c5f9593a2b"/>
    <xsd:import namespace="da2a13c8-cb00-459f-be34-51aaadcdb0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81f885-27ac-4286-8081-f8c5f9593a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4389606-e97c-4074-8ae4-29a58d4fcc0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2a13c8-cb00-459f-be34-51aaadcdb0f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4cf63790-d361-4971-994a-791f6a350779}" ma:internalName="TaxCatchAll" ma:showField="CatchAllData" ma:web="da2a13c8-cb00-459f-be34-51aaadcdb0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a2a13c8-cb00-459f-be34-51aaadcdb0f7" xsi:nil="true"/>
    <lcf76f155ced4ddcb4097134ff3c332f xmlns="9d81f885-27ac-4286-8081-f8c5f9593a2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00F1D6-71EB-4F94-AABA-021408B116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81f885-27ac-4286-8081-f8c5f9593a2b"/>
    <ds:schemaRef ds:uri="da2a13c8-cb00-459f-be34-51aaadcdb0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C06044-2411-4CFF-BFE7-EBD02AA38D88}">
  <ds:schemaRefs>
    <ds:schemaRef ds:uri="http://schemas.microsoft.com/office/2006/metadata/properties"/>
    <ds:schemaRef ds:uri="http://schemas.microsoft.com/office/infopath/2007/PartnerControls"/>
    <ds:schemaRef ds:uri="da2a13c8-cb00-459f-be34-51aaadcdb0f7"/>
    <ds:schemaRef ds:uri="9d81f885-27ac-4286-8081-f8c5f9593a2b"/>
  </ds:schemaRefs>
</ds:datastoreItem>
</file>

<file path=customXml/itemProps3.xml><?xml version="1.0" encoding="utf-8"?>
<ds:datastoreItem xmlns:ds="http://schemas.openxmlformats.org/officeDocument/2006/customXml" ds:itemID="{1094741B-6F99-4D25-9E8B-F5917B570D2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 Form WLA</vt:lpstr>
      <vt:lpstr>Tabel Posisi</vt:lpstr>
      <vt:lpstr>'A. Form WLA'!Print_Area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106</dc:creator>
  <cp:keywords/>
  <dc:description/>
  <cp:lastModifiedBy>ZULFAHRI</cp:lastModifiedBy>
  <cp:revision/>
  <dcterms:created xsi:type="dcterms:W3CDTF">2021-03-29T04:28:02Z</dcterms:created>
  <dcterms:modified xsi:type="dcterms:W3CDTF">2026-01-13T07:26:43Z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0x01010052C68C48D0DAAB449AB81C3683335F68</vt:lpwstr>
  </property>
  <property fmtid="{D5CDD505-2E9C-101B-9397-08002B2CF9AE}" pid="3" name="MediaServiceImageTags">
    <vt:lpwstr/>
  </property>
</Properties>
</file>